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defaultThemeVersion="124226"/>
  <mc:AlternateContent xmlns:mc="http://schemas.openxmlformats.org/markup-compatibility/2006">
    <mc:Choice Requires="x15">
      <x15ac:absPath xmlns:x15ac="http://schemas.microsoft.com/office/spreadsheetml/2010/11/ac" url="https://educacionbogota-my.sharepoint.com/personal/lgiovannetti_educacionbogota_gov_co/Documents/Documentos/TERCEROS/2026/FORMATOS CON CODIFICACION FINAL PARA SOCIALIZAR/"/>
    </mc:Choice>
  </mc:AlternateContent>
  <xr:revisionPtr revIDLastSave="161" documentId="8_{79DEEDCD-627D-4536-AF59-2ED9079C2AC5}" xr6:coauthVersionLast="47" xr6:coauthVersionMax="47" xr10:uidLastSave="{EEE5552C-EFA0-4615-8711-751C0E969A95}"/>
  <workbookProtection workbookAlgorithmName="SHA-512" workbookHashValue="PWPrmFKk8SAdBTXABONJczb00pqQtS9U1XrML/Hw8T3RjB/6BmEoF0351L/O13Riag9rMtys1yJO2bhUKjKw3A==" workbookSaltValue="zUTicEXLXQYBdIyuh065YA==" workbookSpinCount="100000" lockStructure="1"/>
  <bookViews>
    <workbookView xWindow="-120" yWindow="-120" windowWidth="20730" windowHeight="11040" tabRatio="779" xr2:uid="{00000000-000D-0000-FFFF-FFFF00000000}"/>
  </bookViews>
  <sheets>
    <sheet name="FORMATO ACTUALIZACIÓN DATOS" sheetId="1" r:id="rId1"/>
    <sheet name="INSTRUCTIVO ACTUALIZACION DATOS" sheetId="26" r:id="rId2"/>
    <sheet name="FORMATO DEDUCCIONES" sheetId="23" r:id="rId3"/>
    <sheet name="INSTRUCTIVO DEDUCCIONES" sheetId="27" r:id="rId4"/>
    <sheet name="Validador- Datos" sheetId="25" state="hidden" r:id="rId5"/>
  </sheets>
  <definedNames>
    <definedName name="_xlnm._FilterDatabase" localSheetId="4" hidden="1">'Validador- Datos'!$AN$1:$AO$839</definedName>
    <definedName name="A25300000">#REF!</definedName>
    <definedName name="_xlnm.Print_Area" localSheetId="0">'FORMATO ACTUALIZACIÓN DATOS'!$A$1:$BE$105</definedName>
    <definedName name="_xlnm.Print_Area" localSheetId="2">'FORMATO DEDUCCIONES'!$A$1:$AC$72</definedName>
    <definedName name="DatosExternos_1" localSheetId="4" hidden="1">'Validador- Datos'!#REF!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23" l="1"/>
  <c r="F45" i="25"/>
  <c r="E45" i="25"/>
  <c r="BE25" i="25"/>
  <c r="B34" i="25"/>
  <c r="D34" i="25" s="1"/>
  <c r="W15" i="23"/>
  <c r="F47" i="1" l="1"/>
  <c r="AP13" i="1"/>
  <c r="G102" i="1" s="1"/>
  <c r="A13" i="1"/>
  <c r="B12" i="25"/>
  <c r="AS18" i="1"/>
  <c r="BE17" i="25"/>
  <c r="BE18" i="25"/>
  <c r="H53" i="1"/>
  <c r="BI12" i="25" l="1"/>
  <c r="BJ16" i="25" s="1"/>
  <c r="B40" i="25"/>
  <c r="D40" i="25" s="1"/>
  <c r="B39" i="25"/>
  <c r="D39" i="25" s="1"/>
  <c r="AQ26" i="1"/>
  <c r="AG26" i="1"/>
  <c r="B4" i="25"/>
  <c r="B5" i="25"/>
  <c r="B6" i="25"/>
  <c r="B11" i="25"/>
  <c r="B16" i="25"/>
  <c r="B20" i="25"/>
  <c r="B27" i="25"/>
  <c r="B28" i="25"/>
  <c r="B30" i="25"/>
  <c r="B31" i="25"/>
  <c r="B32" i="25"/>
  <c r="B33" i="25"/>
  <c r="B35" i="25"/>
  <c r="B36" i="25"/>
  <c r="B37" i="25"/>
  <c r="B38" i="25"/>
  <c r="B41" i="25"/>
  <c r="B52" i="25"/>
  <c r="B53" i="25"/>
  <c r="BG23" i="25"/>
  <c r="BE15" i="25"/>
  <c r="BK9" i="25"/>
  <c r="BL9" i="25" a="1"/>
  <c r="BL9" i="25" s="1"/>
  <c r="BK8" i="25" a="1"/>
  <c r="BK8" i="25" s="1"/>
  <c r="BL8" i="25" s="1"/>
  <c r="BM8" i="25" s="1"/>
  <c r="W39" i="23" s="1"/>
  <c r="BJ15" i="25" l="1"/>
  <c r="BJ14" i="25" s="1"/>
  <c r="BJ13" i="25" s="1"/>
  <c r="BO8" i="25"/>
  <c r="BM9" i="25"/>
  <c r="W50" i="23" s="1"/>
  <c r="BN7" i="25" l="1" a="1"/>
  <c r="BN7" i="25" s="1"/>
  <c r="BL7" i="25" a="1"/>
  <c r="BL7" i="25" s="1"/>
  <c r="BJ7" i="25"/>
  <c r="BK7" i="25" l="1"/>
  <c r="BJ8" i="25"/>
  <c r="BJ9" i="25" s="1"/>
  <c r="BM7" i="25"/>
  <c r="M28" i="23" s="1"/>
  <c r="BM2" i="25"/>
  <c r="BN2" i="25" s="1"/>
  <c r="BO2" i="25" s="1"/>
  <c r="BP2" i="25" s="1"/>
  <c r="BL2" i="25"/>
  <c r="AW52" i="1" l="1"/>
  <c r="F56" i="25"/>
  <c r="F55" i="25"/>
  <c r="F54" i="25"/>
  <c r="C56" i="25"/>
  <c r="E56" i="25" s="1"/>
  <c r="C55" i="25"/>
  <c r="E55" i="25" s="1"/>
  <c r="C54" i="25"/>
  <c r="E54" i="25" s="1"/>
  <c r="D64" i="25"/>
  <c r="D66" i="25" s="1"/>
  <c r="D55" i="25" l="1"/>
  <c r="B55" i="25"/>
  <c r="D56" i="25"/>
  <c r="B56" i="25"/>
  <c r="D54" i="25"/>
  <c r="B54" i="25"/>
  <c r="F49" i="25"/>
  <c r="E49" i="25"/>
  <c r="F46" i="25"/>
  <c r="E46" i="25"/>
  <c r="BE11" i="25"/>
  <c r="BE12" i="25" s="1"/>
  <c r="BE9" i="25"/>
  <c r="BE10" i="25" s="1"/>
  <c r="BE8" i="25"/>
  <c r="BE7" i="25"/>
  <c r="BE6" i="25"/>
  <c r="BE5" i="25"/>
  <c r="BE4" i="25"/>
  <c r="BE3" i="25"/>
  <c r="BE2" i="25"/>
  <c r="BE21" i="25" l="1"/>
  <c r="BJ12" i="25"/>
  <c r="BK12" i="25" s="1"/>
  <c r="W16" i="23" s="1"/>
  <c r="G49" i="25"/>
  <c r="G46" i="25"/>
  <c r="BE13" i="25"/>
  <c r="BE14" i="25" s="1"/>
  <c r="BE19" i="25" s="1"/>
  <c r="G45" i="25"/>
  <c r="F44" i="25"/>
  <c r="E44" i="25"/>
  <c r="A14" i="1"/>
  <c r="E43" i="25"/>
  <c r="F43" i="25"/>
  <c r="F42" i="25"/>
  <c r="E42" i="25"/>
  <c r="L27" i="25"/>
  <c r="BE22" i="25" l="1"/>
  <c r="G44" i="25"/>
  <c r="G42" i="25"/>
  <c r="G43" i="25"/>
  <c r="BE23" i="25" l="1"/>
  <c r="C73" i="1" s="1"/>
  <c r="D35" i="25"/>
  <c r="D33" i="25"/>
  <c r="D32" i="25"/>
  <c r="L26" i="25"/>
  <c r="L28" i="25" s="1"/>
  <c r="W46" i="1" s="1"/>
  <c r="D30" i="25"/>
  <c r="D28" i="25"/>
  <c r="D27" i="25"/>
  <c r="D36" i="25"/>
  <c r="D37" i="25"/>
  <c r="D38" i="25"/>
  <c r="D41" i="25"/>
  <c r="D52" i="25"/>
  <c r="D53" i="25"/>
  <c r="BC39" i="1"/>
  <c r="M31" i="1"/>
  <c r="B19" i="25" s="1"/>
  <c r="AE31" i="1"/>
  <c r="B21" i="25" s="1"/>
  <c r="D20" i="25"/>
  <c r="D21" i="25" l="1"/>
  <c r="D19" i="25"/>
  <c r="D31" i="25"/>
  <c r="D16" i="25"/>
  <c r="AE1117" i="25"/>
  <c r="AE1111" i="25"/>
  <c r="AE1112" i="25" s="1"/>
  <c r="AD1112" i="25" s="1"/>
  <c r="AE1107" i="25"/>
  <c r="AE1108" i="25" s="1"/>
  <c r="AD1108" i="25" s="1"/>
  <c r="AE1098" i="25"/>
  <c r="AE1099" i="25" s="1"/>
  <c r="AE1100" i="25" s="1"/>
  <c r="AD1100" i="25" s="1"/>
  <c r="AE1087" i="25"/>
  <c r="AE1088" i="25" s="1"/>
  <c r="AD1088" i="25" s="1"/>
  <c r="AE1085" i="25"/>
  <c r="AE1072" i="25"/>
  <c r="AD1072" i="25" s="1"/>
  <c r="AE1053" i="25"/>
  <c r="AE1046" i="25"/>
  <c r="AE1047" i="25" s="1"/>
  <c r="AE1004" i="25"/>
  <c r="AD1004" i="25" s="1"/>
  <c r="AE957" i="25"/>
  <c r="AE931" i="25"/>
  <c r="AE932" i="25" s="1"/>
  <c r="AE844" i="25"/>
  <c r="AD844" i="25" s="1"/>
  <c r="AE830" i="25"/>
  <c r="AE831" i="25" s="1"/>
  <c r="AE832" i="25" s="1"/>
  <c r="AE833" i="25" s="1"/>
  <c r="AE818" i="25"/>
  <c r="AE819" i="25" s="1"/>
  <c r="AE820" i="25" s="1"/>
  <c r="AE821" i="25" s="1"/>
  <c r="AE778" i="25"/>
  <c r="AE779" i="25" s="1"/>
  <c r="AD779" i="25" s="1"/>
  <c r="AE714" i="25"/>
  <c r="AD714" i="25" s="1"/>
  <c r="AE685" i="25"/>
  <c r="AD685" i="25" s="1"/>
  <c r="AE655" i="25"/>
  <c r="AE656" i="25" s="1"/>
  <c r="AE657" i="25" s="1"/>
  <c r="AE658" i="25" s="1"/>
  <c r="AE640" i="25"/>
  <c r="AE641" i="25" s="1"/>
  <c r="AD641" i="25" s="1"/>
  <c r="AE603" i="25"/>
  <c r="AD603" i="25" s="1"/>
  <c r="AE572" i="25"/>
  <c r="AE573" i="25" s="1"/>
  <c r="AE574" i="25" s="1"/>
  <c r="AD574" i="25" s="1"/>
  <c r="AE456" i="25"/>
  <c r="AE457" i="25" s="1"/>
  <c r="AE428" i="25"/>
  <c r="AE429" i="25" s="1"/>
  <c r="AD429" i="25" s="1"/>
  <c r="AE403" i="25"/>
  <c r="AD403" i="25" s="1"/>
  <c r="AE362" i="25"/>
  <c r="AE363" i="25" s="1"/>
  <c r="AE346" i="25"/>
  <c r="AE347" i="25" s="1"/>
  <c r="AE319" i="25"/>
  <c r="AE320" i="25" s="1"/>
  <c r="AE196" i="25"/>
  <c r="AD196" i="25" s="1"/>
  <c r="AE151" i="25"/>
  <c r="AE152" i="25" s="1"/>
  <c r="AD152" i="25" s="1"/>
  <c r="AE150" i="25"/>
  <c r="AD150" i="25" s="1"/>
  <c r="AE127" i="25"/>
  <c r="AE3" i="25"/>
  <c r="AE4" i="25" s="1"/>
  <c r="AD4" i="25" s="1"/>
  <c r="AD2" i="25"/>
  <c r="AD655" i="25" l="1"/>
  <c r="AD1098" i="25"/>
  <c r="AD151" i="25"/>
  <c r="AD1046" i="25"/>
  <c r="AD457" i="25"/>
  <c r="AE458" i="25"/>
  <c r="AD458" i="25" s="1"/>
  <c r="AE128" i="25"/>
  <c r="AE129" i="25" s="1"/>
  <c r="AE130" i="25" s="1"/>
  <c r="AE131" i="25" s="1"/>
  <c r="AD131" i="25" s="1"/>
  <c r="AD127" i="25"/>
  <c r="AD1111" i="25"/>
  <c r="AE845" i="25"/>
  <c r="AD845" i="25" s="1"/>
  <c r="AD3" i="25"/>
  <c r="AD931" i="25"/>
  <c r="AE780" i="25"/>
  <c r="AD780" i="25" s="1"/>
  <c r="AD640" i="25"/>
  <c r="AD1107" i="25"/>
  <c r="AD428" i="25"/>
  <c r="AE642" i="25"/>
  <c r="AD642" i="25" s="1"/>
  <c r="AD820" i="25"/>
  <c r="AD1087" i="25"/>
  <c r="AE153" i="25"/>
  <c r="AE154" i="25" s="1"/>
  <c r="AE155" i="25" s="1"/>
  <c r="AD830" i="25"/>
  <c r="AE1089" i="25"/>
  <c r="AE1090" i="25" s="1"/>
  <c r="AD1099" i="25"/>
  <c r="AE933" i="25"/>
  <c r="AD933" i="25" s="1"/>
  <c r="AD932" i="25"/>
  <c r="AD658" i="25"/>
  <c r="AE659" i="25"/>
  <c r="AE660" i="25" s="1"/>
  <c r="AD660" i="25" s="1"/>
  <c r="AE1048" i="25"/>
  <c r="AE1049" i="25" s="1"/>
  <c r="AE1050" i="25" s="1"/>
  <c r="AD1047" i="25"/>
  <c r="AE686" i="25"/>
  <c r="AD686" i="25" s="1"/>
  <c r="AE1005" i="25"/>
  <c r="AD1005" i="25" s="1"/>
  <c r="AE1073" i="25"/>
  <c r="AE1074" i="25" s="1"/>
  <c r="AE430" i="25"/>
  <c r="AD430" i="25" s="1"/>
  <c r="AD656" i="25"/>
  <c r="AD319" i="25"/>
  <c r="AE575" i="25"/>
  <c r="AD575" i="25" s="1"/>
  <c r="AD657" i="25"/>
  <c r="AD832" i="25"/>
  <c r="AD573" i="25"/>
  <c r="AE197" i="25"/>
  <c r="AE715" i="25"/>
  <c r="AE716" i="25" s="1"/>
  <c r="AD716" i="25" s="1"/>
  <c r="AE1101" i="25"/>
  <c r="AD1101" i="25" s="1"/>
  <c r="AD819" i="25"/>
  <c r="AE364" i="25"/>
  <c r="AD363" i="25"/>
  <c r="AD821" i="25"/>
  <c r="AE822" i="25"/>
  <c r="AE5" i="25"/>
  <c r="AE348" i="25"/>
  <c r="AD347" i="25"/>
  <c r="AE321" i="25"/>
  <c r="AD320" i="25"/>
  <c r="AD346" i="25"/>
  <c r="AD362" i="25"/>
  <c r="AE404" i="25"/>
  <c r="AE958" i="25"/>
  <c r="AD957" i="25"/>
  <c r="AD456" i="25"/>
  <c r="AD572" i="25"/>
  <c r="AE1054" i="25"/>
  <c r="AD1053" i="25"/>
  <c r="AE1086" i="25"/>
  <c r="AD1086" i="25" s="1"/>
  <c r="AD1085" i="25"/>
  <c r="AE604" i="25"/>
  <c r="AD833" i="25"/>
  <c r="AE834" i="25"/>
  <c r="AE1113" i="25"/>
  <c r="AD778" i="25"/>
  <c r="AD818" i="25"/>
  <c r="AE1118" i="25"/>
  <c r="AD1117" i="25"/>
  <c r="AD831" i="25"/>
  <c r="AE1109" i="25"/>
  <c r="AD153" i="25" l="1"/>
  <c r="AE459" i="25"/>
  <c r="AE460" i="25" s="1"/>
  <c r="AD715" i="25"/>
  <c r="AE687" i="25"/>
  <c r="AE688" i="25" s="1"/>
  <c r="AE1102" i="25"/>
  <c r="AE1103" i="25" s="1"/>
  <c r="AE934" i="25"/>
  <c r="AE935" i="25" s="1"/>
  <c r="AE643" i="25"/>
  <c r="AE644" i="25" s="1"/>
  <c r="AE846" i="25"/>
  <c r="AE847" i="25" s="1"/>
  <c r="AD128" i="25"/>
  <c r="AE717" i="25"/>
  <c r="AE718" i="25" s="1"/>
  <c r="AD154" i="25"/>
  <c r="AE132" i="25"/>
  <c r="AD132" i="25" s="1"/>
  <c r="AD130" i="25"/>
  <c r="AD1073" i="25"/>
  <c r="AD129" i="25"/>
  <c r="AD1089" i="25"/>
  <c r="AE781" i="25"/>
  <c r="AE782" i="25" s="1"/>
  <c r="AD1049" i="25"/>
  <c r="AE661" i="25"/>
  <c r="AE662" i="25" s="1"/>
  <c r="AD659" i="25"/>
  <c r="AE431" i="25"/>
  <c r="AD431" i="25" s="1"/>
  <c r="AE1006" i="25"/>
  <c r="AE1007" i="25" s="1"/>
  <c r="AE198" i="25"/>
  <c r="AD197" i="25"/>
  <c r="AE576" i="25"/>
  <c r="AD576" i="25" s="1"/>
  <c r="AD1048" i="25"/>
  <c r="AE1119" i="25"/>
  <c r="AD1118" i="25"/>
  <c r="AE835" i="25"/>
  <c r="AD834" i="25"/>
  <c r="AE405" i="25"/>
  <c r="AD404" i="25"/>
  <c r="AE1055" i="25"/>
  <c r="AD1054" i="25"/>
  <c r="AD155" i="25"/>
  <c r="AE156" i="25"/>
  <c r="AE959" i="25"/>
  <c r="AD958" i="25"/>
  <c r="AE6" i="25"/>
  <c r="AD5" i="25"/>
  <c r="AE1091" i="25"/>
  <c r="AD1090" i="25"/>
  <c r="AE823" i="25"/>
  <c r="AD822" i="25"/>
  <c r="AE1110" i="25"/>
  <c r="AD1110" i="25" s="1"/>
  <c r="AD1109" i="25"/>
  <c r="AE1051" i="25"/>
  <c r="AD1050" i="25"/>
  <c r="AD321" i="25"/>
  <c r="AE322" i="25"/>
  <c r="AE605" i="25"/>
  <c r="AD604" i="25"/>
  <c r="AE1075" i="25"/>
  <c r="AD1074" i="25"/>
  <c r="AE1114" i="25"/>
  <c r="AD1113" i="25"/>
  <c r="AE349" i="25"/>
  <c r="AD348" i="25"/>
  <c r="AE365" i="25"/>
  <c r="AD364" i="25"/>
  <c r="AD459" i="25" l="1"/>
  <c r="AD846" i="25"/>
  <c r="AD643" i="25"/>
  <c r="AD717" i="25"/>
  <c r="AD781" i="25"/>
  <c r="AD661" i="25"/>
  <c r="AD1006" i="25"/>
  <c r="AD934" i="25"/>
  <c r="AD1102" i="25"/>
  <c r="AD687" i="25"/>
  <c r="AE133" i="25"/>
  <c r="AD133" i="25" s="1"/>
  <c r="AE577" i="25"/>
  <c r="AE578" i="25" s="1"/>
  <c r="AE432" i="25"/>
  <c r="AE433" i="25" s="1"/>
  <c r="AE461" i="25"/>
  <c r="AD460" i="25"/>
  <c r="AE199" i="25"/>
  <c r="AD198" i="25"/>
  <c r="AE936" i="25"/>
  <c r="AD935" i="25"/>
  <c r="AE323" i="25"/>
  <c r="AD322" i="25"/>
  <c r="AD365" i="25"/>
  <c r="AE366" i="25"/>
  <c r="AE7" i="25"/>
  <c r="AD6" i="25"/>
  <c r="AD718" i="25"/>
  <c r="AE719" i="25"/>
  <c r="AE1104" i="25"/>
  <c r="AD1103" i="25"/>
  <c r="AD156" i="25"/>
  <c r="AE157" i="25"/>
  <c r="AE1115" i="25"/>
  <c r="AD1114" i="25"/>
  <c r="AE960" i="25"/>
  <c r="AD959" i="25"/>
  <c r="AE1056" i="25"/>
  <c r="AD1055" i="25"/>
  <c r="AE836" i="25"/>
  <c r="AD835" i="25"/>
  <c r="AE783" i="25"/>
  <c r="AD782" i="25"/>
  <c r="AE848" i="25"/>
  <c r="AD847" i="25"/>
  <c r="AE1092" i="25"/>
  <c r="AD1091" i="25"/>
  <c r="AE1008" i="25"/>
  <c r="AD1007" i="25"/>
  <c r="AE824" i="25"/>
  <c r="AD823" i="25"/>
  <c r="AE406" i="25"/>
  <c r="AD405" i="25"/>
  <c r="AE1076" i="25"/>
  <c r="AD1075" i="25"/>
  <c r="AD349" i="25"/>
  <c r="AE350" i="25"/>
  <c r="AE606" i="25"/>
  <c r="AD605" i="25"/>
  <c r="AE689" i="25"/>
  <c r="AD688" i="25"/>
  <c r="AE1052" i="25"/>
  <c r="AD1052" i="25" s="1"/>
  <c r="AD1051" i="25"/>
  <c r="AE645" i="25"/>
  <c r="AD644" i="25"/>
  <c r="AD662" i="25"/>
  <c r="AE663" i="25"/>
  <c r="AE1120" i="25"/>
  <c r="AD1120" i="25" s="1"/>
  <c r="AD1119" i="25"/>
  <c r="AD577" i="25" l="1"/>
  <c r="AE134" i="25"/>
  <c r="AE135" i="25" s="1"/>
  <c r="AD135" i="25" s="1"/>
  <c r="AD432" i="25"/>
  <c r="AD199" i="25"/>
  <c r="AE200" i="25"/>
  <c r="AE462" i="25"/>
  <c r="AD461" i="25"/>
  <c r="AD645" i="25"/>
  <c r="AE646" i="25"/>
  <c r="AE1009" i="25"/>
  <c r="AD1008" i="25"/>
  <c r="AE8" i="25"/>
  <c r="AD7" i="25"/>
  <c r="AE1057" i="25"/>
  <c r="AD1056" i="25"/>
  <c r="AE158" i="25"/>
  <c r="AD157" i="25"/>
  <c r="AE407" i="25"/>
  <c r="AD406" i="25"/>
  <c r="AE849" i="25"/>
  <c r="AD848" i="25"/>
  <c r="AE961" i="25"/>
  <c r="AD960" i="25"/>
  <c r="AD1104" i="25"/>
  <c r="AE1105" i="25"/>
  <c r="AE324" i="25"/>
  <c r="AD323" i="25"/>
  <c r="AE1116" i="25"/>
  <c r="AD1116" i="25" s="1"/>
  <c r="AD1115" i="25"/>
  <c r="AD1092" i="25"/>
  <c r="AE1093" i="25"/>
  <c r="AE351" i="25"/>
  <c r="AD350" i="25"/>
  <c r="AD689" i="25"/>
  <c r="AE690" i="25"/>
  <c r="AE720" i="25"/>
  <c r="AD719" i="25"/>
  <c r="AE434" i="25"/>
  <c r="AD433" i="25"/>
  <c r="AE837" i="25"/>
  <c r="AD836" i="25"/>
  <c r="AE367" i="25"/>
  <c r="AD366" i="25"/>
  <c r="AD606" i="25"/>
  <c r="AE607" i="25"/>
  <c r="AE664" i="25"/>
  <c r="AD663" i="25"/>
  <c r="AE579" i="25"/>
  <c r="AD578" i="25"/>
  <c r="AD1076" i="25"/>
  <c r="AE1077" i="25"/>
  <c r="AE825" i="25"/>
  <c r="AD824" i="25"/>
  <c r="AE784" i="25"/>
  <c r="AD783" i="25"/>
  <c r="AE937" i="25"/>
  <c r="AD936" i="25"/>
  <c r="AE136" i="25" l="1"/>
  <c r="AE137" i="25" s="1"/>
  <c r="AD134" i="25"/>
  <c r="AE463" i="25"/>
  <c r="AD462" i="25"/>
  <c r="AD200" i="25"/>
  <c r="AE201" i="25"/>
  <c r="AD849" i="25"/>
  <c r="AE850" i="25"/>
  <c r="AE665" i="25"/>
  <c r="AD664" i="25"/>
  <c r="AE352" i="25"/>
  <c r="AD351" i="25"/>
  <c r="AE325" i="25"/>
  <c r="AD324" i="25"/>
  <c r="AD407" i="25"/>
  <c r="AE408" i="25"/>
  <c r="AD8" i="25"/>
  <c r="AE9" i="25"/>
  <c r="AD607" i="25"/>
  <c r="AE608" i="25"/>
  <c r="AE1094" i="25"/>
  <c r="AD1093" i="25"/>
  <c r="AE1106" i="25"/>
  <c r="AD1106" i="25" s="1"/>
  <c r="AD1105" i="25"/>
  <c r="AE785" i="25"/>
  <c r="AD784" i="25"/>
  <c r="AD825" i="25"/>
  <c r="AE826" i="25"/>
  <c r="AE721" i="25"/>
  <c r="AD720" i="25"/>
  <c r="AE159" i="25"/>
  <c r="AD158" i="25"/>
  <c r="AE1010" i="25"/>
  <c r="AD1009" i="25"/>
  <c r="AD690" i="25"/>
  <c r="AE691" i="25"/>
  <c r="AD579" i="25"/>
  <c r="AE580" i="25"/>
  <c r="AD837" i="25"/>
  <c r="AE838" i="25"/>
  <c r="AD434" i="25"/>
  <c r="AE435" i="25"/>
  <c r="AE1078" i="25"/>
  <c r="AD1077" i="25"/>
  <c r="AD646" i="25"/>
  <c r="AE647" i="25"/>
  <c r="AE938" i="25"/>
  <c r="AD937" i="25"/>
  <c r="AE368" i="25"/>
  <c r="AD367" i="25"/>
  <c r="AE962" i="25"/>
  <c r="AD961" i="25"/>
  <c r="AE1058" i="25"/>
  <c r="AD1057" i="25"/>
  <c r="AD136" i="25" l="1"/>
  <c r="AE202" i="25"/>
  <c r="AD201" i="25"/>
  <c r="AD463" i="25"/>
  <c r="AE464" i="25"/>
  <c r="AD435" i="25"/>
  <c r="AE436" i="25"/>
  <c r="AE692" i="25"/>
  <c r="AD691" i="25"/>
  <c r="AE1095" i="25"/>
  <c r="AD1094" i="25"/>
  <c r="AE1059" i="25"/>
  <c r="AD1058" i="25"/>
  <c r="AD785" i="25"/>
  <c r="AE786" i="25"/>
  <c r="AE138" i="25"/>
  <c r="AD137" i="25"/>
  <c r="AE10" i="25"/>
  <c r="AD9" i="25"/>
  <c r="AE827" i="25"/>
  <c r="AD826" i="25"/>
  <c r="AE369" i="25"/>
  <c r="AD368" i="25"/>
  <c r="AE609" i="25"/>
  <c r="AD608" i="25"/>
  <c r="AE648" i="25"/>
  <c r="AD647" i="25"/>
  <c r="AE666" i="25"/>
  <c r="AD665" i="25"/>
  <c r="AD325" i="25"/>
  <c r="AE326" i="25"/>
  <c r="AE939" i="25"/>
  <c r="AD938" i="25"/>
  <c r="AE1011" i="25"/>
  <c r="AD1010" i="25"/>
  <c r="AE839" i="25"/>
  <c r="AD838" i="25"/>
  <c r="AE963" i="25"/>
  <c r="AD962" i="25"/>
  <c r="AD159" i="25"/>
  <c r="AE160" i="25"/>
  <c r="AE581" i="25"/>
  <c r="AD580" i="25"/>
  <c r="AE409" i="25"/>
  <c r="AD408" i="25"/>
  <c r="AE851" i="25"/>
  <c r="AD850" i="25"/>
  <c r="AE353" i="25"/>
  <c r="AD352" i="25"/>
  <c r="AE1079" i="25"/>
  <c r="AD1078" i="25"/>
  <c r="AD721" i="25"/>
  <c r="AE722" i="25"/>
  <c r="AE465" i="25" l="1"/>
  <c r="AD464" i="25"/>
  <c r="AE203" i="25"/>
  <c r="AD202" i="25"/>
  <c r="AE1012" i="25"/>
  <c r="AD1011" i="25"/>
  <c r="AE1060" i="25"/>
  <c r="AD1059" i="25"/>
  <c r="AD353" i="25"/>
  <c r="AE354" i="25"/>
  <c r="AE11" i="25"/>
  <c r="AD10" i="25"/>
  <c r="AE964" i="25"/>
  <c r="AD963" i="25"/>
  <c r="AE610" i="25"/>
  <c r="AD609" i="25"/>
  <c r="AE139" i="25"/>
  <c r="AD138" i="25"/>
  <c r="AE693" i="25"/>
  <c r="AD692" i="25"/>
  <c r="AE649" i="25"/>
  <c r="AD648" i="25"/>
  <c r="AE828" i="25"/>
  <c r="AD827" i="25"/>
  <c r="AD160" i="25"/>
  <c r="AE161" i="25"/>
  <c r="AE940" i="25"/>
  <c r="AD939" i="25"/>
  <c r="AE1096" i="25"/>
  <c r="AD1095" i="25"/>
  <c r="AE327" i="25"/>
  <c r="AD326" i="25"/>
  <c r="AE852" i="25"/>
  <c r="AD851" i="25"/>
  <c r="AE787" i="25"/>
  <c r="AD786" i="25"/>
  <c r="AE437" i="25"/>
  <c r="AD436" i="25"/>
  <c r="AE582" i="25"/>
  <c r="AD581" i="25"/>
  <c r="AD722" i="25"/>
  <c r="AE723" i="25"/>
  <c r="AE1080" i="25"/>
  <c r="AD1079" i="25"/>
  <c r="AE410" i="25"/>
  <c r="AD409" i="25"/>
  <c r="AE840" i="25"/>
  <c r="AD839" i="25"/>
  <c r="AD666" i="25"/>
  <c r="AE667" i="25"/>
  <c r="AD369" i="25"/>
  <c r="AE370" i="25"/>
  <c r="AD203" i="25" l="1"/>
  <c r="AE204" i="25"/>
  <c r="AE466" i="25"/>
  <c r="AD465" i="25"/>
  <c r="AD840" i="25"/>
  <c r="AE841" i="25"/>
  <c r="AE328" i="25"/>
  <c r="AD327" i="25"/>
  <c r="AD693" i="25"/>
  <c r="AE694" i="25"/>
  <c r="AD11" i="25"/>
  <c r="AE12" i="25"/>
  <c r="AE355" i="25"/>
  <c r="AD354" i="25"/>
  <c r="AE411" i="25"/>
  <c r="AD410" i="25"/>
  <c r="AD139" i="25"/>
  <c r="AE140" i="25"/>
  <c r="AD1080" i="25"/>
  <c r="AE1081" i="25"/>
  <c r="AD940" i="25"/>
  <c r="AE941" i="25"/>
  <c r="AE650" i="25"/>
  <c r="AD649" i="25"/>
  <c r="AD610" i="25"/>
  <c r="AE611" i="25"/>
  <c r="AE1061" i="25"/>
  <c r="AD1060" i="25"/>
  <c r="AE583" i="25"/>
  <c r="AD582" i="25"/>
  <c r="AD1096" i="25"/>
  <c r="AE1097" i="25"/>
  <c r="AD1097" i="25" s="1"/>
  <c r="AE788" i="25"/>
  <c r="AD787" i="25"/>
  <c r="AE668" i="25"/>
  <c r="AD667" i="25"/>
  <c r="AE724" i="25"/>
  <c r="AD723" i="25"/>
  <c r="AE162" i="25"/>
  <c r="AD161" i="25"/>
  <c r="AE438" i="25"/>
  <c r="AD437" i="25"/>
  <c r="AE829" i="25"/>
  <c r="AD829" i="25" s="1"/>
  <c r="AD828" i="25"/>
  <c r="AE371" i="25"/>
  <c r="AD370" i="25"/>
  <c r="AE853" i="25"/>
  <c r="AD852" i="25"/>
  <c r="AD964" i="25"/>
  <c r="AE965" i="25"/>
  <c r="AD1012" i="25"/>
  <c r="AE1013" i="25"/>
  <c r="AD466" i="25" l="1"/>
  <c r="AE467" i="25"/>
  <c r="AD204" i="25"/>
  <c r="AE205" i="25"/>
  <c r="AE1082" i="25"/>
  <c r="AD1081" i="25"/>
  <c r="AE163" i="25"/>
  <c r="AD162" i="25"/>
  <c r="AD140" i="25"/>
  <c r="AE141" i="25"/>
  <c r="AE1014" i="25"/>
  <c r="AD1013" i="25"/>
  <c r="AD650" i="25"/>
  <c r="AE651" i="25"/>
  <c r="AD411" i="25"/>
  <c r="AE412" i="25"/>
  <c r="AE329" i="25"/>
  <c r="AD328" i="25"/>
  <c r="AD853" i="25"/>
  <c r="AE854" i="25"/>
  <c r="AE1062" i="25"/>
  <c r="AD1061" i="25"/>
  <c r="AE612" i="25"/>
  <c r="AD611" i="25"/>
  <c r="AE789" i="25"/>
  <c r="AD788" i="25"/>
  <c r="AE966" i="25"/>
  <c r="AD965" i="25"/>
  <c r="AE942" i="25"/>
  <c r="AD941" i="25"/>
  <c r="AD841" i="25"/>
  <c r="AE842" i="25"/>
  <c r="AD12" i="25"/>
  <c r="AE13" i="25"/>
  <c r="AE669" i="25"/>
  <c r="AD668" i="25"/>
  <c r="AD694" i="25"/>
  <c r="AE695" i="25"/>
  <c r="AE372" i="25"/>
  <c r="AD371" i="25"/>
  <c r="AE439" i="25"/>
  <c r="AD438" i="25"/>
  <c r="AE725" i="25"/>
  <c r="AD724" i="25"/>
  <c r="AD583" i="25"/>
  <c r="AE584" i="25"/>
  <c r="AE356" i="25"/>
  <c r="AD355" i="25"/>
  <c r="AD205" i="25" l="1"/>
  <c r="AE206" i="25"/>
  <c r="AD467" i="25"/>
  <c r="AE468" i="25"/>
  <c r="AE357" i="25"/>
  <c r="AD356" i="25"/>
  <c r="AE613" i="25"/>
  <c r="AD612" i="25"/>
  <c r="AE585" i="25"/>
  <c r="AD584" i="25"/>
  <c r="AD163" i="25"/>
  <c r="AE164" i="25"/>
  <c r="AE373" i="25"/>
  <c r="AD372" i="25"/>
  <c r="AE696" i="25"/>
  <c r="AD695" i="25"/>
  <c r="AE652" i="25"/>
  <c r="AD651" i="25"/>
  <c r="AE1063" i="25"/>
  <c r="AD1062" i="25"/>
  <c r="AE855" i="25"/>
  <c r="AD854" i="25"/>
  <c r="AD669" i="25"/>
  <c r="AE670" i="25"/>
  <c r="AE14" i="25"/>
  <c r="AD13" i="25"/>
  <c r="AE843" i="25"/>
  <c r="AD843" i="25" s="1"/>
  <c r="AD842" i="25"/>
  <c r="AD412" i="25"/>
  <c r="AE413" i="25"/>
  <c r="AE142" i="25"/>
  <c r="AD141" i="25"/>
  <c r="AE943" i="25"/>
  <c r="AD942" i="25"/>
  <c r="AD725" i="25"/>
  <c r="AE726" i="25"/>
  <c r="AE967" i="25"/>
  <c r="AD966" i="25"/>
  <c r="AD439" i="25"/>
  <c r="AE440" i="25"/>
  <c r="AD789" i="25"/>
  <c r="AE790" i="25"/>
  <c r="AD329" i="25"/>
  <c r="AE330" i="25"/>
  <c r="AE1015" i="25"/>
  <c r="AD1014" i="25"/>
  <c r="AE1083" i="25"/>
  <c r="AD1082" i="25"/>
  <c r="AE469" i="25" l="1"/>
  <c r="AD468" i="25"/>
  <c r="AD206" i="25"/>
  <c r="AE207" i="25"/>
  <c r="AD164" i="25"/>
  <c r="AE165" i="25"/>
  <c r="AE143" i="25"/>
  <c r="AD142" i="25"/>
  <c r="AE1064" i="25"/>
  <c r="AD1063" i="25"/>
  <c r="AE331" i="25"/>
  <c r="AD330" i="25"/>
  <c r="AD670" i="25"/>
  <c r="AE671" i="25"/>
  <c r="AE697" i="25"/>
  <c r="AD696" i="25"/>
  <c r="AD613" i="25"/>
  <c r="AE614" i="25"/>
  <c r="AD440" i="25"/>
  <c r="AE441" i="25"/>
  <c r="AE1016" i="25"/>
  <c r="AD1015" i="25"/>
  <c r="AE586" i="25"/>
  <c r="AD585" i="25"/>
  <c r="AE414" i="25"/>
  <c r="AD413" i="25"/>
  <c r="AE791" i="25"/>
  <c r="AD790" i="25"/>
  <c r="AE1084" i="25"/>
  <c r="AD1084" i="25" s="1"/>
  <c r="AD1083" i="25"/>
  <c r="AE15" i="25"/>
  <c r="AD14" i="25"/>
  <c r="AE968" i="25"/>
  <c r="AD967" i="25"/>
  <c r="AE653" i="25"/>
  <c r="AD652" i="25"/>
  <c r="AD726" i="25"/>
  <c r="AE727" i="25"/>
  <c r="AE944" i="25"/>
  <c r="AD943" i="25"/>
  <c r="AE856" i="25"/>
  <c r="AD855" i="25"/>
  <c r="AD373" i="25"/>
  <c r="AE374" i="25"/>
  <c r="AD357" i="25"/>
  <c r="AE358" i="25"/>
  <c r="AD207" i="25" l="1"/>
  <c r="AE208" i="25"/>
  <c r="AE470" i="25"/>
  <c r="AD469" i="25"/>
  <c r="AD15" i="25"/>
  <c r="AE16" i="25"/>
  <c r="AD614" i="25"/>
  <c r="AE615" i="25"/>
  <c r="AE728" i="25"/>
  <c r="AD727" i="25"/>
  <c r="AE1017" i="25"/>
  <c r="AD1016" i="25"/>
  <c r="AE375" i="25"/>
  <c r="AD374" i="25"/>
  <c r="AE672" i="25"/>
  <c r="AD671" i="25"/>
  <c r="AE654" i="25"/>
  <c r="AD654" i="25" s="1"/>
  <c r="AD653" i="25"/>
  <c r="AE792" i="25"/>
  <c r="AD791" i="25"/>
  <c r="AD143" i="25"/>
  <c r="AE144" i="25"/>
  <c r="AD586" i="25"/>
  <c r="AE587" i="25"/>
  <c r="AE359" i="25"/>
  <c r="AD358" i="25"/>
  <c r="AD697" i="25"/>
  <c r="AE698" i="25"/>
  <c r="AE442" i="25"/>
  <c r="AD441" i="25"/>
  <c r="AE166" i="25"/>
  <c r="AD165" i="25"/>
  <c r="AE945" i="25"/>
  <c r="AD944" i="25"/>
  <c r="AE1065" i="25"/>
  <c r="AD1064" i="25"/>
  <c r="AD856" i="25"/>
  <c r="AE857" i="25"/>
  <c r="AE969" i="25"/>
  <c r="AD968" i="25"/>
  <c r="AE415" i="25"/>
  <c r="AD414" i="25"/>
  <c r="AE332" i="25"/>
  <c r="AD331" i="25"/>
  <c r="AD470" i="25" l="1"/>
  <c r="AE471" i="25"/>
  <c r="AD208" i="25"/>
  <c r="AE209" i="25"/>
  <c r="AE167" i="25"/>
  <c r="AD166" i="25"/>
  <c r="AE793" i="25"/>
  <c r="AD792" i="25"/>
  <c r="AD857" i="25"/>
  <c r="AE858" i="25"/>
  <c r="AD587" i="25"/>
  <c r="AE588" i="25"/>
  <c r="AE616" i="25"/>
  <c r="AD615" i="25"/>
  <c r="AE333" i="25"/>
  <c r="AD332" i="25"/>
  <c r="AE1066" i="25"/>
  <c r="AD1065" i="25"/>
  <c r="AE673" i="25"/>
  <c r="AD672" i="25"/>
  <c r="AD698" i="25"/>
  <c r="AE699" i="25"/>
  <c r="AD144" i="25"/>
  <c r="AE145" i="25"/>
  <c r="AD16" i="25"/>
  <c r="AE17" i="25"/>
  <c r="AE970" i="25"/>
  <c r="AD969" i="25"/>
  <c r="AE360" i="25"/>
  <c r="AD359" i="25"/>
  <c r="AE1018" i="25"/>
  <c r="AD1017" i="25"/>
  <c r="AE443" i="25"/>
  <c r="AD442" i="25"/>
  <c r="AE729" i="25"/>
  <c r="AD728" i="25"/>
  <c r="AD415" i="25"/>
  <c r="AE416" i="25"/>
  <c r="AE946" i="25"/>
  <c r="AD945" i="25"/>
  <c r="AE376" i="25"/>
  <c r="AD375" i="25"/>
  <c r="AD209" i="25" l="1"/>
  <c r="AE210" i="25"/>
  <c r="AD471" i="25"/>
  <c r="AE472" i="25"/>
  <c r="AE589" i="25"/>
  <c r="AD588" i="25"/>
  <c r="AE859" i="25"/>
  <c r="AD858" i="25"/>
  <c r="AE361" i="25"/>
  <c r="AD361" i="25" s="1"/>
  <c r="AD360" i="25"/>
  <c r="AE1067" i="25"/>
  <c r="AD1066" i="25"/>
  <c r="AE1019" i="25"/>
  <c r="AD1018" i="25"/>
  <c r="AE674" i="25"/>
  <c r="AD673" i="25"/>
  <c r="AD416" i="25"/>
  <c r="AE417" i="25"/>
  <c r="AE971" i="25"/>
  <c r="AD970" i="25"/>
  <c r="AD333" i="25"/>
  <c r="AE334" i="25"/>
  <c r="AE18" i="25"/>
  <c r="AD17" i="25"/>
  <c r="AE146" i="25"/>
  <c r="AD145" i="25"/>
  <c r="AE947" i="25"/>
  <c r="AD946" i="25"/>
  <c r="AE700" i="25"/>
  <c r="AD699" i="25"/>
  <c r="AD729" i="25"/>
  <c r="AE730" i="25"/>
  <c r="AD793" i="25"/>
  <c r="AE794" i="25"/>
  <c r="AE377" i="25"/>
  <c r="AD376" i="25"/>
  <c r="AD443" i="25"/>
  <c r="AE444" i="25"/>
  <c r="AE617" i="25"/>
  <c r="AD616" i="25"/>
  <c r="AD167" i="25"/>
  <c r="AE168" i="25"/>
  <c r="AD472" i="25" l="1"/>
  <c r="AE473" i="25"/>
  <c r="AE211" i="25"/>
  <c r="AD210" i="25"/>
  <c r="AE795" i="25"/>
  <c r="AD794" i="25"/>
  <c r="AE618" i="25"/>
  <c r="AD617" i="25"/>
  <c r="AE19" i="25"/>
  <c r="AD18" i="25"/>
  <c r="AD674" i="25"/>
  <c r="AE675" i="25"/>
  <c r="AE860" i="25"/>
  <c r="AD859" i="25"/>
  <c r="AD444" i="25"/>
  <c r="AE445" i="25"/>
  <c r="AE335" i="25"/>
  <c r="AD334" i="25"/>
  <c r="AE147" i="25"/>
  <c r="AD146" i="25"/>
  <c r="AD730" i="25"/>
  <c r="AE731" i="25"/>
  <c r="AD168" i="25"/>
  <c r="AE169" i="25"/>
  <c r="AE418" i="25"/>
  <c r="AD417" i="25"/>
  <c r="AE701" i="25"/>
  <c r="AD700" i="25"/>
  <c r="AE1020" i="25"/>
  <c r="AD1019" i="25"/>
  <c r="AD377" i="25"/>
  <c r="AE378" i="25"/>
  <c r="AE948" i="25"/>
  <c r="AD947" i="25"/>
  <c r="AE972" i="25"/>
  <c r="AD971" i="25"/>
  <c r="AE1068" i="25"/>
  <c r="AD1067" i="25"/>
  <c r="AE590" i="25"/>
  <c r="AD589" i="25"/>
  <c r="AD211" i="25" l="1"/>
  <c r="AE212" i="25"/>
  <c r="AE474" i="25"/>
  <c r="AD473" i="25"/>
  <c r="AD1068" i="25"/>
  <c r="AE1069" i="25"/>
  <c r="AE20" i="25"/>
  <c r="AD19" i="25"/>
  <c r="AE446" i="25"/>
  <c r="AD445" i="25"/>
  <c r="AE861" i="25"/>
  <c r="AD860" i="25"/>
  <c r="AD618" i="25"/>
  <c r="AE619" i="25"/>
  <c r="AE170" i="25"/>
  <c r="AD169" i="25"/>
  <c r="AE591" i="25"/>
  <c r="AD590" i="25"/>
  <c r="AE336" i="25"/>
  <c r="AD335" i="25"/>
  <c r="AE732" i="25"/>
  <c r="AD731" i="25"/>
  <c r="AE1021" i="25"/>
  <c r="AD1020" i="25"/>
  <c r="AD701" i="25"/>
  <c r="AE702" i="25"/>
  <c r="AE676" i="25"/>
  <c r="AD675" i="25"/>
  <c r="AE379" i="25"/>
  <c r="AD378" i="25"/>
  <c r="AD972" i="25"/>
  <c r="AE973" i="25"/>
  <c r="AD948" i="25"/>
  <c r="AE949" i="25"/>
  <c r="AE419" i="25"/>
  <c r="AD418" i="25"/>
  <c r="AD147" i="25"/>
  <c r="AE148" i="25"/>
  <c r="AD795" i="25"/>
  <c r="AE796" i="25"/>
  <c r="AE475" i="25" l="1"/>
  <c r="AD474" i="25"/>
  <c r="AD212" i="25"/>
  <c r="AE213" i="25"/>
  <c r="AE974" i="25"/>
  <c r="AD973" i="25"/>
  <c r="AE447" i="25"/>
  <c r="AD446" i="25"/>
  <c r="AE1022" i="25"/>
  <c r="AD1021" i="25"/>
  <c r="AE171" i="25"/>
  <c r="AD170" i="25"/>
  <c r="AD20" i="25"/>
  <c r="AE21" i="25"/>
  <c r="AE620" i="25"/>
  <c r="AD619" i="25"/>
  <c r="AD796" i="25"/>
  <c r="AE797" i="25"/>
  <c r="AD702" i="25"/>
  <c r="AE703" i="25"/>
  <c r="AD591" i="25"/>
  <c r="AE592" i="25"/>
  <c r="AE380" i="25"/>
  <c r="AD379" i="25"/>
  <c r="AE1070" i="25"/>
  <c r="AD1069" i="25"/>
  <c r="AD148" i="25"/>
  <c r="AE149" i="25"/>
  <c r="AD149" i="25" s="1"/>
  <c r="AD419" i="25"/>
  <c r="AE420" i="25"/>
  <c r="AE733" i="25"/>
  <c r="AD732" i="25"/>
  <c r="AE950" i="25"/>
  <c r="AD949" i="25"/>
  <c r="AE677" i="25"/>
  <c r="AD676" i="25"/>
  <c r="AE337" i="25"/>
  <c r="AD336" i="25"/>
  <c r="AD861" i="25"/>
  <c r="AE862" i="25"/>
  <c r="AE214" i="25" l="1"/>
  <c r="AD213" i="25"/>
  <c r="AE476" i="25"/>
  <c r="AD475" i="25"/>
  <c r="AE863" i="25"/>
  <c r="AD862" i="25"/>
  <c r="AE381" i="25"/>
  <c r="AD380" i="25"/>
  <c r="AD420" i="25"/>
  <c r="AE421" i="25"/>
  <c r="AE621" i="25"/>
  <c r="AD620" i="25"/>
  <c r="AE704" i="25"/>
  <c r="AD703" i="25"/>
  <c r="AE22" i="25"/>
  <c r="AD21" i="25"/>
  <c r="AE1023" i="25"/>
  <c r="AD1022" i="25"/>
  <c r="AE593" i="25"/>
  <c r="AD592" i="25"/>
  <c r="AD337" i="25"/>
  <c r="AE338" i="25"/>
  <c r="AD677" i="25"/>
  <c r="AE678" i="25"/>
  <c r="AD447" i="25"/>
  <c r="AE448" i="25"/>
  <c r="AD733" i="25"/>
  <c r="AE734" i="25"/>
  <c r="AD797" i="25"/>
  <c r="AE798" i="25"/>
  <c r="AE951" i="25"/>
  <c r="AD950" i="25"/>
  <c r="AE1071" i="25"/>
  <c r="AD1071" i="25" s="1"/>
  <c r="AD1070" i="25"/>
  <c r="AD171" i="25"/>
  <c r="AE172" i="25"/>
  <c r="AE975" i="25"/>
  <c r="AD974" i="25"/>
  <c r="AD476" i="25" l="1"/>
  <c r="AE477" i="25"/>
  <c r="AE215" i="25"/>
  <c r="AD214" i="25"/>
  <c r="AE23" i="25"/>
  <c r="AD22" i="25"/>
  <c r="AE799" i="25"/>
  <c r="AD798" i="25"/>
  <c r="AE976" i="25"/>
  <c r="AD975" i="25"/>
  <c r="AE705" i="25"/>
  <c r="AD704" i="25"/>
  <c r="AD678" i="25"/>
  <c r="AE679" i="25"/>
  <c r="AE952" i="25"/>
  <c r="AD951" i="25"/>
  <c r="AE339" i="25"/>
  <c r="AD338" i="25"/>
  <c r="AD734" i="25"/>
  <c r="AE735" i="25"/>
  <c r="AD421" i="25"/>
  <c r="AE422" i="25"/>
  <c r="AD172" i="25"/>
  <c r="AE173" i="25"/>
  <c r="AE594" i="25"/>
  <c r="AD593" i="25"/>
  <c r="AD381" i="25"/>
  <c r="AE382" i="25"/>
  <c r="AD448" i="25"/>
  <c r="AE449" i="25"/>
  <c r="AE1024" i="25"/>
  <c r="AD1023" i="25"/>
  <c r="AE622" i="25"/>
  <c r="AD621" i="25"/>
  <c r="AE864" i="25"/>
  <c r="AD863" i="25"/>
  <c r="AD215" i="25" l="1"/>
  <c r="AE216" i="25"/>
  <c r="AD477" i="25"/>
  <c r="AE478" i="25"/>
  <c r="AE174" i="25"/>
  <c r="AD173" i="25"/>
  <c r="AD705" i="25"/>
  <c r="AE706" i="25"/>
  <c r="AD449" i="25"/>
  <c r="AE450" i="25"/>
  <c r="AE953" i="25"/>
  <c r="AD952" i="25"/>
  <c r="AE977" i="25"/>
  <c r="AD976" i="25"/>
  <c r="AE383" i="25"/>
  <c r="AD382" i="25"/>
  <c r="AE423" i="25"/>
  <c r="AD422" i="25"/>
  <c r="AE680" i="25"/>
  <c r="AD679" i="25"/>
  <c r="AE1025" i="25"/>
  <c r="AD1024" i="25"/>
  <c r="AD864" i="25"/>
  <c r="AE865" i="25"/>
  <c r="AE340" i="25"/>
  <c r="AD339" i="25"/>
  <c r="AE800" i="25"/>
  <c r="AD799" i="25"/>
  <c r="AE736" i="25"/>
  <c r="AD735" i="25"/>
  <c r="AD622" i="25"/>
  <c r="AE623" i="25"/>
  <c r="AD594" i="25"/>
  <c r="AE595" i="25"/>
  <c r="AE24" i="25"/>
  <c r="AD23" i="25"/>
  <c r="AE479" i="25" l="1"/>
  <c r="AD478" i="25"/>
  <c r="AD216" i="25"/>
  <c r="AE217" i="25"/>
  <c r="AE624" i="25"/>
  <c r="AD623" i="25"/>
  <c r="AE384" i="25"/>
  <c r="AD383" i="25"/>
  <c r="AD706" i="25"/>
  <c r="AE707" i="25"/>
  <c r="AD24" i="25"/>
  <c r="AE25" i="25"/>
  <c r="AE737" i="25"/>
  <c r="AD736" i="25"/>
  <c r="AE1026" i="25"/>
  <c r="AD1025" i="25"/>
  <c r="AD423" i="25"/>
  <c r="AE424" i="25"/>
  <c r="AD865" i="25"/>
  <c r="AE866" i="25"/>
  <c r="AE451" i="25"/>
  <c r="AD450" i="25"/>
  <c r="AE801" i="25"/>
  <c r="AD800" i="25"/>
  <c r="AE978" i="25"/>
  <c r="AD977" i="25"/>
  <c r="AD595" i="25"/>
  <c r="AE596" i="25"/>
  <c r="AE341" i="25"/>
  <c r="AD340" i="25"/>
  <c r="AE681" i="25"/>
  <c r="AD680" i="25"/>
  <c r="AE954" i="25"/>
  <c r="AD953" i="25"/>
  <c r="AE175" i="25"/>
  <c r="AD174" i="25"/>
  <c r="AE218" i="25" l="1"/>
  <c r="AD217" i="25"/>
  <c r="AD479" i="25"/>
  <c r="AE480" i="25"/>
  <c r="AE682" i="25"/>
  <c r="AD681" i="25"/>
  <c r="AD341" i="25"/>
  <c r="AE342" i="25"/>
  <c r="AD451" i="25"/>
  <c r="AE452" i="25"/>
  <c r="AD737" i="25"/>
  <c r="AE738" i="25"/>
  <c r="AE385" i="25"/>
  <c r="AD384" i="25"/>
  <c r="AE597" i="25"/>
  <c r="AD596" i="25"/>
  <c r="AE867" i="25"/>
  <c r="AD866" i="25"/>
  <c r="AE708" i="25"/>
  <c r="AD707" i="25"/>
  <c r="AE1027" i="25"/>
  <c r="AD1026" i="25"/>
  <c r="AE425" i="25"/>
  <c r="AD424" i="25"/>
  <c r="AE26" i="25"/>
  <c r="AD25" i="25"/>
  <c r="AD801" i="25"/>
  <c r="AE802" i="25"/>
  <c r="AD175" i="25"/>
  <c r="AE176" i="25"/>
  <c r="AE955" i="25"/>
  <c r="AD954" i="25"/>
  <c r="AE979" i="25"/>
  <c r="AD978" i="25"/>
  <c r="AE625" i="25"/>
  <c r="AD624" i="25"/>
  <c r="AE481" i="25" l="1"/>
  <c r="AD480" i="25"/>
  <c r="AD218" i="25"/>
  <c r="AE219" i="25"/>
  <c r="AD738" i="25"/>
  <c r="AE739" i="25"/>
  <c r="AD452" i="25"/>
  <c r="AE453" i="25"/>
  <c r="AE1028" i="25"/>
  <c r="AD1027" i="25"/>
  <c r="AE868" i="25"/>
  <c r="AD867" i="25"/>
  <c r="AE803" i="25"/>
  <c r="AD802" i="25"/>
  <c r="AE343" i="25"/>
  <c r="AD342" i="25"/>
  <c r="AE709" i="25"/>
  <c r="AD708" i="25"/>
  <c r="AD625" i="25"/>
  <c r="AE626" i="25"/>
  <c r="AE598" i="25"/>
  <c r="AD597" i="25"/>
  <c r="AE956" i="25"/>
  <c r="AD956" i="25" s="1"/>
  <c r="AD955" i="25"/>
  <c r="AD176" i="25"/>
  <c r="AE177" i="25"/>
  <c r="AD425" i="25"/>
  <c r="AE426" i="25"/>
  <c r="AE980" i="25"/>
  <c r="AD979" i="25"/>
  <c r="AE27" i="25"/>
  <c r="AD26" i="25"/>
  <c r="AD385" i="25"/>
  <c r="AE386" i="25"/>
  <c r="AD682" i="25"/>
  <c r="AE683" i="25"/>
  <c r="AE220" i="25" l="1"/>
  <c r="AD219" i="25"/>
  <c r="AD481" i="25"/>
  <c r="AE482" i="25"/>
  <c r="AD626" i="25"/>
  <c r="AE627" i="25"/>
  <c r="AE869" i="25"/>
  <c r="AD868" i="25"/>
  <c r="AD980" i="25"/>
  <c r="AE981" i="25"/>
  <c r="AD709" i="25"/>
  <c r="AE710" i="25"/>
  <c r="AD1028" i="25"/>
  <c r="AE1029" i="25"/>
  <c r="AE684" i="25"/>
  <c r="AD684" i="25" s="1"/>
  <c r="AD683" i="25"/>
  <c r="AD426" i="25"/>
  <c r="AE427" i="25"/>
  <c r="AD427" i="25" s="1"/>
  <c r="AD453" i="25"/>
  <c r="AE454" i="25"/>
  <c r="AD27" i="25"/>
  <c r="AE28" i="25"/>
  <c r="AD598" i="25"/>
  <c r="AE599" i="25"/>
  <c r="AE344" i="25"/>
  <c r="AD343" i="25"/>
  <c r="AE178" i="25"/>
  <c r="AD177" i="25"/>
  <c r="AE740" i="25"/>
  <c r="AD739" i="25"/>
  <c r="AE387" i="25"/>
  <c r="AD386" i="25"/>
  <c r="AE804" i="25"/>
  <c r="AD803" i="25"/>
  <c r="AE483" i="25" l="1"/>
  <c r="AD482" i="25"/>
  <c r="AD220" i="25"/>
  <c r="AE221" i="25"/>
  <c r="AD710" i="25"/>
  <c r="AE711" i="25"/>
  <c r="AE388" i="25"/>
  <c r="AD387" i="25"/>
  <c r="AE345" i="25"/>
  <c r="AD345" i="25" s="1"/>
  <c r="AD344" i="25"/>
  <c r="AE982" i="25"/>
  <c r="AD981" i="25"/>
  <c r="AD599" i="25"/>
  <c r="AE600" i="25"/>
  <c r="AE455" i="25"/>
  <c r="AD455" i="25" s="1"/>
  <c r="AD454" i="25"/>
  <c r="AD28" i="25"/>
  <c r="AE29" i="25"/>
  <c r="AE1030" i="25"/>
  <c r="AD1029" i="25"/>
  <c r="AE628" i="25"/>
  <c r="AD627" i="25"/>
  <c r="AE179" i="25"/>
  <c r="AD178" i="25"/>
  <c r="AE741" i="25"/>
  <c r="AD740" i="25"/>
  <c r="AD869" i="25"/>
  <c r="AE870" i="25"/>
  <c r="AE805" i="25"/>
  <c r="AD804" i="25"/>
  <c r="AD221" i="25" l="1"/>
  <c r="AE222" i="25"/>
  <c r="AD483" i="25"/>
  <c r="AE484" i="25"/>
  <c r="AE30" i="25"/>
  <c r="AD29" i="25"/>
  <c r="AD741" i="25"/>
  <c r="AE742" i="25"/>
  <c r="AD179" i="25"/>
  <c r="AE180" i="25"/>
  <c r="AE601" i="25"/>
  <c r="AD600" i="25"/>
  <c r="AD805" i="25"/>
  <c r="AE806" i="25"/>
  <c r="AE629" i="25"/>
  <c r="AD628" i="25"/>
  <c r="AE389" i="25"/>
  <c r="AD388" i="25"/>
  <c r="AE871" i="25"/>
  <c r="AD870" i="25"/>
  <c r="AE712" i="25"/>
  <c r="AD711" i="25"/>
  <c r="AE1031" i="25"/>
  <c r="AD1030" i="25"/>
  <c r="AE983" i="25"/>
  <c r="AD982" i="25"/>
  <c r="AE485" i="25" l="1"/>
  <c r="AD484" i="25"/>
  <c r="AE223" i="25"/>
  <c r="AD222" i="25"/>
  <c r="AE807" i="25"/>
  <c r="AD806" i="25"/>
  <c r="AE1032" i="25"/>
  <c r="AD1031" i="25"/>
  <c r="AD629" i="25"/>
  <c r="AE630" i="25"/>
  <c r="AE713" i="25"/>
  <c r="AD713" i="25" s="1"/>
  <c r="AD712" i="25"/>
  <c r="AD742" i="25"/>
  <c r="AE743" i="25"/>
  <c r="AE872" i="25"/>
  <c r="AD871" i="25"/>
  <c r="AD180" i="25"/>
  <c r="AE181" i="25"/>
  <c r="AE602" i="25"/>
  <c r="AD602" i="25" s="1"/>
  <c r="AD601" i="25"/>
  <c r="AE984" i="25"/>
  <c r="AD983" i="25"/>
  <c r="AD389" i="25"/>
  <c r="AE390" i="25"/>
  <c r="AE31" i="25"/>
  <c r="AD30" i="25"/>
  <c r="AD223" i="25" l="1"/>
  <c r="AE224" i="25"/>
  <c r="AE486" i="25"/>
  <c r="AD485" i="25"/>
  <c r="AE391" i="25"/>
  <c r="AD390" i="25"/>
  <c r="AE873" i="25"/>
  <c r="AD872" i="25"/>
  <c r="AE744" i="25"/>
  <c r="AD743" i="25"/>
  <c r="AE985" i="25"/>
  <c r="AD984" i="25"/>
  <c r="AE182" i="25"/>
  <c r="AD181" i="25"/>
  <c r="AD630" i="25"/>
  <c r="AE631" i="25"/>
  <c r="AE1033" i="25"/>
  <c r="AD1032" i="25"/>
  <c r="AE32" i="25"/>
  <c r="AD31" i="25"/>
  <c r="AD807" i="25"/>
  <c r="AE808" i="25"/>
  <c r="AE487" i="25" l="1"/>
  <c r="AD486" i="25"/>
  <c r="AD224" i="25"/>
  <c r="AE225" i="25"/>
  <c r="AE632" i="25"/>
  <c r="AD631" i="25"/>
  <c r="AD808" i="25"/>
  <c r="AE809" i="25"/>
  <c r="AE183" i="25"/>
  <c r="AD182" i="25"/>
  <c r="AE745" i="25"/>
  <c r="AD744" i="25"/>
  <c r="AD32" i="25"/>
  <c r="AE33" i="25"/>
  <c r="AD873" i="25"/>
  <c r="AE874" i="25"/>
  <c r="AE1034" i="25"/>
  <c r="AD1033" i="25"/>
  <c r="AE986" i="25"/>
  <c r="AD985" i="25"/>
  <c r="AE392" i="25"/>
  <c r="AD391" i="25"/>
  <c r="AE226" i="25" l="1"/>
  <c r="AD225" i="25"/>
  <c r="AD487" i="25"/>
  <c r="AE488" i="25"/>
  <c r="AE875" i="25"/>
  <c r="AD874" i="25"/>
  <c r="AD183" i="25"/>
  <c r="AE184" i="25"/>
  <c r="AD809" i="25"/>
  <c r="AE810" i="25"/>
  <c r="AE34" i="25"/>
  <c r="AD33" i="25"/>
  <c r="AE393" i="25"/>
  <c r="AD392" i="25"/>
  <c r="AE987" i="25"/>
  <c r="AD986" i="25"/>
  <c r="AE1035" i="25"/>
  <c r="AD1034" i="25"/>
  <c r="AD745" i="25"/>
  <c r="AE746" i="25"/>
  <c r="AE633" i="25"/>
  <c r="AD632" i="25"/>
  <c r="AE489" i="25" l="1"/>
  <c r="AD488" i="25"/>
  <c r="AD226" i="25"/>
  <c r="AE227" i="25"/>
  <c r="AE988" i="25"/>
  <c r="AD987" i="25"/>
  <c r="AD746" i="25"/>
  <c r="AE747" i="25"/>
  <c r="AD184" i="25"/>
  <c r="AE185" i="25"/>
  <c r="AD633" i="25"/>
  <c r="AE634" i="25"/>
  <c r="AD393" i="25"/>
  <c r="AE394" i="25"/>
  <c r="AE811" i="25"/>
  <c r="AD810" i="25"/>
  <c r="AE1036" i="25"/>
  <c r="AD1035" i="25"/>
  <c r="AE35" i="25"/>
  <c r="AD34" i="25"/>
  <c r="AE876" i="25"/>
  <c r="AD875" i="25"/>
  <c r="AE490" i="25" l="1"/>
  <c r="AD489" i="25"/>
  <c r="AD227" i="25"/>
  <c r="AE228" i="25"/>
  <c r="AE812" i="25"/>
  <c r="AD811" i="25"/>
  <c r="AE395" i="25"/>
  <c r="AD394" i="25"/>
  <c r="AD634" i="25"/>
  <c r="AE635" i="25"/>
  <c r="AE877" i="25"/>
  <c r="AD876" i="25"/>
  <c r="AE186" i="25"/>
  <c r="AD185" i="25"/>
  <c r="AE748" i="25"/>
  <c r="AD747" i="25"/>
  <c r="AD988" i="25"/>
  <c r="AE989" i="25"/>
  <c r="AE36" i="25"/>
  <c r="AD35" i="25"/>
  <c r="AE1037" i="25"/>
  <c r="AD1036" i="25"/>
  <c r="AD228" i="25" l="1"/>
  <c r="AE229" i="25"/>
  <c r="AE491" i="25"/>
  <c r="AD490" i="25"/>
  <c r="AE1038" i="25"/>
  <c r="AD1037" i="25"/>
  <c r="AE636" i="25"/>
  <c r="AD635" i="25"/>
  <c r="AD395" i="25"/>
  <c r="AE396" i="25"/>
  <c r="AE749" i="25"/>
  <c r="AD748" i="25"/>
  <c r="AD36" i="25"/>
  <c r="AE37" i="25"/>
  <c r="AE187" i="25"/>
  <c r="AD186" i="25"/>
  <c r="AE990" i="25"/>
  <c r="AD989" i="25"/>
  <c r="AD877" i="25"/>
  <c r="AE878" i="25"/>
  <c r="AD812" i="25"/>
  <c r="AE813" i="25"/>
  <c r="AE230" i="25" l="1"/>
  <c r="AD229" i="25"/>
  <c r="AE492" i="25"/>
  <c r="AD491" i="25"/>
  <c r="AE397" i="25"/>
  <c r="AD396" i="25"/>
  <c r="AD813" i="25"/>
  <c r="AE814" i="25"/>
  <c r="AE879" i="25"/>
  <c r="AD878" i="25"/>
  <c r="AD187" i="25"/>
  <c r="AE188" i="25"/>
  <c r="AE38" i="25"/>
  <c r="AD37" i="25"/>
  <c r="AE637" i="25"/>
  <c r="AD636" i="25"/>
  <c r="AE991" i="25"/>
  <c r="AD990" i="25"/>
  <c r="AD749" i="25"/>
  <c r="AE750" i="25"/>
  <c r="AE1039" i="25"/>
  <c r="AD1038" i="25"/>
  <c r="AE493" i="25" l="1"/>
  <c r="AD492" i="25"/>
  <c r="AD230" i="25"/>
  <c r="AE231" i="25"/>
  <c r="AE638" i="25"/>
  <c r="AD637" i="25"/>
  <c r="AE815" i="25"/>
  <c r="AD814" i="25"/>
  <c r="AD750" i="25"/>
  <c r="AE751" i="25"/>
  <c r="AE1040" i="25"/>
  <c r="AD1039" i="25"/>
  <c r="AE880" i="25"/>
  <c r="AD879" i="25"/>
  <c r="AE39" i="25"/>
  <c r="AD38" i="25"/>
  <c r="AD188" i="25"/>
  <c r="AE189" i="25"/>
  <c r="AE992" i="25"/>
  <c r="AD991" i="25"/>
  <c r="AD397" i="25"/>
  <c r="AE398" i="25"/>
  <c r="AD231" i="25" l="1"/>
  <c r="AE232" i="25"/>
  <c r="AD493" i="25"/>
  <c r="AE494" i="25"/>
  <c r="AD398" i="25"/>
  <c r="AE399" i="25"/>
  <c r="AE40" i="25"/>
  <c r="AD39" i="25"/>
  <c r="AE881" i="25"/>
  <c r="AD880" i="25"/>
  <c r="AE816" i="25"/>
  <c r="AD815" i="25"/>
  <c r="AE993" i="25"/>
  <c r="AD992" i="25"/>
  <c r="AE1041" i="25"/>
  <c r="AD1040" i="25"/>
  <c r="AE190" i="25"/>
  <c r="AD189" i="25"/>
  <c r="AE752" i="25"/>
  <c r="AD751" i="25"/>
  <c r="AD638" i="25"/>
  <c r="AE639" i="25"/>
  <c r="AD639" i="25" s="1"/>
  <c r="AE495" i="25" l="1"/>
  <c r="AD494" i="25"/>
  <c r="AD232" i="25"/>
  <c r="AE233" i="25"/>
  <c r="AE1042" i="25"/>
  <c r="AD1041" i="25"/>
  <c r="AD40" i="25"/>
  <c r="AE41" i="25"/>
  <c r="AE994" i="25"/>
  <c r="AD993" i="25"/>
  <c r="AE753" i="25"/>
  <c r="AD752" i="25"/>
  <c r="AE817" i="25"/>
  <c r="AD817" i="25" s="1"/>
  <c r="AD816" i="25"/>
  <c r="AD399" i="25"/>
  <c r="AE400" i="25"/>
  <c r="AE191" i="25"/>
  <c r="AD190" i="25"/>
  <c r="AD881" i="25"/>
  <c r="AE882" i="25"/>
  <c r="AD233" i="25" l="1"/>
  <c r="AE234" i="25"/>
  <c r="AD495" i="25"/>
  <c r="AE496" i="25"/>
  <c r="AE995" i="25"/>
  <c r="AD994" i="25"/>
  <c r="AE883" i="25"/>
  <c r="AD882" i="25"/>
  <c r="AE42" i="25"/>
  <c r="AD41" i="25"/>
  <c r="AE401" i="25"/>
  <c r="AD400" i="25"/>
  <c r="AD191" i="25"/>
  <c r="AE192" i="25"/>
  <c r="AD753" i="25"/>
  <c r="AE754" i="25"/>
  <c r="AE1043" i="25"/>
  <c r="AD1042" i="25"/>
  <c r="AE497" i="25" l="1"/>
  <c r="AD496" i="25"/>
  <c r="AE235" i="25"/>
  <c r="AD234" i="25"/>
  <c r="AD192" i="25"/>
  <c r="AE193" i="25"/>
  <c r="AE884" i="25"/>
  <c r="AD883" i="25"/>
  <c r="AE43" i="25"/>
  <c r="AD42" i="25"/>
  <c r="AE402" i="25"/>
  <c r="AD402" i="25" s="1"/>
  <c r="AD401" i="25"/>
  <c r="AD754" i="25"/>
  <c r="AE755" i="25"/>
  <c r="AE1044" i="25"/>
  <c r="AD1043" i="25"/>
  <c r="AE996" i="25"/>
  <c r="AD995" i="25"/>
  <c r="AD235" i="25" l="1"/>
  <c r="AE236" i="25"/>
  <c r="AE498" i="25"/>
  <c r="AD497" i="25"/>
  <c r="AD43" i="25"/>
  <c r="AE44" i="25"/>
  <c r="AE756" i="25"/>
  <c r="AD755" i="25"/>
  <c r="AE885" i="25"/>
  <c r="AD884" i="25"/>
  <c r="AD1044" i="25"/>
  <c r="AE1045" i="25"/>
  <c r="AD1045" i="25" s="1"/>
  <c r="AE194" i="25"/>
  <c r="AD193" i="25"/>
  <c r="AD996" i="25"/>
  <c r="AE997" i="25"/>
  <c r="AD498" i="25" l="1"/>
  <c r="AE499" i="25"/>
  <c r="AD236" i="25"/>
  <c r="AE237" i="25"/>
  <c r="AD885" i="25"/>
  <c r="AE886" i="25"/>
  <c r="AE195" i="25"/>
  <c r="AD195" i="25" s="1"/>
  <c r="AD194" i="25"/>
  <c r="AE757" i="25"/>
  <c r="AD756" i="25"/>
  <c r="AE998" i="25"/>
  <c r="AD997" i="25"/>
  <c r="AD44" i="25"/>
  <c r="AE45" i="25"/>
  <c r="AE238" i="25" l="1"/>
  <c r="AD237" i="25"/>
  <c r="AD499" i="25"/>
  <c r="AE500" i="25"/>
  <c r="AD757" i="25"/>
  <c r="AE758" i="25"/>
  <c r="AE46" i="25"/>
  <c r="AD45" i="25"/>
  <c r="AE887" i="25"/>
  <c r="AD886" i="25"/>
  <c r="AE999" i="25"/>
  <c r="AD998" i="25"/>
  <c r="AE501" i="25" l="1"/>
  <c r="AD500" i="25"/>
  <c r="AE239" i="25"/>
  <c r="AD238" i="25"/>
  <c r="AD758" i="25"/>
  <c r="AE759" i="25"/>
  <c r="AE47" i="25"/>
  <c r="AD46" i="25"/>
  <c r="AE1000" i="25"/>
  <c r="AD999" i="25"/>
  <c r="AE888" i="25"/>
  <c r="AD887" i="25"/>
  <c r="AD239" i="25" l="1"/>
  <c r="AE240" i="25"/>
  <c r="AE502" i="25"/>
  <c r="AD501" i="25"/>
  <c r="AE1001" i="25"/>
  <c r="AD1000" i="25"/>
  <c r="AD888" i="25"/>
  <c r="AE889" i="25"/>
  <c r="AD47" i="25"/>
  <c r="AE48" i="25"/>
  <c r="AE760" i="25"/>
  <c r="AD759" i="25"/>
  <c r="AD502" i="25" l="1"/>
  <c r="AE503" i="25"/>
  <c r="AE241" i="25"/>
  <c r="AD240" i="25"/>
  <c r="AD889" i="25"/>
  <c r="AE890" i="25"/>
  <c r="AD48" i="25"/>
  <c r="AE49" i="25"/>
  <c r="AE761" i="25"/>
  <c r="AD760" i="25"/>
  <c r="AE1002" i="25"/>
  <c r="AD1001" i="25"/>
  <c r="AE242" i="25" l="1"/>
  <c r="AD241" i="25"/>
  <c r="AD503" i="25"/>
  <c r="AE504" i="25"/>
  <c r="AE50" i="25"/>
  <c r="AD49" i="25"/>
  <c r="AE891" i="25"/>
  <c r="AD890" i="25"/>
  <c r="AE1003" i="25"/>
  <c r="AD1003" i="25" s="1"/>
  <c r="AD1002" i="25"/>
  <c r="AD761" i="25"/>
  <c r="AE762" i="25"/>
  <c r="AD504" i="25" l="1"/>
  <c r="AE505" i="25"/>
  <c r="AE243" i="25"/>
  <c r="AD242" i="25"/>
  <c r="AE892" i="25"/>
  <c r="AD891" i="25"/>
  <c r="AD762" i="25"/>
  <c r="AE763" i="25"/>
  <c r="AE51" i="25"/>
  <c r="AD50" i="25"/>
  <c r="AD243" i="25" l="1"/>
  <c r="AE244" i="25"/>
  <c r="AE506" i="25"/>
  <c r="AD505" i="25"/>
  <c r="AE764" i="25"/>
  <c r="AD763" i="25"/>
  <c r="AD51" i="25"/>
  <c r="AE52" i="25"/>
  <c r="AE893" i="25"/>
  <c r="AD892" i="25"/>
  <c r="AE507" i="25" l="1"/>
  <c r="AD506" i="25"/>
  <c r="AD244" i="25"/>
  <c r="AE245" i="25"/>
  <c r="AD52" i="25"/>
  <c r="AE53" i="25"/>
  <c r="AE765" i="25"/>
  <c r="AD764" i="25"/>
  <c r="AD893" i="25"/>
  <c r="AE894" i="25"/>
  <c r="AE246" i="25" l="1"/>
  <c r="AD245" i="25"/>
  <c r="AD507" i="25"/>
  <c r="AE508" i="25"/>
  <c r="AD765" i="25"/>
  <c r="AE766" i="25"/>
  <c r="AE54" i="25"/>
  <c r="AD53" i="25"/>
  <c r="AE895" i="25"/>
  <c r="AD894" i="25"/>
  <c r="AD508" i="25" l="1"/>
  <c r="AE509" i="25"/>
  <c r="AE247" i="25"/>
  <c r="AD246" i="25"/>
  <c r="AE896" i="25"/>
  <c r="AD895" i="25"/>
  <c r="AE55" i="25"/>
  <c r="AD54" i="25"/>
  <c r="AE767" i="25"/>
  <c r="AD766" i="25"/>
  <c r="AD247" i="25" l="1"/>
  <c r="AE248" i="25"/>
  <c r="AE510" i="25"/>
  <c r="AD509" i="25"/>
  <c r="AD55" i="25"/>
  <c r="AE56" i="25"/>
  <c r="AD767" i="25"/>
  <c r="AE768" i="25"/>
  <c r="AE897" i="25"/>
  <c r="AD896" i="25"/>
  <c r="AD510" i="25" l="1"/>
  <c r="AE511" i="25"/>
  <c r="AD248" i="25"/>
  <c r="AE249" i="25"/>
  <c r="AE769" i="25"/>
  <c r="AD768" i="25"/>
  <c r="AD56" i="25"/>
  <c r="AE57" i="25"/>
  <c r="AD897" i="25"/>
  <c r="AE898" i="25"/>
  <c r="AE250" i="25" l="1"/>
  <c r="AD249" i="25"/>
  <c r="AE512" i="25"/>
  <c r="AD511" i="25"/>
  <c r="AE58" i="25"/>
  <c r="AD57" i="25"/>
  <c r="AE899" i="25"/>
  <c r="AD898" i="25"/>
  <c r="AE770" i="25"/>
  <c r="AD769" i="25"/>
  <c r="AD512" i="25" l="1"/>
  <c r="AE513" i="25"/>
  <c r="AE251" i="25"/>
  <c r="AD250" i="25"/>
  <c r="AE900" i="25"/>
  <c r="AD899" i="25"/>
  <c r="AE59" i="25"/>
  <c r="AD58" i="25"/>
  <c r="AE771" i="25"/>
  <c r="AD770" i="25"/>
  <c r="AE252" i="25" l="1"/>
  <c r="AD251" i="25"/>
  <c r="AE514" i="25"/>
  <c r="AD513" i="25"/>
  <c r="AE772" i="25"/>
  <c r="AD771" i="25"/>
  <c r="AE60" i="25"/>
  <c r="AD59" i="25"/>
  <c r="AE901" i="25"/>
  <c r="AD900" i="25"/>
  <c r="AD514" i="25" l="1"/>
  <c r="AE515" i="25"/>
  <c r="AD252" i="25"/>
  <c r="AE253" i="25"/>
  <c r="AD60" i="25"/>
  <c r="AE61" i="25"/>
  <c r="AD901" i="25"/>
  <c r="AE902" i="25"/>
  <c r="AE773" i="25"/>
  <c r="AD772" i="25"/>
  <c r="AD253" i="25" l="1"/>
  <c r="AE254" i="25"/>
  <c r="AD515" i="25"/>
  <c r="AE516" i="25"/>
  <c r="AE903" i="25"/>
  <c r="AD902" i="25"/>
  <c r="AE62" i="25"/>
  <c r="AD61" i="25"/>
  <c r="AE774" i="25"/>
  <c r="AD773" i="25"/>
  <c r="AE517" i="25" l="1"/>
  <c r="AD516" i="25"/>
  <c r="AE255" i="25"/>
  <c r="AD254" i="25"/>
  <c r="AE63" i="25"/>
  <c r="AD62" i="25"/>
  <c r="AE775" i="25"/>
  <c r="AD774" i="25"/>
  <c r="AE904" i="25"/>
  <c r="AD903" i="25"/>
  <c r="AE256" i="25" l="1"/>
  <c r="AD255" i="25"/>
  <c r="AE518" i="25"/>
  <c r="AD517" i="25"/>
  <c r="AE905" i="25"/>
  <c r="AD904" i="25"/>
  <c r="AD775" i="25"/>
  <c r="AE776" i="25"/>
  <c r="AD63" i="25"/>
  <c r="AE64" i="25"/>
  <c r="AD518" i="25" l="1"/>
  <c r="AE519" i="25"/>
  <c r="AD256" i="25"/>
  <c r="AE257" i="25"/>
  <c r="AD776" i="25"/>
  <c r="AE777" i="25"/>
  <c r="AD777" i="25" s="1"/>
  <c r="AD64" i="25"/>
  <c r="AE65" i="25"/>
  <c r="AD905" i="25"/>
  <c r="AE906" i="25"/>
  <c r="AE258" i="25" l="1"/>
  <c r="AD257" i="25"/>
  <c r="AE520" i="25"/>
  <c r="AD519" i="25"/>
  <c r="AE907" i="25"/>
  <c r="AD906" i="25"/>
  <c r="AE66" i="25"/>
  <c r="AD65" i="25"/>
  <c r="AE521" i="25" l="1"/>
  <c r="AD520" i="25"/>
  <c r="AD258" i="25"/>
  <c r="AE259" i="25"/>
  <c r="AE908" i="25"/>
  <c r="AD907" i="25"/>
  <c r="AE67" i="25"/>
  <c r="AD66" i="25"/>
  <c r="AE260" i="25" l="1"/>
  <c r="AD259" i="25"/>
  <c r="AE522" i="25"/>
  <c r="AD521" i="25"/>
  <c r="AD67" i="25"/>
  <c r="AE68" i="25"/>
  <c r="AD908" i="25"/>
  <c r="AE909" i="25"/>
  <c r="AE523" i="25" l="1"/>
  <c r="AD522" i="25"/>
  <c r="AE261" i="25"/>
  <c r="AD260" i="25"/>
  <c r="AD68" i="25"/>
  <c r="AE69" i="25"/>
  <c r="AD909" i="25"/>
  <c r="AE910" i="25"/>
  <c r="AD261" i="25" l="1"/>
  <c r="AE262" i="25"/>
  <c r="AD523" i="25"/>
  <c r="AE524" i="25"/>
  <c r="AE911" i="25"/>
  <c r="AD910" i="25"/>
  <c r="AE70" i="25"/>
  <c r="AD69" i="25"/>
  <c r="AD524" i="25" l="1"/>
  <c r="AE525" i="25"/>
  <c r="AE263" i="25"/>
  <c r="AD262" i="25"/>
  <c r="AE71" i="25"/>
  <c r="AD70" i="25"/>
  <c r="AE912" i="25"/>
  <c r="AD911" i="25"/>
  <c r="AE264" i="25" l="1"/>
  <c r="AD263" i="25"/>
  <c r="AD525" i="25"/>
  <c r="AE526" i="25"/>
  <c r="AD71" i="25"/>
  <c r="AE72" i="25"/>
  <c r="AE913" i="25"/>
  <c r="AD912" i="25"/>
  <c r="AE527" i="25" l="1"/>
  <c r="AD526" i="25"/>
  <c r="AE265" i="25"/>
  <c r="AD264" i="25"/>
  <c r="AD913" i="25"/>
  <c r="AE914" i="25"/>
  <c r="AD72" i="25"/>
  <c r="AE73" i="25"/>
  <c r="AD265" i="25" l="1"/>
  <c r="AE266" i="25"/>
  <c r="AE528" i="25"/>
  <c r="AD527" i="25"/>
  <c r="AE74" i="25"/>
  <c r="AD73" i="25"/>
  <c r="AE915" i="25"/>
  <c r="AD914" i="25"/>
  <c r="AE529" i="25" l="1"/>
  <c r="AD528" i="25"/>
  <c r="AD266" i="25"/>
  <c r="AE267" i="25"/>
  <c r="AE916" i="25"/>
  <c r="AD915" i="25"/>
  <c r="AE75" i="25"/>
  <c r="AD74" i="25"/>
  <c r="AE268" i="25" l="1"/>
  <c r="AD267" i="25"/>
  <c r="AE530" i="25"/>
  <c r="AD529" i="25"/>
  <c r="AD75" i="25"/>
  <c r="AE76" i="25"/>
  <c r="AE917" i="25"/>
  <c r="AD916" i="25"/>
  <c r="AE531" i="25" l="1"/>
  <c r="AD530" i="25"/>
  <c r="AE269" i="25"/>
  <c r="AD268" i="25"/>
  <c r="AD917" i="25"/>
  <c r="AE918" i="25"/>
  <c r="AD76" i="25"/>
  <c r="AE77" i="25"/>
  <c r="AD269" i="25" l="1"/>
  <c r="AE270" i="25"/>
  <c r="AE532" i="25"/>
  <c r="AD531" i="25"/>
  <c r="AE78" i="25"/>
  <c r="AD77" i="25"/>
  <c r="AE919" i="25"/>
  <c r="AD918" i="25"/>
  <c r="AE533" i="25" l="1"/>
  <c r="AD532" i="25"/>
  <c r="AD270" i="25"/>
  <c r="AE271" i="25"/>
  <c r="AE920" i="25"/>
  <c r="AD919" i="25"/>
  <c r="AE79" i="25"/>
  <c r="AD78" i="25"/>
  <c r="AD271" i="25" l="1"/>
  <c r="AE272" i="25"/>
  <c r="AE534" i="25"/>
  <c r="AD533" i="25"/>
  <c r="AD79" i="25"/>
  <c r="AE80" i="25"/>
  <c r="AD920" i="25"/>
  <c r="AE921" i="25"/>
  <c r="AD534" i="25" l="1"/>
  <c r="AE535" i="25"/>
  <c r="AE273" i="25"/>
  <c r="AD272" i="25"/>
  <c r="AD921" i="25"/>
  <c r="AE922" i="25"/>
  <c r="AD80" i="25"/>
  <c r="AE81" i="25"/>
  <c r="AD273" i="25" l="1"/>
  <c r="AE274" i="25"/>
  <c r="AD535" i="25"/>
  <c r="AE536" i="25"/>
  <c r="AE82" i="25"/>
  <c r="AD81" i="25"/>
  <c r="AE923" i="25"/>
  <c r="AD922" i="25"/>
  <c r="AE537" i="25" l="1"/>
  <c r="AD536" i="25"/>
  <c r="AE275" i="25"/>
  <c r="AD274" i="25"/>
  <c r="AE924" i="25"/>
  <c r="AD923" i="25"/>
  <c r="AE83" i="25"/>
  <c r="AD82" i="25"/>
  <c r="AE276" i="25" l="1"/>
  <c r="AD275" i="25"/>
  <c r="AD537" i="25"/>
  <c r="AE538" i="25"/>
  <c r="AD83" i="25"/>
  <c r="AE84" i="25"/>
  <c r="AE925" i="25"/>
  <c r="AD924" i="25"/>
  <c r="AE539" i="25" l="1"/>
  <c r="AD538" i="25"/>
  <c r="AD276" i="25"/>
  <c r="AE277" i="25"/>
  <c r="AD925" i="25"/>
  <c r="AE926" i="25"/>
  <c r="AD84" i="25"/>
  <c r="AE85" i="25"/>
  <c r="AD277" i="25" l="1"/>
  <c r="AE278" i="25"/>
  <c r="AD539" i="25"/>
  <c r="AE540" i="25"/>
  <c r="AE86" i="25"/>
  <c r="AD85" i="25"/>
  <c r="AE927" i="25"/>
  <c r="AD926" i="25"/>
  <c r="AE541" i="25" l="1"/>
  <c r="AD540" i="25"/>
  <c r="AD278" i="25"/>
  <c r="AE279" i="25"/>
  <c r="AE928" i="25"/>
  <c r="AD927" i="25"/>
  <c r="AE87" i="25"/>
  <c r="AD86" i="25"/>
  <c r="AD541" i="25" l="1"/>
  <c r="AE542" i="25"/>
  <c r="AD279" i="25"/>
  <c r="AE280" i="25"/>
  <c r="AD87" i="25"/>
  <c r="AE88" i="25"/>
  <c r="AD928" i="25"/>
  <c r="AE929" i="25"/>
  <c r="AD542" i="25" l="1"/>
  <c r="AE543" i="25"/>
  <c r="AD280" i="25"/>
  <c r="AE281" i="25"/>
  <c r="AD88" i="25"/>
  <c r="AE89" i="25"/>
  <c r="AE930" i="25"/>
  <c r="AD930" i="25" s="1"/>
  <c r="AD929" i="25"/>
  <c r="AD281" i="25" l="1"/>
  <c r="AE282" i="25"/>
  <c r="AD543" i="25"/>
  <c r="AE544" i="25"/>
  <c r="AE90" i="25"/>
  <c r="AD89" i="25"/>
  <c r="AD544" i="25" l="1"/>
  <c r="AE545" i="25"/>
  <c r="AE283" i="25"/>
  <c r="AD282" i="25"/>
  <c r="AE91" i="25"/>
  <c r="AD90" i="25"/>
  <c r="AE284" i="25" l="1"/>
  <c r="AD283" i="25"/>
  <c r="AE546" i="25"/>
  <c r="AD545" i="25"/>
  <c r="AD91" i="25"/>
  <c r="AE92" i="25"/>
  <c r="AE547" i="25" l="1"/>
  <c r="AD546" i="25"/>
  <c r="AE285" i="25"/>
  <c r="AD284" i="25"/>
  <c r="AD92" i="25"/>
  <c r="AE93" i="25"/>
  <c r="AD285" i="25" l="1"/>
  <c r="AE286" i="25"/>
  <c r="AD547" i="25"/>
  <c r="AE548" i="25"/>
  <c r="AE94" i="25"/>
  <c r="AD93" i="25"/>
  <c r="AE549" i="25" l="1"/>
  <c r="AD548" i="25"/>
  <c r="AD286" i="25"/>
  <c r="AE287" i="25"/>
  <c r="AE95" i="25"/>
  <c r="AD94" i="25"/>
  <c r="AD287" i="25" l="1"/>
  <c r="AE288" i="25"/>
  <c r="AE550" i="25"/>
  <c r="AD549" i="25"/>
  <c r="AD95" i="25"/>
  <c r="AE96" i="25"/>
  <c r="AE551" i="25" l="1"/>
  <c r="AD550" i="25"/>
  <c r="AD288" i="25"/>
  <c r="AE289" i="25"/>
  <c r="AD96" i="25"/>
  <c r="AE97" i="25"/>
  <c r="AD551" i="25" l="1"/>
  <c r="AE552" i="25"/>
  <c r="AD289" i="25"/>
  <c r="AE290" i="25"/>
  <c r="AE98" i="25"/>
  <c r="AD97" i="25"/>
  <c r="AE291" i="25" l="1"/>
  <c r="AD290" i="25"/>
  <c r="AE553" i="25"/>
  <c r="AD552" i="25"/>
  <c r="AE99" i="25"/>
  <c r="AD98" i="25"/>
  <c r="AD553" i="25" l="1"/>
  <c r="AE554" i="25"/>
  <c r="AD291" i="25"/>
  <c r="AE292" i="25"/>
  <c r="AD99" i="25"/>
  <c r="AE100" i="25"/>
  <c r="AE293" i="25" l="1"/>
  <c r="AD292" i="25"/>
  <c r="AE555" i="25"/>
  <c r="AD554" i="25"/>
  <c r="AD100" i="25"/>
  <c r="AE101" i="25"/>
  <c r="AD555" i="25" l="1"/>
  <c r="AE556" i="25"/>
  <c r="AD293" i="25"/>
  <c r="AE294" i="25"/>
  <c r="AE102" i="25"/>
  <c r="AD101" i="25"/>
  <c r="AE295" i="25" l="1"/>
  <c r="AD294" i="25"/>
  <c r="AE557" i="25"/>
  <c r="AD556" i="25"/>
  <c r="AE103" i="25"/>
  <c r="AD102" i="25"/>
  <c r="AE558" i="25" l="1"/>
  <c r="AD557" i="25"/>
  <c r="AE296" i="25"/>
  <c r="AD295" i="25"/>
  <c r="AD103" i="25"/>
  <c r="AE104" i="25"/>
  <c r="AE559" i="25" l="1"/>
  <c r="AD558" i="25"/>
  <c r="AE297" i="25"/>
  <c r="AD296" i="25"/>
  <c r="AD104" i="25"/>
  <c r="AE105" i="25"/>
  <c r="AE298" i="25" l="1"/>
  <c r="AD297" i="25"/>
  <c r="AE560" i="25"/>
  <c r="AD559" i="25"/>
  <c r="AE106" i="25"/>
  <c r="AD105" i="25"/>
  <c r="AD560" i="25" l="1"/>
  <c r="AE561" i="25"/>
  <c r="AE299" i="25"/>
  <c r="AD298" i="25"/>
  <c r="AE107" i="25"/>
  <c r="AD106" i="25"/>
  <c r="AE300" i="25" l="1"/>
  <c r="AD299" i="25"/>
  <c r="AE562" i="25"/>
  <c r="AD561" i="25"/>
  <c r="AD107" i="25"/>
  <c r="AE108" i="25"/>
  <c r="AE563" i="25" l="1"/>
  <c r="AD562" i="25"/>
  <c r="AD300" i="25"/>
  <c r="AE301" i="25"/>
  <c r="AD108" i="25"/>
  <c r="AE109" i="25"/>
  <c r="AD301" i="25" l="1"/>
  <c r="AE302" i="25"/>
  <c r="AD563" i="25"/>
  <c r="AE564" i="25"/>
  <c r="AE110" i="25"/>
  <c r="AD109" i="25"/>
  <c r="AE565" i="25" l="1"/>
  <c r="AD564" i="25"/>
  <c r="AD302" i="25"/>
  <c r="AE303" i="25"/>
  <c r="AE111" i="25"/>
  <c r="AD110" i="25"/>
  <c r="AE304" i="25" l="1"/>
  <c r="AD303" i="25"/>
  <c r="AD565" i="25"/>
  <c r="AE566" i="25"/>
  <c r="AD111" i="25"/>
  <c r="AE112" i="25"/>
  <c r="AD566" i="25" l="1"/>
  <c r="AE567" i="25"/>
  <c r="AE305" i="25"/>
  <c r="AD304" i="25"/>
  <c r="AD112" i="25"/>
  <c r="AE113" i="25"/>
  <c r="AD305" i="25" l="1"/>
  <c r="AE306" i="25"/>
  <c r="AD567" i="25"/>
  <c r="AE568" i="25"/>
  <c r="AE114" i="25"/>
  <c r="AD113" i="25"/>
  <c r="AD568" i="25" l="1"/>
  <c r="AE569" i="25"/>
  <c r="AE307" i="25"/>
  <c r="AD306" i="25"/>
  <c r="AE115" i="25"/>
  <c r="AD114" i="25"/>
  <c r="AE308" i="25" l="1"/>
  <c r="AD307" i="25"/>
  <c r="AE570" i="25"/>
  <c r="AD569" i="25"/>
  <c r="AD115" i="25"/>
  <c r="AE116" i="25"/>
  <c r="AE571" i="25" l="1"/>
  <c r="AD571" i="25" s="1"/>
  <c r="AD570" i="25"/>
  <c r="AE309" i="25"/>
  <c r="AD308" i="25"/>
  <c r="AD116" i="25"/>
  <c r="AE117" i="25"/>
  <c r="AD309" i="25" l="1"/>
  <c r="AE310" i="25"/>
  <c r="AE118" i="25"/>
  <c r="AD117" i="25"/>
  <c r="AE311" i="25" l="1"/>
  <c r="AD310" i="25"/>
  <c r="AE119" i="25"/>
  <c r="AD118" i="25"/>
  <c r="AD311" i="25" l="1"/>
  <c r="AE312" i="25"/>
  <c r="AD119" i="25"/>
  <c r="AE120" i="25"/>
  <c r="AE313" i="25" l="1"/>
  <c r="AD312" i="25"/>
  <c r="AD120" i="25"/>
  <c r="AE121" i="25"/>
  <c r="AE314" i="25" l="1"/>
  <c r="AD313" i="25"/>
  <c r="AE122" i="25"/>
  <c r="AD121" i="25"/>
  <c r="AE315" i="25" l="1"/>
  <c r="AD314" i="25"/>
  <c r="AE123" i="25"/>
  <c r="AD122" i="25"/>
  <c r="AD315" i="25" l="1"/>
  <c r="AE316" i="25"/>
  <c r="AD123" i="25"/>
  <c r="AE124" i="25"/>
  <c r="AE317" i="25" l="1"/>
  <c r="AD316" i="25"/>
  <c r="AD124" i="25"/>
  <c r="AE125" i="25"/>
  <c r="AD317" i="25" l="1"/>
  <c r="AE318" i="25"/>
  <c r="AD318" i="25" s="1"/>
  <c r="AE126" i="25"/>
  <c r="AD126" i="25" s="1"/>
  <c r="AD125" i="25"/>
  <c r="AI21" i="1" l="1"/>
  <c r="P21" i="1"/>
  <c r="D12" i="25"/>
  <c r="AA11" i="1"/>
  <c r="D11" i="25"/>
  <c r="D6" i="25"/>
  <c r="D5" i="25"/>
  <c r="D4" i="25"/>
  <c r="B47" i="25" l="1"/>
  <c r="D47" i="25" s="1"/>
  <c r="B48" i="25"/>
  <c r="D48" i="25" s="1"/>
  <c r="B50" i="25"/>
  <c r="D50" i="25" s="1"/>
  <c r="B46" i="25"/>
  <c r="D46" i="25" s="1"/>
  <c r="B51" i="25"/>
  <c r="D51" i="25" s="1"/>
  <c r="B49" i="25"/>
  <c r="D49" i="25" s="1"/>
  <c r="B42" i="25"/>
  <c r="D42" i="25" s="1"/>
  <c r="B43" i="25"/>
  <c r="B45" i="25"/>
  <c r="D45" i="25" s="1"/>
  <c r="B14" i="25"/>
  <c r="D14" i="25" s="1"/>
  <c r="B15" i="25"/>
  <c r="D15" i="25" s="1"/>
  <c r="AA1" i="25"/>
  <c r="AJ4" i="25" s="1"/>
  <c r="B13" i="25"/>
  <c r="AN11" i="1"/>
  <c r="AN13" i="1" s="1"/>
  <c r="B3" i="25"/>
  <c r="AN32" i="1"/>
  <c r="B22" i="25" s="1"/>
  <c r="AJ24" i="25" l="1"/>
  <c r="AJ119" i="25"/>
  <c r="AJ56" i="25"/>
  <c r="AJ103" i="25"/>
  <c r="AL103" i="25" s="1"/>
  <c r="AJ87" i="25"/>
  <c r="AK87" i="25" s="1"/>
  <c r="AJ71" i="25"/>
  <c r="AK71" i="25" s="1"/>
  <c r="AJ55" i="25"/>
  <c r="AJ39" i="25"/>
  <c r="AJ7" i="25"/>
  <c r="AK7" i="25" s="1"/>
  <c r="AJ62" i="25"/>
  <c r="AK62" i="25" s="1"/>
  <c r="AJ23" i="25"/>
  <c r="AL23" i="25" s="1"/>
  <c r="AJ110" i="25"/>
  <c r="AK234" i="25" s="1"/>
  <c r="AJ94" i="25"/>
  <c r="AL94" i="25" s="1"/>
  <c r="AJ61" i="25"/>
  <c r="AK185" i="25" s="1"/>
  <c r="AJ30" i="25"/>
  <c r="AK30" i="25" s="1"/>
  <c r="AJ78" i="25"/>
  <c r="AK78" i="25" s="1"/>
  <c r="AJ45" i="25"/>
  <c r="AJ14" i="25"/>
  <c r="AL14" i="25" s="1"/>
  <c r="AJ46" i="25"/>
  <c r="AJ125" i="25"/>
  <c r="AK125" i="25" s="1"/>
  <c r="AJ40" i="25"/>
  <c r="AK164" i="25" s="1"/>
  <c r="AJ118" i="25"/>
  <c r="AK118" i="25" s="1"/>
  <c r="AJ102" i="25"/>
  <c r="AL102" i="25" s="1"/>
  <c r="AJ8" i="25"/>
  <c r="AK132" i="25" s="1"/>
  <c r="AJ86" i="25"/>
  <c r="AJ79" i="25"/>
  <c r="AK79" i="25" s="1"/>
  <c r="AJ22" i="25"/>
  <c r="AL22" i="25" s="1"/>
  <c r="AJ63" i="25"/>
  <c r="AL63" i="25" s="1"/>
  <c r="AJ6" i="25"/>
  <c r="AK6" i="25" s="1"/>
  <c r="AJ2" i="25"/>
  <c r="AK2" i="25" s="1"/>
  <c r="AJ93" i="25"/>
  <c r="AK93" i="25" s="1"/>
  <c r="AJ15" i="25"/>
  <c r="AK139" i="25" s="1"/>
  <c r="AJ117" i="25"/>
  <c r="AK117" i="25" s="1"/>
  <c r="AJ101" i="25"/>
  <c r="AK101" i="25" s="1"/>
  <c r="AJ85" i="25"/>
  <c r="AL85" i="25" s="1"/>
  <c r="AJ96" i="25"/>
  <c r="AK96" i="25" s="1"/>
  <c r="AJ80" i="25"/>
  <c r="AJ64" i="25"/>
  <c r="AJ48" i="25"/>
  <c r="AK48" i="25" s="1"/>
  <c r="AJ109" i="25"/>
  <c r="AK233" i="25" s="1"/>
  <c r="AJ32" i="25"/>
  <c r="AK156" i="25" s="1"/>
  <c r="AJ77" i="25"/>
  <c r="AL77" i="25" s="1"/>
  <c r="AJ16" i="25"/>
  <c r="AK16" i="25" s="1"/>
  <c r="AJ116" i="25"/>
  <c r="AK116" i="25" s="1"/>
  <c r="AJ84" i="25"/>
  <c r="AK84" i="25" s="1"/>
  <c r="AJ126" i="25"/>
  <c r="AK250" i="25" s="1"/>
  <c r="AJ70" i="25"/>
  <c r="AK70" i="25" s="1"/>
  <c r="AJ60" i="25"/>
  <c r="AL60" i="25" s="1"/>
  <c r="AJ54" i="25"/>
  <c r="AJ36" i="25"/>
  <c r="AL36" i="25" s="1"/>
  <c r="AJ38" i="25"/>
  <c r="AK38" i="25" s="1"/>
  <c r="AJ105" i="25"/>
  <c r="AL105" i="25" s="1"/>
  <c r="AJ97" i="25"/>
  <c r="AK97" i="25" s="1"/>
  <c r="AJ89" i="25"/>
  <c r="AL89" i="25" s="1"/>
  <c r="AJ57" i="25"/>
  <c r="AJ49" i="25"/>
  <c r="AL49" i="25" s="1"/>
  <c r="AJ33" i="25"/>
  <c r="AK33" i="25" s="1"/>
  <c r="AJ25" i="25"/>
  <c r="AL25" i="25" s="1"/>
  <c r="AJ41" i="25"/>
  <c r="AL41" i="25" s="1"/>
  <c r="AJ17" i="25"/>
  <c r="AK141" i="25" s="1"/>
  <c r="AJ123" i="25"/>
  <c r="AK123" i="25" s="1"/>
  <c r="AJ115" i="25"/>
  <c r="AK239" i="25" s="1"/>
  <c r="AJ107" i="25"/>
  <c r="AK107" i="25" s="1"/>
  <c r="AJ20" i="25"/>
  <c r="AL20" i="25" s="1"/>
  <c r="AJ99" i="25"/>
  <c r="AL99" i="25" s="1"/>
  <c r="AJ59" i="25"/>
  <c r="AK59" i="25" s="1"/>
  <c r="AJ51" i="25"/>
  <c r="AJ67" i="25"/>
  <c r="AL67" i="25" s="1"/>
  <c r="AJ43" i="25"/>
  <c r="AL43" i="25" s="1"/>
  <c r="AJ108" i="25"/>
  <c r="AK232" i="25" s="1"/>
  <c r="AJ92" i="25"/>
  <c r="AK216" i="25" s="1"/>
  <c r="AJ76" i="25"/>
  <c r="AL76" i="25" s="1"/>
  <c r="AJ11" i="25"/>
  <c r="AL11" i="25" s="1"/>
  <c r="AJ122" i="25"/>
  <c r="AK122" i="25" s="1"/>
  <c r="AJ9" i="25"/>
  <c r="AL9" i="25" s="1"/>
  <c r="AJ106" i="25"/>
  <c r="AK106" i="25" s="1"/>
  <c r="AJ44" i="25"/>
  <c r="AL44" i="25" s="1"/>
  <c r="AJ98" i="25"/>
  <c r="AL98" i="25" s="1"/>
  <c r="AJ114" i="25"/>
  <c r="AL114" i="25" s="1"/>
  <c r="AJ90" i="25"/>
  <c r="AL90" i="25" s="1"/>
  <c r="AJ111" i="25"/>
  <c r="AK235" i="25" s="1"/>
  <c r="AJ29" i="25"/>
  <c r="AK153" i="25" s="1"/>
  <c r="AJ21" i="25"/>
  <c r="AL21" i="25" s="1"/>
  <c r="AJ81" i="25"/>
  <c r="AK81" i="25" s="1"/>
  <c r="AJ91" i="25"/>
  <c r="AJ74" i="25"/>
  <c r="AL74" i="25" s="1"/>
  <c r="AJ95" i="25"/>
  <c r="AK95" i="25" s="1"/>
  <c r="AJ13" i="25"/>
  <c r="AL13" i="25" s="1"/>
  <c r="AJ5" i="25"/>
  <c r="AK5" i="25" s="1"/>
  <c r="AJ73" i="25"/>
  <c r="AK197" i="25" s="1"/>
  <c r="AJ83" i="25"/>
  <c r="AK83" i="25" s="1"/>
  <c r="AJ66" i="25"/>
  <c r="AL66" i="25" s="1"/>
  <c r="AJ72" i="25"/>
  <c r="AL72" i="25" s="1"/>
  <c r="AJ112" i="25"/>
  <c r="AK236" i="25" s="1"/>
  <c r="AJ65" i="25"/>
  <c r="AK65" i="25" s="1"/>
  <c r="AJ75" i="25"/>
  <c r="AL75" i="25" s="1"/>
  <c r="AJ58" i="25"/>
  <c r="AK58" i="25" s="1"/>
  <c r="AJ82" i="25"/>
  <c r="AL82" i="25" s="1"/>
  <c r="AJ88" i="25"/>
  <c r="AK88" i="25" s="1"/>
  <c r="AJ47" i="25"/>
  <c r="AK171" i="25" s="1"/>
  <c r="AJ120" i="25"/>
  <c r="AL120" i="25" s="1"/>
  <c r="AJ69" i="25"/>
  <c r="AL69" i="25" s="1"/>
  <c r="AJ12" i="25"/>
  <c r="AJ124" i="25"/>
  <c r="AK248" i="25" s="1"/>
  <c r="AJ35" i="25"/>
  <c r="AK35" i="25" s="1"/>
  <c r="AJ42" i="25"/>
  <c r="AL42" i="25" s="1"/>
  <c r="AJ31" i="25"/>
  <c r="AK155" i="25" s="1"/>
  <c r="AJ104" i="25"/>
  <c r="AL104" i="25" s="1"/>
  <c r="AJ53" i="25"/>
  <c r="AK53" i="25" s="1"/>
  <c r="AJ121" i="25"/>
  <c r="AK245" i="25" s="1"/>
  <c r="AJ100" i="25"/>
  <c r="AL100" i="25" s="1"/>
  <c r="AJ27" i="25"/>
  <c r="AK151" i="25" s="1"/>
  <c r="AJ34" i="25"/>
  <c r="AK34" i="25" s="1"/>
  <c r="AJ37" i="25"/>
  <c r="AL37" i="25" s="1"/>
  <c r="AJ113" i="25"/>
  <c r="AK113" i="25" s="1"/>
  <c r="AJ68" i="25"/>
  <c r="AK68" i="25" s="1"/>
  <c r="AJ19" i="25"/>
  <c r="AL19" i="25" s="1"/>
  <c r="AJ26" i="25"/>
  <c r="AK26" i="25" s="1"/>
  <c r="AJ3" i="25"/>
  <c r="AL3" i="25" s="1"/>
  <c r="AJ50" i="25"/>
  <c r="AL50" i="25" s="1"/>
  <c r="AJ52" i="25"/>
  <c r="AK52" i="25" s="1"/>
  <c r="AJ18" i="25"/>
  <c r="AK142" i="25" s="1"/>
  <c r="AJ28" i="25"/>
  <c r="AK152" i="25" s="1"/>
  <c r="AJ10" i="25"/>
  <c r="AK134" i="25" s="1"/>
  <c r="D22" i="25"/>
  <c r="D43" i="25"/>
  <c r="AK24" i="25"/>
  <c r="AL24" i="25"/>
  <c r="AL125" i="25"/>
  <c r="AK40" i="25"/>
  <c r="AL40" i="25"/>
  <c r="AK103" i="25"/>
  <c r="AL87" i="25"/>
  <c r="AL29" i="25"/>
  <c r="AK102" i="25"/>
  <c r="AL51" i="25"/>
  <c r="AK51" i="25"/>
  <c r="AL18" i="25"/>
  <c r="AL4" i="25"/>
  <c r="AK4" i="25"/>
  <c r="AK119" i="25"/>
  <c r="AL119" i="25"/>
  <c r="AK45" i="25"/>
  <c r="AL45" i="25"/>
  <c r="AK55" i="25"/>
  <c r="AL55" i="25"/>
  <c r="AK86" i="25"/>
  <c r="AL86" i="25"/>
  <c r="AK80" i="25"/>
  <c r="AL80" i="25"/>
  <c r="AK39" i="25"/>
  <c r="AL39" i="25"/>
  <c r="AK46" i="25"/>
  <c r="AL46" i="25"/>
  <c r="AK64" i="25"/>
  <c r="AL64" i="25"/>
  <c r="AL12" i="25"/>
  <c r="AK12" i="25"/>
  <c r="AK56" i="25"/>
  <c r="AL56" i="25"/>
  <c r="AL30" i="25"/>
  <c r="AK54" i="25"/>
  <c r="AL54" i="25"/>
  <c r="AL57" i="25"/>
  <c r="AK57" i="25"/>
  <c r="AL91" i="25"/>
  <c r="AK91" i="25"/>
  <c r="AK74" i="25"/>
  <c r="AL10" i="25"/>
  <c r="AK173" i="25"/>
  <c r="AK207" i="25"/>
  <c r="AK190" i="25"/>
  <c r="AK243" i="25"/>
  <c r="AK249" i="25"/>
  <c r="AK146" i="25"/>
  <c r="AK140" i="25"/>
  <c r="AK135" i="25"/>
  <c r="AK227" i="25"/>
  <c r="AK240" i="25"/>
  <c r="AK238" i="25"/>
  <c r="AK217" i="25"/>
  <c r="AK211" i="25"/>
  <c r="AK242" i="25"/>
  <c r="AK241" i="25"/>
  <c r="AK203" i="25"/>
  <c r="AK175" i="25"/>
  <c r="AK148" i="25"/>
  <c r="AK237" i="25"/>
  <c r="AK128" i="25"/>
  <c r="AK169" i="25"/>
  <c r="AK179" i="25"/>
  <c r="AK210" i="25"/>
  <c r="AK204" i="25"/>
  <c r="AK133" i="25"/>
  <c r="AK231" i="25"/>
  <c r="AK163" i="25"/>
  <c r="AK170" i="25"/>
  <c r="AK194" i="25"/>
  <c r="AK188" i="25"/>
  <c r="AK136" i="25"/>
  <c r="AK176" i="25"/>
  <c r="AK180" i="25"/>
  <c r="AK154" i="25"/>
  <c r="AK178" i="25"/>
  <c r="AK172" i="25"/>
  <c r="AK181" i="25"/>
  <c r="AK215" i="25"/>
  <c r="AK28" i="25" l="1"/>
  <c r="AK49" i="25"/>
  <c r="AK137" i="25"/>
  <c r="AK124" i="25"/>
  <c r="AL124" i="25"/>
  <c r="AK10" i="25"/>
  <c r="AL28" i="25"/>
  <c r="AK18" i="25"/>
  <c r="AL31" i="25"/>
  <c r="AK29" i="25"/>
  <c r="AK228" i="25"/>
  <c r="AK31" i="25"/>
  <c r="AL71" i="25"/>
  <c r="AK220" i="25"/>
  <c r="AL118" i="25"/>
  <c r="AL109" i="25"/>
  <c r="AK187" i="25"/>
  <c r="AK230" i="25"/>
  <c r="AK63" i="25"/>
  <c r="AK109" i="25"/>
  <c r="AK225" i="25"/>
  <c r="AK159" i="25"/>
  <c r="AK195" i="25"/>
  <c r="AK223" i="25"/>
  <c r="AK186" i="25"/>
  <c r="AK13" i="25"/>
  <c r="AK149" i="25"/>
  <c r="AK85" i="25"/>
  <c r="AK200" i="25"/>
  <c r="AK145" i="25"/>
  <c r="AL33" i="25"/>
  <c r="AL92" i="25"/>
  <c r="AK167" i="25"/>
  <c r="AK174" i="25"/>
  <c r="AK42" i="25"/>
  <c r="AL8" i="25"/>
  <c r="AK147" i="25"/>
  <c r="AK150" i="25"/>
  <c r="AK23" i="25"/>
  <c r="AL26" i="25"/>
  <c r="AL17" i="25"/>
  <c r="AL108" i="25"/>
  <c r="AK92" i="25"/>
  <c r="AK17" i="25"/>
  <c r="AK108" i="25"/>
  <c r="AK8" i="25"/>
  <c r="AK138" i="25"/>
  <c r="AK157" i="25"/>
  <c r="AK189" i="25"/>
  <c r="AK209" i="25"/>
  <c r="AK166" i="25"/>
  <c r="AK14" i="25"/>
  <c r="AL101" i="25"/>
  <c r="AK25" i="25"/>
  <c r="AL110" i="25"/>
  <c r="AK226" i="25"/>
  <c r="AK165" i="25"/>
  <c r="AL62" i="25"/>
  <c r="AL65" i="25"/>
  <c r="AK76" i="25"/>
  <c r="AL96" i="25"/>
  <c r="AK131" i="25"/>
  <c r="AK104" i="25"/>
  <c r="AK43" i="25"/>
  <c r="AL7" i="25"/>
  <c r="AL117" i="25"/>
  <c r="AK110" i="25"/>
  <c r="AK143" i="25"/>
  <c r="AK127" i="25"/>
  <c r="AK120" i="25"/>
  <c r="AK193" i="25"/>
  <c r="AK160" i="25"/>
  <c r="AK82" i="25"/>
  <c r="AL59" i="25"/>
  <c r="AK213" i="25"/>
  <c r="AK77" i="25"/>
  <c r="AK201" i="25"/>
  <c r="AK246" i="25"/>
  <c r="AK73" i="25"/>
  <c r="AL32" i="25"/>
  <c r="AK99" i="25"/>
  <c r="AK9" i="25"/>
  <c r="AK219" i="25"/>
  <c r="AL73" i="25"/>
  <c r="AK32" i="25"/>
  <c r="AL97" i="25"/>
  <c r="AK221" i="25"/>
  <c r="AL48" i="25"/>
  <c r="AK162" i="25"/>
  <c r="AK129" i="25"/>
  <c r="AK244" i="25"/>
  <c r="AK198" i="25"/>
  <c r="AK206" i="25"/>
  <c r="AK161" i="25"/>
  <c r="AL88" i="25"/>
  <c r="AK36" i="25"/>
  <c r="AL38" i="25"/>
  <c r="AK89" i="25"/>
  <c r="AK37" i="25"/>
  <c r="AK212" i="25"/>
  <c r="AL79" i="25"/>
  <c r="AK69" i="25"/>
  <c r="AK183" i="25"/>
  <c r="AL107" i="25"/>
  <c r="AL122" i="25"/>
  <c r="AK130" i="25"/>
  <c r="AL16" i="25"/>
  <c r="AK22" i="25"/>
  <c r="AL106" i="25"/>
  <c r="AL81" i="25"/>
  <c r="AL116" i="25"/>
  <c r="AK21" i="25"/>
  <c r="AL47" i="25"/>
  <c r="AK229" i="25"/>
  <c r="AK47" i="25"/>
  <c r="AK192" i="25"/>
  <c r="AK191" i="25"/>
  <c r="AK205" i="25"/>
  <c r="AK224" i="25"/>
  <c r="AL70" i="25"/>
  <c r="AK100" i="25"/>
  <c r="AL83" i="25"/>
  <c r="AK202" i="25"/>
  <c r="AK218" i="25"/>
  <c r="AK208" i="25"/>
  <c r="AK168" i="25"/>
  <c r="AK177" i="25"/>
  <c r="AK247" i="25"/>
  <c r="AL123" i="25"/>
  <c r="AK94" i="25"/>
  <c r="AK115" i="25"/>
  <c r="AL115" i="25"/>
  <c r="AL84" i="25"/>
  <c r="AL121" i="25"/>
  <c r="AL61" i="25"/>
  <c r="AK61" i="25"/>
  <c r="AK112" i="25"/>
  <c r="AL112" i="25"/>
  <c r="AL6" i="25"/>
  <c r="AK121" i="25"/>
  <c r="AL35" i="25"/>
  <c r="AL126" i="25"/>
  <c r="AK126" i="25"/>
  <c r="AK222" i="25"/>
  <c r="AL2" i="25"/>
  <c r="AK98" i="25"/>
  <c r="AK184" i="25"/>
  <c r="AL27" i="25"/>
  <c r="AK67" i="25"/>
  <c r="AK105" i="25"/>
  <c r="AL78" i="25"/>
  <c r="AL68" i="25"/>
  <c r="AL15" i="25"/>
  <c r="AK27" i="25"/>
  <c r="AK15" i="25"/>
  <c r="AK214" i="25"/>
  <c r="AL93" i="25"/>
  <c r="AK60" i="25"/>
  <c r="AK20" i="25"/>
  <c r="AK144" i="25"/>
  <c r="AK199" i="25"/>
  <c r="AK11" i="25"/>
  <c r="AK41" i="25"/>
  <c r="AL5" i="25"/>
  <c r="AL52" i="25"/>
  <c r="AL95" i="25"/>
  <c r="AK50" i="25"/>
  <c r="AK3" i="25"/>
  <c r="AK75" i="25"/>
  <c r="AK44" i="25"/>
  <c r="AK196" i="25"/>
  <c r="AK114" i="25"/>
  <c r="AK66" i="25"/>
  <c r="AL53" i="25"/>
  <c r="AL113" i="25"/>
  <c r="AL34" i="25"/>
  <c r="AK90" i="25"/>
  <c r="AL111" i="25"/>
  <c r="AK158" i="25"/>
  <c r="AK111" i="25"/>
  <c r="AL58" i="25"/>
  <c r="AK182" i="25"/>
  <c r="AK19" i="25"/>
  <c r="AK72" i="25"/>
  <c r="X40" i="1"/>
  <c r="A40" i="1"/>
  <c r="BB21" i="1" l="1"/>
  <c r="B25" i="25"/>
  <c r="D25" i="25" s="1"/>
  <c r="B23" i="25"/>
  <c r="D23" i="25" s="1"/>
  <c r="AD39" i="1"/>
  <c r="AQ40" i="1" s="1"/>
  <c r="F39" i="1"/>
  <c r="S13" i="23"/>
  <c r="B26" i="25" l="1"/>
  <c r="D26" i="25" s="1"/>
  <c r="B24" i="25"/>
  <c r="D24" i="25" s="1"/>
  <c r="AY79" i="1" l="1"/>
  <c r="E7" i="25"/>
  <c r="AN76" i="1"/>
  <c r="B9" i="25" l="1"/>
  <c r="D9" i="25" s="1"/>
  <c r="B10" i="25"/>
  <c r="D10" i="25" s="1"/>
  <c r="AI16" i="1" l="1"/>
  <c r="J11" i="23" s="1"/>
  <c r="C91" i="1" l="1"/>
  <c r="E101" i="1"/>
  <c r="AC25" i="23"/>
  <c r="B31" i="23" s="1"/>
  <c r="B41" i="23" l="1"/>
  <c r="B56" i="23" s="1"/>
  <c r="D3" i="25" l="1"/>
  <c r="B29" i="25" l="1"/>
  <c r="B18" i="25"/>
  <c r="B17" i="25"/>
  <c r="D29" i="25" l="1"/>
  <c r="D17" i="25"/>
  <c r="D18" i="25"/>
  <c r="Z13" i="23"/>
  <c r="B7" i="25" l="1"/>
  <c r="B71" i="23" l="1"/>
  <c r="P13" i="1"/>
  <c r="D7" i="25" l="1"/>
  <c r="R13" i="1" l="1"/>
  <c r="B8" i="25" s="1"/>
  <c r="D8" i="25" l="1"/>
  <c r="B68" i="23"/>
  <c r="AD44" i="23"/>
  <c r="B42" i="23" s="1"/>
  <c r="AD59" i="23"/>
  <c r="B57" i="23" s="1"/>
  <c r="AP14" i="1" l="1"/>
  <c r="AH31" i="1" l="1"/>
  <c r="AP10" i="1" l="1"/>
  <c r="D13" i="25" l="1"/>
  <c r="AA13" i="1"/>
  <c r="B44" i="25" s="1"/>
  <c r="D44" i="25" l="1"/>
  <c r="D62" i="25" s="1"/>
  <c r="D65" i="25" s="1"/>
  <c r="B57" i="25"/>
  <c r="D68" i="25" l="1"/>
  <c r="AW53" i="1"/>
  <c r="D63" i="25" l="1"/>
  <c r="C95" i="1" s="1"/>
  <c r="F10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tc={11FAFDC8-5E21-4AC4-ADC6-BA16E70FECFC}</author>
  </authors>
  <commentList>
    <comment ref="E3" authorId="0" shapeId="0" xr:uid="{11FAFDC8-5E21-4AC4-ADC6-BA16E70FECFC}">
      <text>
        <t>[Comentario encadenado]
Su versión de Excel le permite leer este comentario encadenado; sin embargo, las ediciones que se apliquen se quitarán si el archivo se abre en una versión más reciente de Excel. Más información: https://go.microsoft.com/fwlink/?linkid=870924
Comentario:
    Si este campo hace referencia a la resolución de actualización del manual de procesos y procedimientos, se sugiere quitar del encabezado ya que el número de la resolución se conoce posterior a cargar el documento en isolucion, razón por la cual este campo quedaría sin diligenciar al igual que la fecha. No es necesario dejar la palabra titulo en el nombre del instructivo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tc={B3E459CE-32D4-4330-A9C8-B3FC2B4C82C8}</author>
  </authors>
  <commentList>
    <comment ref="D3" authorId="0" shapeId="0" xr:uid="{B3E459CE-32D4-4330-A9C8-B3FC2B4C82C8}">
      <text>
        <t>[Comentario encadenado]
Su versión de Excel le permite leer este comentario encadenado; sin embargo, las ediciones que se apliquen se quitarán si el archivo se abre en una versión más reciente de Excel. Más información: https://go.microsoft.com/fwlink/?linkid=870924
Comentario:
    Si este campo hace referencia a la resolución de actualización del manual de procesos y procedimientos, se sugiere quitar del encabezado ya que el número de la resolución se conoce posterior a cargar el documento en isolucion, razón por la cual este campo quedaría sin diligenciar al igual que la fecha. No es necesario dejar la palabra titulo en el nombre del instructivo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AB60FA-8881-41A6-8FCE-6ABEA76C85F1}" keepAlive="1" name="Consulta - bancos" description="Conexión a la consulta 'bancos' en el libro." type="5" refreshedVersion="0" background="1">
    <dbPr connection="Provider=Microsoft.Mashup.OleDb.1;Data Source=$Workbook$;Location=bancos;Extended Properties=&quot;&quot;" command="SELECT * FROM [banco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<sst xmlns="http://schemas.openxmlformats.org/spreadsheetml/2006/main" count="8923" uniqueCount="5690">
  <si>
    <t>DV</t>
  </si>
  <si>
    <t>TIPO DE CONTRIBUYENTE</t>
  </si>
  <si>
    <t>TIPO DE DOCUMENTO</t>
  </si>
  <si>
    <t xml:space="preserve">Tarjeta de identidad </t>
  </si>
  <si>
    <t xml:space="preserve">Cédula de ciudadanía </t>
  </si>
  <si>
    <t>Certificado de la Registraduría para sucesiones ilíquidas de personas naturales</t>
  </si>
  <si>
    <t>Tipo de documento que identifica una sucesión ilíquida, expedido por la Notaria o Juzgado</t>
  </si>
  <si>
    <t xml:space="preserve">Tarjeta de extranjería </t>
  </si>
  <si>
    <t xml:space="preserve">Cédula de extranjería </t>
  </si>
  <si>
    <t xml:space="preserve">Identificación de extranjeros diferente al NIT asignado DIAN </t>
  </si>
  <si>
    <t xml:space="preserve">Pasaporte </t>
  </si>
  <si>
    <t xml:space="preserve">Documento de identificación extranjero </t>
  </si>
  <si>
    <t xml:space="preserve">Sin identificación del exterior o para uso definido por la DIAN. </t>
  </si>
  <si>
    <t xml:space="preserve">Documento de Identificación extranjero Persona Jurídica </t>
  </si>
  <si>
    <t xml:space="preserve">Carné Diplomático: Documento expedido por el Ministerio de Relaciones </t>
  </si>
  <si>
    <t>Código</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</si>
  <si>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</si>
  <si>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</si>
  <si>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</si>
  <si>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</si>
  <si>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</si>
  <si>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</si>
  <si>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</si>
  <si>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</si>
  <si>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</si>
  <si>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</si>
  <si>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</si>
  <si>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</si>
  <si>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</si>
  <si>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</si>
  <si>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</si>
  <si>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</si>
  <si>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</si>
  <si>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</si>
  <si>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</si>
  <si>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</si>
  <si>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</si>
  <si>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</si>
  <si>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</si>
  <si>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</si>
  <si>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</si>
  <si>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</si>
  <si>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</si>
  <si>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</si>
  <si>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</si>
  <si>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</si>
  <si>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</si>
  <si>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</si>
  <si>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</si>
  <si>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</si>
  <si>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</si>
  <si>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</si>
  <si>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</si>
  <si>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</si>
  <si>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</si>
  <si>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</si>
  <si>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</si>
  <si>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</si>
  <si>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</si>
  <si>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</si>
  <si>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</si>
  <si>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</si>
  <si>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229</t>
  </si>
  <si>
    <t>BENIN</t>
  </si>
  <si>
    <t>090</t>
  </si>
  <si>
    <t>BERMUDAS</t>
  </si>
  <si>
    <t>093</t>
  </si>
  <si>
    <t>BIRMANIA (MYANMAR)</t>
  </si>
  <si>
    <t>097</t>
  </si>
  <si>
    <t>BOLIVIA</t>
  </si>
  <si>
    <t>029</t>
  </si>
  <si>
    <t>BOSNIA-HERZEGOVINA</t>
  </si>
  <si>
    <t>101</t>
  </si>
  <si>
    <t>BOTSWANA</t>
  </si>
  <si>
    <t>105</t>
  </si>
  <si>
    <t>BRASIL</t>
  </si>
  <si>
    <t>108</t>
  </si>
  <si>
    <t>BRUNEI DARUSSALAM</t>
  </si>
  <si>
    <t>111</t>
  </si>
  <si>
    <t>BULGARIA</t>
  </si>
  <si>
    <t>031</t>
  </si>
  <si>
    <t>BURKINA FASSO</t>
  </si>
  <si>
    <t>115</t>
  </si>
  <si>
    <t>BURUNDI</t>
  </si>
  <si>
    <t>119</t>
  </si>
  <si>
    <t>BUTAN</t>
  </si>
  <si>
    <t>127</t>
  </si>
  <si>
    <t>CABO VERDE</t>
  </si>
  <si>
    <t>137</t>
  </si>
  <si>
    <t>CAIMAN, ISLAS</t>
  </si>
  <si>
    <t>145</t>
  </si>
  <si>
    <t>CAMERUN, REPUBLICA U</t>
  </si>
  <si>
    <t>149</t>
  </si>
  <si>
    <t>CANADA</t>
  </si>
  <si>
    <t>155</t>
  </si>
  <si>
    <t>CANAL(NORMANDAS),ISL</t>
  </si>
  <si>
    <t>157</t>
  </si>
  <si>
    <t>CANTON ENDERBURY,ISL</t>
  </si>
  <si>
    <t>203</t>
  </si>
  <si>
    <t>CHAD</t>
  </si>
  <si>
    <t>211</t>
  </si>
  <si>
    <t>CHILE</t>
  </si>
  <si>
    <t>215</t>
  </si>
  <si>
    <t>CHINA</t>
  </si>
  <si>
    <t>221</t>
  </si>
  <si>
    <t>CHIPRE</t>
  </si>
  <si>
    <t>159</t>
  </si>
  <si>
    <t>CIUDAD DEL VATICANO</t>
  </si>
  <si>
    <t>165</t>
  </si>
  <si>
    <t>COCOS (KEELING), ISL</t>
  </si>
  <si>
    <t>169</t>
  </si>
  <si>
    <t>COLOMBIA</t>
  </si>
  <si>
    <t>173</t>
  </si>
  <si>
    <t>COMORAS</t>
  </si>
  <si>
    <t>998</t>
  </si>
  <si>
    <t>COMUNIDAD EUROPEA</t>
  </si>
  <si>
    <t>177</t>
  </si>
  <si>
    <t>CONGO</t>
  </si>
  <si>
    <t>183</t>
  </si>
  <si>
    <t>COOK, ISLAS</t>
  </si>
  <si>
    <t>187</t>
  </si>
  <si>
    <t>COREA DEL NORTE,REPU</t>
  </si>
  <si>
    <t>190</t>
  </si>
  <si>
    <t>COREA DEL SUR, REPUB</t>
  </si>
  <si>
    <t>193</t>
  </si>
  <si>
    <t>COSTA DE MARFIL</t>
  </si>
  <si>
    <t>196</t>
  </si>
  <si>
    <t>COSTA RICA</t>
  </si>
  <si>
    <t>198</t>
  </si>
  <si>
    <t>CROACIA</t>
  </si>
  <si>
    <t>199</t>
  </si>
  <si>
    <t>CUBA</t>
  </si>
  <si>
    <t>789</t>
  </si>
  <si>
    <t>CURACAO</t>
  </si>
  <si>
    <t>232</t>
  </si>
  <si>
    <t>DINAMARCA</t>
  </si>
  <si>
    <t>783</t>
  </si>
  <si>
    <t>DJIBOUTI</t>
  </si>
  <si>
    <t>235</t>
  </si>
  <si>
    <t>DOMINICA</t>
  </si>
  <si>
    <t>239</t>
  </si>
  <si>
    <t>ECUADOR</t>
  </si>
  <si>
    <t>240</t>
  </si>
  <si>
    <t>EGIPTO</t>
  </si>
  <si>
    <t>242</t>
  </si>
  <si>
    <t>EL SALVADOR</t>
  </si>
  <si>
    <t>244</t>
  </si>
  <si>
    <t>EMIRATOS ARABES UNID</t>
  </si>
  <si>
    <t>243</t>
  </si>
  <si>
    <t>ERITREA</t>
  </si>
  <si>
    <t>246</t>
  </si>
  <si>
    <t>ESLOVAQUIA</t>
  </si>
  <si>
    <t>247</t>
  </si>
  <si>
    <t>ESLOVENIA</t>
  </si>
  <si>
    <t>245</t>
  </si>
  <si>
    <t>ESPAÑA</t>
  </si>
  <si>
    <t>249</t>
  </si>
  <si>
    <t>ESTADOS UNIDOS</t>
  </si>
  <si>
    <t>251</t>
  </si>
  <si>
    <t>ESTONIA</t>
  </si>
  <si>
    <t>253</t>
  </si>
  <si>
    <t>ETIOPIA</t>
  </si>
  <si>
    <t>259</t>
  </si>
  <si>
    <t>FEROE, ISLAS</t>
  </si>
  <si>
    <t>870</t>
  </si>
  <si>
    <t>FIJI</t>
  </si>
  <si>
    <t>267</t>
  </si>
  <si>
    <t>FILIPINAS</t>
  </si>
  <si>
    <t>271</t>
  </si>
  <si>
    <t>FINLANDIA</t>
  </si>
  <si>
    <t>275</t>
  </si>
  <si>
    <t>FRANCIA</t>
  </si>
  <si>
    <t>281</t>
  </si>
  <si>
    <t>GABON</t>
  </si>
  <si>
    <t>285</t>
  </si>
  <si>
    <t>GAMBIA</t>
  </si>
  <si>
    <t>286</t>
  </si>
  <si>
    <t>GAZA Y JERICO</t>
  </si>
  <si>
    <t>287</t>
  </si>
  <si>
    <t>GEORGIA</t>
  </si>
  <si>
    <t>289</t>
  </si>
  <si>
    <t>GHANA</t>
  </si>
  <si>
    <t>293</t>
  </si>
  <si>
    <t>GIBRALTAR</t>
  </si>
  <si>
    <t>297</t>
  </si>
  <si>
    <t>GRANADA</t>
  </si>
  <si>
    <t>301</t>
  </si>
  <si>
    <t>GRECIA</t>
  </si>
  <si>
    <t>305</t>
  </si>
  <si>
    <t>GROENLANDIA</t>
  </si>
  <si>
    <t>309</t>
  </si>
  <si>
    <t>GUADALUPE</t>
  </si>
  <si>
    <t>313</t>
  </si>
  <si>
    <t>GUAM</t>
  </si>
  <si>
    <t>317</t>
  </si>
  <si>
    <t>GUATEMALA</t>
  </si>
  <si>
    <t>325</t>
  </si>
  <si>
    <t>GUAYANA FRANCESA</t>
  </si>
  <si>
    <t>329</t>
  </si>
  <si>
    <t>GUINEA</t>
  </si>
  <si>
    <t>334</t>
  </si>
  <si>
    <t>GUINEA - BISSAU</t>
  </si>
  <si>
    <t>331</t>
  </si>
  <si>
    <t>GUINEA ECUATORIAL</t>
  </si>
  <si>
    <t>337</t>
  </si>
  <si>
    <t>GUYANA</t>
  </si>
  <si>
    <t>341</t>
  </si>
  <si>
    <t>HAITI</t>
  </si>
  <si>
    <t>345</t>
  </si>
  <si>
    <t>HONDURAS</t>
  </si>
  <si>
    <t>351</t>
  </si>
  <si>
    <t>HONG KONG</t>
  </si>
  <si>
    <t>355</t>
  </si>
  <si>
    <t>HUNGRIA</t>
  </si>
  <si>
    <t>361</t>
  </si>
  <si>
    <t>INDIA</t>
  </si>
  <si>
    <t>365</t>
  </si>
  <si>
    <t>INDONESIA</t>
  </si>
  <si>
    <t>369</t>
  </si>
  <si>
    <t>IRAK</t>
  </si>
  <si>
    <t>372</t>
  </si>
  <si>
    <t>IRAN, REPUBLICA ISLA</t>
  </si>
  <si>
    <t>375</t>
  </si>
  <si>
    <t>IRLANDA (EIRE)</t>
  </si>
  <si>
    <t>33</t>
  </si>
  <si>
    <t>ISLA DE MAN</t>
  </si>
  <si>
    <t>379</t>
  </si>
  <si>
    <t>ISLANDIA</t>
  </si>
  <si>
    <t>566</t>
  </si>
  <si>
    <t>ISLAS MENORES DE ESTADOS UNIDOS</t>
  </si>
  <si>
    <t>383</t>
  </si>
  <si>
    <t>ISRAEL</t>
  </si>
  <si>
    <t>386</t>
  </si>
  <si>
    <t>ITALIA</t>
  </si>
  <si>
    <t>391</t>
  </si>
  <si>
    <t>JAMAICA</t>
  </si>
  <si>
    <t>399</t>
  </si>
  <si>
    <t>JAPON</t>
  </si>
  <si>
    <t>395</t>
  </si>
  <si>
    <t>JOHNSTON,ISLA</t>
  </si>
  <si>
    <t>403</t>
  </si>
  <si>
    <t>JORDANIA</t>
  </si>
  <si>
    <t>141</t>
  </si>
  <si>
    <t>KAMPUCHEA (CAMBOYA)</t>
  </si>
  <si>
    <t>406</t>
  </si>
  <si>
    <t>KAZAJSTAN</t>
  </si>
  <si>
    <t>410</t>
  </si>
  <si>
    <t>KENYA</t>
  </si>
  <si>
    <t>412</t>
  </si>
  <si>
    <t>KIRGUIZISTAN</t>
  </si>
  <si>
    <t>411</t>
  </si>
  <si>
    <t>KIRIBATI</t>
  </si>
  <si>
    <t>413</t>
  </si>
  <si>
    <t>KUWAIT</t>
  </si>
  <si>
    <t>420</t>
  </si>
  <si>
    <t>LAOS,REPUBLICA POPUL</t>
  </si>
  <si>
    <t>426</t>
  </si>
  <si>
    <t>LESOTHO</t>
  </si>
  <si>
    <t>429</t>
  </si>
  <si>
    <t>LETONIA</t>
  </si>
  <si>
    <t>431</t>
  </si>
  <si>
    <t>LIBANO</t>
  </si>
  <si>
    <t>434</t>
  </si>
  <si>
    <t>LIBERIA</t>
  </si>
  <si>
    <t>438</t>
  </si>
  <si>
    <t>LIBIA(INCLUYE FEZZAN</t>
  </si>
  <si>
    <t>440</t>
  </si>
  <si>
    <t>LIECHTENSTEIN</t>
  </si>
  <si>
    <t>443</t>
  </si>
  <si>
    <t>LITUANIA</t>
  </si>
  <si>
    <t>445</t>
  </si>
  <si>
    <t>LUXEMBURGO</t>
  </si>
  <si>
    <t>447</t>
  </si>
  <si>
    <t>MACAO</t>
  </si>
  <si>
    <t>448</t>
  </si>
  <si>
    <t>MACEDONIA</t>
  </si>
  <si>
    <t>450</t>
  </si>
  <si>
    <t>MADAGASCAR</t>
  </si>
  <si>
    <t>455</t>
  </si>
  <si>
    <t>MALASIA</t>
  </si>
  <si>
    <t>458</t>
  </si>
  <si>
    <t>MALAWI</t>
  </si>
  <si>
    <t>461</t>
  </si>
  <si>
    <t>MALDIVAS</t>
  </si>
  <si>
    <t>464</t>
  </si>
  <si>
    <t>MALI</t>
  </si>
  <si>
    <t>467</t>
  </si>
  <si>
    <t>MALTA</t>
  </si>
  <si>
    <t>469</t>
  </si>
  <si>
    <t>MARIANAS DEL NORTE,I</t>
  </si>
  <si>
    <t>474</t>
  </si>
  <si>
    <t>MARRUECOS</t>
  </si>
  <si>
    <t>472</t>
  </si>
  <si>
    <t>MARSHALL, ISLAS</t>
  </si>
  <si>
    <t>477</t>
  </si>
  <si>
    <t>MARTINICA</t>
  </si>
  <si>
    <t>485</t>
  </si>
  <si>
    <t>MAURICIO</t>
  </si>
  <si>
    <t>488</t>
  </si>
  <si>
    <t>MAURITANIA</t>
  </si>
  <si>
    <t>493</t>
  </si>
  <si>
    <t>MEXICO</t>
  </si>
  <si>
    <t>494</t>
  </si>
  <si>
    <t>MICRONESIA,ESTADOS F</t>
  </si>
  <si>
    <t>495</t>
  </si>
  <si>
    <t>MIDWAY, ISLAS</t>
  </si>
  <si>
    <t>496</t>
  </si>
  <si>
    <t>MOLDAVIA</t>
  </si>
  <si>
    <t>498</t>
  </si>
  <si>
    <t>MONACO</t>
  </si>
  <si>
    <t>497</t>
  </si>
  <si>
    <t>MONGOLIA</t>
  </si>
  <si>
    <t>501</t>
  </si>
  <si>
    <t>MONSERRAT, ISLA</t>
  </si>
  <si>
    <t>502</t>
  </si>
  <si>
    <t>MONTENEGRO</t>
  </si>
  <si>
    <t>505</t>
  </si>
  <si>
    <t>MOZAMBIQUE</t>
  </si>
  <si>
    <t>507</t>
  </si>
  <si>
    <t>NAMIBIA</t>
  </si>
  <si>
    <t>508</t>
  </si>
  <si>
    <t>NAURU</t>
  </si>
  <si>
    <t>511</t>
  </si>
  <si>
    <t>NAVIDAD (CHRISTMAS)</t>
  </si>
  <si>
    <t>517</t>
  </si>
  <si>
    <t>NEPAL</t>
  </si>
  <si>
    <t>521</t>
  </si>
  <si>
    <t>NICARAGUA</t>
  </si>
  <si>
    <t>525</t>
  </si>
  <si>
    <t>NIGER</t>
  </si>
  <si>
    <t>528</t>
  </si>
  <si>
    <t>NIGERIA</t>
  </si>
  <si>
    <t>531</t>
  </si>
  <si>
    <t>NIUE, ISLA</t>
  </si>
  <si>
    <t>001</t>
  </si>
  <si>
    <t>NIVE ISLA</t>
  </si>
  <si>
    <t>999</t>
  </si>
  <si>
    <t>NO DECLARADOS</t>
  </si>
  <si>
    <t>535</t>
  </si>
  <si>
    <t>NORFOLK, ISLA</t>
  </si>
  <si>
    <t>538</t>
  </si>
  <si>
    <t>NORUEGA</t>
  </si>
  <si>
    <t>542</t>
  </si>
  <si>
    <t>NUEVA CALEDONIA</t>
  </si>
  <si>
    <t>548</t>
  </si>
  <si>
    <t>NUEVA ZELANDIA</t>
  </si>
  <si>
    <t>556</t>
  </si>
  <si>
    <t>OMAN</t>
  </si>
  <si>
    <t>573</t>
  </si>
  <si>
    <t>PAISES BAJOS(HOLANDA</t>
  </si>
  <si>
    <t>576</t>
  </si>
  <si>
    <t>PAKISTAN</t>
  </si>
  <si>
    <t>578</t>
  </si>
  <si>
    <t>PALAU, ISLAS</t>
  </si>
  <si>
    <t>579</t>
  </si>
  <si>
    <t>PALESTINA</t>
  </si>
  <si>
    <t>580</t>
  </si>
  <si>
    <t>PANAMA</t>
  </si>
  <si>
    <t>545</t>
  </si>
  <si>
    <t>PAPUASIA NUEV GUINEA</t>
  </si>
  <si>
    <t>586</t>
  </si>
  <si>
    <t>PARAGUAY</t>
  </si>
  <si>
    <t>589</t>
  </si>
  <si>
    <t>PERU</t>
  </si>
  <si>
    <t>593</t>
  </si>
  <si>
    <t>PITCAIRN, ISLA</t>
  </si>
  <si>
    <t>599</t>
  </si>
  <si>
    <t>POLINESIA FRANCESA</t>
  </si>
  <si>
    <t>603</t>
  </si>
  <si>
    <t>POLONIA</t>
  </si>
  <si>
    <t>607</t>
  </si>
  <si>
    <t>PORTUGAL</t>
  </si>
  <si>
    <t>611</t>
  </si>
  <si>
    <t>PUERTO RICO</t>
  </si>
  <si>
    <t>618</t>
  </si>
  <si>
    <t>QATAR</t>
  </si>
  <si>
    <t>628</t>
  </si>
  <si>
    <t>REINO UNIDO</t>
  </si>
  <si>
    <t>640</t>
  </si>
  <si>
    <t>REPUBLICA CENTROAFRI</t>
  </si>
  <si>
    <t>644</t>
  </si>
  <si>
    <t>REPUBLICA CHECA</t>
  </si>
  <si>
    <t>888</t>
  </si>
  <si>
    <t>REPUBLICA DEMOCRATICA DEL CONGO</t>
  </si>
  <si>
    <t>647</t>
  </si>
  <si>
    <t>REPUBLICA DOMINICANA</t>
  </si>
  <si>
    <t>660</t>
  </si>
  <si>
    <t>REUNION</t>
  </si>
  <si>
    <t>670</t>
  </si>
  <si>
    <t>RUMANIA</t>
  </si>
  <si>
    <t>676</t>
  </si>
  <si>
    <t>RUSIA</t>
  </si>
  <si>
    <t>675</t>
  </si>
  <si>
    <t>RWANDA</t>
  </si>
  <si>
    <t>685</t>
  </si>
  <si>
    <t>SAHARA OCCIDENTAL</t>
  </si>
  <si>
    <t>677</t>
  </si>
  <si>
    <t>SALOMSN, ISLAS</t>
  </si>
  <si>
    <t>687</t>
  </si>
  <si>
    <t>SAMOA</t>
  </si>
  <si>
    <t>690</t>
  </si>
  <si>
    <t>SAMOA NORTEAMERICANA</t>
  </si>
  <si>
    <t>695</t>
  </si>
  <si>
    <t>SAN CRISTOBAL Y NIEVES</t>
  </si>
  <si>
    <t>697</t>
  </si>
  <si>
    <t>SAN MARINO</t>
  </si>
  <si>
    <t>700</t>
  </si>
  <si>
    <t>SAN PEDRO Y MIGUELON</t>
  </si>
  <si>
    <t>705</t>
  </si>
  <si>
    <t>SAN VICENTE Y LAS GR</t>
  </si>
  <si>
    <t>710</t>
  </si>
  <si>
    <t>SANTA ELENA</t>
  </si>
  <si>
    <t>715</t>
  </si>
  <si>
    <t>SANTA LUCIA</t>
  </si>
  <si>
    <t>720</t>
  </si>
  <si>
    <t>SANTO TOME Y PRINCIP</t>
  </si>
  <si>
    <t>728</t>
  </si>
  <si>
    <t>SENEGAL</t>
  </si>
  <si>
    <t>032</t>
  </si>
  <si>
    <t>SERBIA</t>
  </si>
  <si>
    <t>731</t>
  </si>
  <si>
    <t>SEYCHELLES</t>
  </si>
  <si>
    <t>735</t>
  </si>
  <si>
    <t>SIERRA LEONA</t>
  </si>
  <si>
    <t>741</t>
  </si>
  <si>
    <t>SINGAPUR</t>
  </si>
  <si>
    <t>744</t>
  </si>
  <si>
    <t>SIRIA,REPUBLICA ARAB</t>
  </si>
  <si>
    <t>748</t>
  </si>
  <si>
    <t>SOMALIA</t>
  </si>
  <si>
    <t>750</t>
  </si>
  <si>
    <t>SRI LANKA</t>
  </si>
  <si>
    <t>756</t>
  </si>
  <si>
    <t>SUDAFRICA,REPUBLICA</t>
  </si>
  <si>
    <t>759</t>
  </si>
  <si>
    <t>SUDAN</t>
  </si>
  <si>
    <t>764</t>
  </si>
  <si>
    <t>SUECIA</t>
  </si>
  <si>
    <t>767</t>
  </si>
  <si>
    <t>SUIZA</t>
  </si>
  <si>
    <t>770</t>
  </si>
  <si>
    <t>SURINAM</t>
  </si>
  <si>
    <t>773</t>
  </si>
  <si>
    <t>SWAZILANDIA</t>
  </si>
  <si>
    <t>774</t>
  </si>
  <si>
    <t>TADJIKISTAN</t>
  </si>
  <si>
    <t>776</t>
  </si>
  <si>
    <t>TAILANDIA</t>
  </si>
  <si>
    <t>218</t>
  </si>
  <si>
    <t>TAIWAN (FORMOSA)</t>
  </si>
  <si>
    <t>780</t>
  </si>
  <si>
    <t>TANZANIA,REPUBLICA U</t>
  </si>
  <si>
    <t>786</t>
  </si>
  <si>
    <t>TERRI ANTARTICO BRIT</t>
  </si>
  <si>
    <t>787</t>
  </si>
  <si>
    <t>TERRITORI BRITANICO</t>
  </si>
  <si>
    <t>788</t>
  </si>
  <si>
    <t>TIMOR DEL ESTE</t>
  </si>
  <si>
    <t>800</t>
  </si>
  <si>
    <t>TOGO</t>
  </si>
  <si>
    <t>805</t>
  </si>
  <si>
    <t>TOKELAU</t>
  </si>
  <si>
    <t>810</t>
  </si>
  <si>
    <t>TONGA</t>
  </si>
  <si>
    <t>815</t>
  </si>
  <si>
    <t>TRINIDAD Y TOBAGO</t>
  </si>
  <si>
    <t>820</t>
  </si>
  <si>
    <t>TUNICIA</t>
  </si>
  <si>
    <t>823</t>
  </si>
  <si>
    <t>TURCAS Y CAICOS,ISLA</t>
  </si>
  <si>
    <t>825</t>
  </si>
  <si>
    <t>TURKMENISTAN</t>
  </si>
  <si>
    <t>827</t>
  </si>
  <si>
    <t>TURQUIA</t>
  </si>
  <si>
    <t>828</t>
  </si>
  <si>
    <t>TUVALU</t>
  </si>
  <si>
    <t>830</t>
  </si>
  <si>
    <t>UCRANIA</t>
  </si>
  <si>
    <t>833</t>
  </si>
  <si>
    <t>UGANDA</t>
  </si>
  <si>
    <t>845</t>
  </si>
  <si>
    <t>URUGUAY</t>
  </si>
  <si>
    <t>847</t>
  </si>
  <si>
    <t>UZBEKISTAN</t>
  </si>
  <si>
    <t>551</t>
  </si>
  <si>
    <t>VANUATU</t>
  </si>
  <si>
    <t>850</t>
  </si>
  <si>
    <t>VENEZUELA</t>
  </si>
  <si>
    <t>855</t>
  </si>
  <si>
    <t>VIETNAM</t>
  </si>
  <si>
    <t>863</t>
  </si>
  <si>
    <t>VIRGENES,ISLAS(BRITA</t>
  </si>
  <si>
    <t>866</t>
  </si>
  <si>
    <t>VIRGENES,ISLAS(NORTE</t>
  </si>
  <si>
    <t>875</t>
  </si>
  <si>
    <t>WALLIS Y FORTUNA,ISL</t>
  </si>
  <si>
    <t>880</t>
  </si>
  <si>
    <t>YEMEN</t>
  </si>
  <si>
    <t>885</t>
  </si>
  <si>
    <t>YUGOSLAVIA</t>
  </si>
  <si>
    <t>890</t>
  </si>
  <si>
    <t>ZAMBIA</t>
  </si>
  <si>
    <t>665</t>
  </si>
  <si>
    <t>ZIMBABWE</t>
  </si>
  <si>
    <t>895</t>
  </si>
  <si>
    <t>ZONA CANAL DE PANAMA</t>
  </si>
  <si>
    <t>897</t>
  </si>
  <si>
    <t>ZONA NEUTRAL(PALESTA</t>
  </si>
  <si>
    <t>COD_DEPTO</t>
  </si>
  <si>
    <t>COD_MPIO</t>
  </si>
  <si>
    <t>DPTO</t>
  </si>
  <si>
    <t>NOM_MPIO</t>
  </si>
  <si>
    <t>05</t>
  </si>
  <si>
    <t>Antioquia</t>
  </si>
  <si>
    <t>MEDELLÍN</t>
  </si>
  <si>
    <t>ABEJORRAL</t>
  </si>
  <si>
    <t>ABRIAQUÍ</t>
  </si>
  <si>
    <t>ALEJANDRÍA</t>
  </si>
  <si>
    <t>AMAGÁ</t>
  </si>
  <si>
    <t>AMALFI</t>
  </si>
  <si>
    <t>ANDES</t>
  </si>
  <si>
    <t>ANGELÓPOLIS</t>
  </si>
  <si>
    <t>ANGOSTURA</t>
  </si>
  <si>
    <t>ANORÍ</t>
  </si>
  <si>
    <t>SANTAFÉ DE ANTIOQUIA</t>
  </si>
  <si>
    <t>ANZA</t>
  </si>
  <si>
    <t>APARTADÓ</t>
  </si>
  <si>
    <t>ARBOLETES</t>
  </si>
  <si>
    <t>BARBOSA</t>
  </si>
  <si>
    <t>BELMIRA</t>
  </si>
  <si>
    <t>BELLO</t>
  </si>
  <si>
    <t>BETANIA</t>
  </si>
  <si>
    <t>BETULIA</t>
  </si>
  <si>
    <t>CIUDAD BOLÍVAR</t>
  </si>
  <si>
    <t>BRICEÑO</t>
  </si>
  <si>
    <t>BURITICÁ</t>
  </si>
  <si>
    <t>CÁCERES</t>
  </si>
  <si>
    <t>CAICEDO</t>
  </si>
  <si>
    <t>CALDAS</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</si>
  <si>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</si>
  <si>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</si>
  <si>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</si>
  <si>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</si>
  <si>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</si>
  <si>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</si>
  <si>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</si>
  <si>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</si>
  <si>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</si>
  <si>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</si>
  <si>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</si>
  <si>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</si>
  <si>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</si>
  <si>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</si>
  <si>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</si>
  <si>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 MATÍAS</t>
  </si>
  <si>
    <t>EBÉJICO</t>
  </si>
  <si>
    <t>EL BAGRE</t>
  </si>
  <si>
    <t>ENTRERRIOS</t>
  </si>
  <si>
    <t>ENVIGADO</t>
  </si>
  <si>
    <t>FREDONIA</t>
  </si>
  <si>
    <t>FRONTINO</t>
  </si>
  <si>
    <t>GIRALDO</t>
  </si>
  <si>
    <t>GIRARDOTA</t>
  </si>
  <si>
    <t>GÓMEZ PLATA</t>
  </si>
  <si>
    <t>GUARNE</t>
  </si>
  <si>
    <t>GUATAPE</t>
  </si>
  <si>
    <t>HELICONIA</t>
  </si>
  <si>
    <t>HISPANIA</t>
  </si>
  <si>
    <t>ITAGUI</t>
  </si>
  <si>
    <t>ITUANGO</t>
  </si>
  <si>
    <t>JARDÍN</t>
  </si>
  <si>
    <t>JERICÓ</t>
  </si>
  <si>
    <t>LA CEJA</t>
  </si>
  <si>
    <t>LA ESTRELLA</t>
  </si>
  <si>
    <t>LA PINTADA</t>
  </si>
  <si>
    <t>LA UNIÓN</t>
  </si>
  <si>
    <t>LIBORINA</t>
  </si>
  <si>
    <t>MACEO</t>
  </si>
  <si>
    <t>MARINILLA</t>
  </si>
  <si>
    <t>MONTEBELLO</t>
  </si>
  <si>
    <t>MURINDÓ</t>
  </si>
  <si>
    <t>MUTATÁ</t>
  </si>
  <si>
    <t>NARIÑO</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</si>
  <si>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</si>
  <si>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</si>
  <si>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</si>
  <si>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</si>
  <si>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</si>
  <si>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</si>
  <si>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</si>
  <si>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</si>
  <si>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</si>
  <si>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</si>
  <si>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</si>
  <si>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</si>
  <si>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</si>
  <si>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</si>
  <si>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</si>
  <si>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t>
  </si>
  <si>
    <t>SAN CARLOS</t>
  </si>
  <si>
    <t>SAN FRANCISCO</t>
  </si>
  <si>
    <t>SAN JERÓNIMO</t>
  </si>
  <si>
    <t>SAN JOSÉ DE LA MONTAÑA</t>
  </si>
  <si>
    <t>SAN JUAN DE URABÁ</t>
  </si>
  <si>
    <t>SAN LUIS</t>
  </si>
  <si>
    <t>SAN PEDRO</t>
  </si>
  <si>
    <t>SAN PEDRO DE URABA</t>
  </si>
  <si>
    <t>SAN RAFAEL</t>
  </si>
  <si>
    <t>SAN ROQUE</t>
  </si>
  <si>
    <t>SAN VICENTE</t>
  </si>
  <si>
    <t>SANTA BÁRBARA</t>
  </si>
  <si>
    <t>SANTA ROSA DE OSOS</t>
  </si>
  <si>
    <t>SANTO DOMINGO</t>
  </si>
  <si>
    <t>EL SANTUARIO</t>
  </si>
  <si>
    <t>SEGOVIA</t>
  </si>
  <si>
    <t>SONSON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</si>
  <si>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</si>
  <si>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</si>
  <si>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</si>
  <si>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</si>
  <si>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</si>
  <si>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</si>
  <si>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</si>
  <si>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</si>
  <si>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</si>
  <si>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</si>
  <si>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</si>
  <si>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</si>
  <si>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</si>
  <si>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</si>
  <si>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</si>
  <si>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</si>
  <si>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</si>
  <si>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</si>
  <si>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</si>
  <si>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08</t>
  </si>
  <si>
    <t>Atlántico</t>
  </si>
  <si>
    <t>BARRANQUILLA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</si>
  <si>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</si>
  <si>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</si>
  <si>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</si>
  <si>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</si>
  <si>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</si>
  <si>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</si>
  <si>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</si>
  <si>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</si>
  <si>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</si>
  <si>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</si>
  <si>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</si>
  <si>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</si>
  <si>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</si>
  <si>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</si>
  <si>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</si>
  <si>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</si>
  <si>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</si>
  <si>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</si>
  <si>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</si>
  <si>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</si>
  <si>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</si>
  <si>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11</t>
  </si>
  <si>
    <t>Bogotá D.C</t>
  </si>
  <si>
    <t>BOGOTÁ</t>
  </si>
  <si>
    <t>13</t>
  </si>
  <si>
    <t>Bolívar</t>
  </si>
  <si>
    <t>CARTAGENA</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</si>
  <si>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</si>
  <si>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</si>
  <si>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</si>
  <si>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</si>
  <si>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</si>
  <si>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</si>
  <si>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</si>
  <si>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</si>
  <si>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</si>
  <si>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</si>
  <si>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</si>
  <si>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</si>
  <si>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</si>
  <si>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</si>
  <si>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</si>
  <si>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</si>
  <si>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</si>
  <si>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</si>
  <si>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</si>
  <si>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</si>
  <si>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</si>
  <si>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</si>
  <si>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</si>
  <si>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</si>
  <si>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</si>
  <si>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</si>
  <si>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</si>
  <si>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</si>
  <si>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</si>
  <si>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</si>
  <si>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</si>
  <si>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</si>
  <si>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</si>
  <si>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</si>
  <si>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</si>
  <si>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</si>
  <si>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</si>
  <si>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</si>
  <si>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</si>
  <si>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</si>
  <si>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</si>
  <si>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</si>
  <si>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</si>
  <si>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</si>
  <si>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15</t>
  </si>
  <si>
    <t>Boyacá</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</si>
  <si>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</si>
  <si>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</si>
  <si>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</si>
  <si>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</si>
  <si>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</si>
  <si>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</si>
  <si>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</si>
  <si>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</si>
  <si>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</si>
  <si>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</si>
  <si>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</si>
  <si>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</si>
  <si>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</si>
  <si>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</si>
  <si>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</si>
  <si>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</si>
  <si>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</si>
  <si>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</si>
  <si>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</si>
  <si>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</si>
  <si>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</si>
  <si>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</si>
  <si>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</si>
  <si>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</si>
  <si>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</si>
  <si>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</si>
  <si>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</si>
  <si>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</si>
  <si>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</si>
  <si>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</si>
  <si>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</si>
  <si>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</si>
  <si>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</si>
  <si>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</si>
  <si>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</si>
  <si>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GAMEZA</t>
  </si>
  <si>
    <t>GARAGOA</t>
  </si>
  <si>
    <t>GUACAMAYAS</t>
  </si>
  <si>
    <t>GUATEQUE</t>
  </si>
  <si>
    <t>GUAYATÁ</t>
  </si>
  <si>
    <t>GÜICÁN</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</si>
  <si>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</si>
  <si>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</si>
  <si>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</si>
  <si>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</si>
  <si>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</si>
  <si>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</si>
  <si>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</si>
  <si>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</si>
  <si>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</si>
  <si>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</si>
  <si>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</si>
  <si>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</si>
  <si>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</si>
  <si>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</si>
  <si>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</si>
  <si>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</si>
  <si>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</si>
  <si>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</si>
  <si>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</si>
  <si>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</si>
  <si>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</si>
  <si>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</si>
  <si>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</si>
  <si>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</si>
  <si>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</si>
  <si>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</si>
  <si>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</si>
  <si>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</si>
  <si>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</si>
  <si>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</si>
  <si>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</si>
  <si>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</si>
  <si>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</si>
  <si>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</si>
  <si>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</si>
  <si>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</si>
  <si>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</si>
  <si>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</si>
  <si>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</si>
  <si>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</si>
  <si>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</si>
  <si>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</si>
  <si>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</si>
  <si>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</si>
  <si>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</si>
  <si>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</si>
  <si>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</si>
  <si>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</si>
  <si>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</si>
  <si>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</si>
  <si>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</si>
  <si>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</si>
  <si>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</si>
  <si>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</si>
  <si>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</si>
  <si>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</si>
  <si>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</si>
  <si>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</si>
  <si>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</si>
  <si>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</si>
  <si>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</si>
  <si>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</si>
  <si>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</si>
  <si>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</si>
  <si>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</si>
  <si>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</si>
  <si>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</si>
  <si>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</si>
  <si>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</si>
  <si>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</si>
  <si>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</si>
  <si>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</si>
  <si>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</si>
  <si>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</si>
  <si>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</si>
  <si>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UMBITA</t>
  </si>
  <si>
    <t>VENTAQUEMADA</t>
  </si>
  <si>
    <t>VIRACACHÁ</t>
  </si>
  <si>
    <t>ZETAQUIRA</t>
  </si>
  <si>
    <t>17</t>
  </si>
  <si>
    <t>Caldas</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</si>
  <si>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</si>
  <si>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</si>
  <si>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</si>
  <si>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</si>
  <si>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</si>
  <si>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</si>
  <si>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</si>
  <si>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</si>
  <si>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</si>
  <si>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</si>
  <si>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</si>
  <si>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</si>
  <si>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</si>
  <si>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</si>
  <si>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</si>
  <si>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</si>
  <si>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PENSILVANIA</t>
  </si>
  <si>
    <t>RIOSUCIO</t>
  </si>
  <si>
    <t>RISARALDA</t>
  </si>
  <si>
    <t>SALAMINA</t>
  </si>
  <si>
    <t>SAMANÁ</t>
  </si>
  <si>
    <t>SAN JOSÉ</t>
  </si>
  <si>
    <t>SUPÍA</t>
  </si>
  <si>
    <t>VICTORIA</t>
  </si>
  <si>
    <t>VILLAMARÍA</t>
  </si>
  <si>
    <t>VITERBO</t>
  </si>
  <si>
    <t>18</t>
  </si>
  <si>
    <t>Caquetá</t>
  </si>
  <si>
    <t>FLORENCIA</t>
  </si>
  <si>
    <t>BELÉN DE LOS ANDAQUIES</t>
  </si>
  <si>
    <t>CARTAGENA DEL CHAIRÁ</t>
  </si>
  <si>
    <t>CURILLO</t>
  </si>
  <si>
    <t>EL DONCELLO</t>
  </si>
  <si>
    <t>EL PAUJIL</t>
  </si>
  <si>
    <t>LA MONTAÑITA</t>
  </si>
  <si>
    <t>MILÁN</t>
  </si>
  <si>
    <t>MORELIA</t>
  </si>
  <si>
    <t>SAN JOSÉ DEL FRAGUA</t>
  </si>
  <si>
    <t>SAN VICENTE DEL CAGUÁN</t>
  </si>
  <si>
    <t>SOLANO</t>
  </si>
  <si>
    <t>SOLITA</t>
  </si>
  <si>
    <t>19</t>
  </si>
  <si>
    <t>Cauca</t>
  </si>
  <si>
    <t>POPAYÁN</t>
  </si>
  <si>
    <t>ALMAGUER</t>
  </si>
  <si>
    <t>BALBOA</t>
  </si>
  <si>
    <t>BOLÍVAR</t>
  </si>
  <si>
    <t>BUENOS AIRES</t>
  </si>
  <si>
    <t>CAJIBÍO</t>
  </si>
  <si>
    <t>CALDONO</t>
  </si>
  <si>
    <t>CALOTO</t>
  </si>
  <si>
    <t>CORINTO</t>
  </si>
  <si>
    <t>EL TAMBO</t>
  </si>
  <si>
    <t>GUAPI</t>
  </si>
  <si>
    <t>INZÁ</t>
  </si>
  <si>
    <t>JAMBALÓ</t>
  </si>
  <si>
    <t>LA SIERRA</t>
  </si>
  <si>
    <t>LA VEGA</t>
  </si>
  <si>
    <t>LÓPEZ</t>
  </si>
  <si>
    <t>MERCADERES</t>
  </si>
  <si>
    <t>MIRANDA</t>
  </si>
  <si>
    <t>PADILLA</t>
  </si>
  <si>
    <t>PAEZ</t>
  </si>
  <si>
    <t>PATÍA</t>
  </si>
  <si>
    <t>PIAMONTE</t>
  </si>
  <si>
    <t>PIENDAMÓ</t>
  </si>
  <si>
    <t>PUERTO TEJADA</t>
  </si>
  <si>
    <t>PURACÉ</t>
  </si>
  <si>
    <t>ROSAS</t>
  </si>
  <si>
    <t>SAN SEBASTIÁN</t>
  </si>
  <si>
    <t>SANTANDER DE QUILICHAO</t>
  </si>
  <si>
    <t>SILVIA</t>
  </si>
  <si>
    <t>SOTARA</t>
  </si>
  <si>
    <t>SUÁREZ</t>
  </si>
  <si>
    <t>SUCRE</t>
  </si>
  <si>
    <t>TIMBÍO</t>
  </si>
  <si>
    <t>TIMBIQUÍ</t>
  </si>
  <si>
    <t>TORIBIO</t>
  </si>
  <si>
    <t>TOTORÓ</t>
  </si>
  <si>
    <t>VILLA RICA</t>
  </si>
  <si>
    <t>20</t>
  </si>
  <si>
    <t>Cesar</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</si>
  <si>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</si>
  <si>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</si>
  <si>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</si>
  <si>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</si>
  <si>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</si>
  <si>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</si>
  <si>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</si>
  <si>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</si>
  <si>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</si>
  <si>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</si>
  <si>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</si>
  <si>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</si>
  <si>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</si>
  <si>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</si>
  <si>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</si>
  <si>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t>
  </si>
  <si>
    <t>PAILITAS</t>
  </si>
  <si>
    <t>PELAYA</t>
  </si>
  <si>
    <t>PUEBLO BELLO</t>
  </si>
  <si>
    <t>RÍO DE ORO</t>
  </si>
  <si>
    <t>LA PAZ</t>
  </si>
  <si>
    <t>SAN ALBERTO</t>
  </si>
  <si>
    <t>SAN DIEGO</t>
  </si>
  <si>
    <t>SAN MARTÍN</t>
  </si>
  <si>
    <t>TAMALAMEQUE</t>
  </si>
  <si>
    <t>23</t>
  </si>
  <si>
    <t>Córdoba</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</si>
  <si>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</si>
  <si>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</si>
  <si>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</si>
  <si>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</si>
  <si>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</si>
  <si>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</si>
  <si>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</si>
  <si>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</si>
  <si>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</si>
  <si>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</si>
  <si>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</si>
  <si>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</si>
  <si>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</si>
  <si>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</si>
  <si>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</si>
  <si>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</si>
  <si>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</si>
  <si>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</si>
  <si>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t>
  </si>
  <si>
    <t>SAHAGÚN</t>
  </si>
  <si>
    <t>SAN ANDRÉS SOTAVENTO</t>
  </si>
  <si>
    <t>SAN ANTERO</t>
  </si>
  <si>
    <t>SAN BERNARDO DEL VIENTO</t>
  </si>
  <si>
    <t>SAN PELAYO</t>
  </si>
  <si>
    <t>TIERRALTA</t>
  </si>
  <si>
    <t>VALENCIA</t>
  </si>
  <si>
    <t>25</t>
  </si>
  <si>
    <t>Cundinamarca</t>
  </si>
  <si>
    <t>AGUA DE DIOS</t>
  </si>
  <si>
    <t>ALBÁN</t>
  </si>
  <si>
    <t>ANAPOIMA</t>
  </si>
  <si>
    <t>ANOLAIMA</t>
  </si>
  <si>
    <t>ARBELÁEZ</t>
  </si>
  <si>
    <t>BELTRÁN</t>
  </si>
  <si>
    <t>BITUIMA</t>
  </si>
  <si>
    <t>BOJACÁ</t>
  </si>
  <si>
    <t>CABRERA</t>
  </si>
  <si>
    <t>CACHIPAY</t>
  </si>
  <si>
    <t>CAJICÁ</t>
  </si>
  <si>
    <t>CAPARRAPÍ</t>
  </si>
  <si>
    <t>CAQUEZA</t>
  </si>
  <si>
    <t>CARMEN DE CARUPA</t>
  </si>
  <si>
    <t>CHAGUANÍ</t>
  </si>
  <si>
    <t>CHÍA</t>
  </si>
  <si>
    <t>CHIPAQUE</t>
  </si>
  <si>
    <t>CHOACHÍ</t>
  </si>
  <si>
    <t>CHOCONTÁ</t>
  </si>
  <si>
    <t>COGUA</t>
  </si>
  <si>
    <t>COTA</t>
  </si>
  <si>
    <t>CUCUNUBÁ</t>
  </si>
  <si>
    <t>EL COLEGIO</t>
  </si>
  <si>
    <t>EL ROSAL</t>
  </si>
  <si>
    <t>FACATATIVÁ</t>
  </si>
  <si>
    <t>FOMEQUE</t>
  </si>
  <si>
    <t>FOSCA</t>
  </si>
  <si>
    <t>FUNZA</t>
  </si>
  <si>
    <t>FÚQUENE</t>
  </si>
  <si>
    <t>FUSAGASUGÁ</t>
  </si>
  <si>
    <t>GACHALA</t>
  </si>
  <si>
    <t>GACHANCIPÁ</t>
  </si>
  <si>
    <t>GACHETÁ</t>
  </si>
  <si>
    <t>GAMA</t>
  </si>
  <si>
    <t>GIRARDOT</t>
  </si>
  <si>
    <t>GUACHETÁ</t>
  </si>
  <si>
    <t>GUADUAS</t>
  </si>
  <si>
    <t>GUASCA</t>
  </si>
  <si>
    <t>GUATAQUÍ</t>
  </si>
  <si>
    <t>GUATAVITA</t>
  </si>
  <si>
    <t>GUAYABAL DE SIQUIMA</t>
  </si>
  <si>
    <t>GUAYABETAL</t>
  </si>
  <si>
    <t>GUTIÉRREZ</t>
  </si>
  <si>
    <t>JERUSALÉN</t>
  </si>
  <si>
    <t>JUNÍN</t>
  </si>
  <si>
    <t>LA CALERA</t>
  </si>
  <si>
    <t>LA MESA</t>
  </si>
  <si>
    <t>LA PALMA</t>
  </si>
  <si>
    <t>LA PEÑA</t>
  </si>
  <si>
    <t>LENGUAZAQUE</t>
  </si>
  <si>
    <t>MACHETA</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</si>
  <si>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</si>
  <si>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</si>
  <si>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</si>
  <si>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</si>
  <si>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</si>
  <si>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</si>
  <si>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</si>
  <si>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</si>
  <si>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</si>
  <si>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</si>
  <si>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</si>
  <si>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</si>
  <si>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</si>
  <si>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</si>
  <si>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</si>
  <si>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</si>
  <si>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</si>
  <si>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</si>
  <si>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</si>
  <si>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</si>
  <si>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</si>
  <si>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</si>
  <si>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</si>
  <si>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RÍO 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</si>
  <si>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</si>
  <si>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</si>
  <si>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</si>
  <si>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</si>
  <si>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</si>
  <si>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</si>
  <si>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</si>
  <si>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</si>
  <si>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</si>
  <si>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</si>
  <si>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</si>
  <si>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</si>
  <si>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</si>
  <si>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</si>
  <si>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</si>
  <si>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</si>
  <si>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</si>
  <si>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</si>
  <si>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</si>
  <si>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</si>
  <si>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</si>
  <si>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</si>
  <si>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</si>
  <si>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UBATE</t>
  </si>
  <si>
    <t>UNE</t>
  </si>
  <si>
    <t>ÚTICA</t>
  </si>
  <si>
    <t>VERGARA</t>
  </si>
  <si>
    <t>VIANÍ</t>
  </si>
  <si>
    <t>VILLAGÓMEZ</t>
  </si>
  <si>
    <t>VILLAPINZÓN</t>
  </si>
  <si>
    <t>VILLETA</t>
  </si>
  <si>
    <t>VIOTÁ</t>
  </si>
  <si>
    <t>YACOPÍ</t>
  </si>
  <si>
    <t>ZIPACÓN</t>
  </si>
  <si>
    <t>ZIPAQUIRÁ</t>
  </si>
  <si>
    <t>27</t>
  </si>
  <si>
    <t>Chocó</t>
  </si>
  <si>
    <t>QUIBDÓ</t>
  </si>
  <si>
    <t>ACANDÍ</t>
  </si>
  <si>
    <t>ALTO BAUDO</t>
  </si>
  <si>
    <t>ATRATO</t>
  </si>
  <si>
    <t>BAGADÓ</t>
  </si>
  <si>
    <t>BAHÍA SOLANO</t>
  </si>
  <si>
    <t>BAJO BAUDÓ</t>
  </si>
  <si>
    <t>BELÉN DE BAJIRÁ</t>
  </si>
  <si>
    <t>BOJAYA</t>
  </si>
  <si>
    <t>EL CANTÓN DEL SAN PABLO</t>
  </si>
  <si>
    <t>CARMEN DEL DARIEN</t>
  </si>
  <si>
    <t>CÉRTEGUI</t>
  </si>
  <si>
    <t>CONDOTO</t>
  </si>
  <si>
    <t>EL CARMEN DE ATRATO</t>
  </si>
  <si>
    <t>EL LITORAL DEL SAN JUAN</t>
  </si>
  <si>
    <t>ISTMINA</t>
  </si>
  <si>
    <t>JURADÓ</t>
  </si>
  <si>
    <t>LLORÓ</t>
  </si>
  <si>
    <t>MEDIO ATRATO</t>
  </si>
  <si>
    <t>MEDIO BAUDÓ</t>
  </si>
  <si>
    <t>MEDIO SAN JUAN</t>
  </si>
  <si>
    <t>NÓVITA</t>
  </si>
  <si>
    <t>NUQUÍ</t>
  </si>
  <si>
    <t>RÍO IRO</t>
  </si>
  <si>
    <t>RÍO QUITO</t>
  </si>
  <si>
    <t>SAN JOSÉ DEL PALMAR</t>
  </si>
  <si>
    <t>SIPÍ</t>
  </si>
  <si>
    <t>TADÓ</t>
  </si>
  <si>
    <t>UNGUÍA</t>
  </si>
  <si>
    <t>UNIÓN PANAMERICANA</t>
  </si>
  <si>
    <t>41</t>
  </si>
  <si>
    <t>Huila</t>
  </si>
  <si>
    <t>NEIVA</t>
  </si>
  <si>
    <t>ACEVEDO</t>
  </si>
  <si>
    <t>AGRADO</t>
  </si>
  <si>
    <t>AIPE</t>
  </si>
  <si>
    <t>ALGECIRAS</t>
  </si>
  <si>
    <t>ALTAMIRA</t>
  </si>
  <si>
    <t>BARAYA</t>
  </si>
  <si>
    <t>CAMPOALEGRE</t>
  </si>
  <si>
    <t>ELÍAS</t>
  </si>
  <si>
    <t>GARZÓN</t>
  </si>
  <si>
    <t>GIGANTE</t>
  </si>
  <si>
    <t>HOBO</t>
  </si>
  <si>
    <t>IQUIRA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</si>
  <si>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</si>
  <si>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</si>
  <si>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</si>
  <si>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</si>
  <si>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</si>
  <si>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</si>
  <si>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</si>
  <si>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</si>
  <si>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</si>
  <si>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</si>
  <si>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</si>
  <si>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</si>
  <si>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</si>
  <si>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</si>
  <si>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</si>
  <si>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</si>
  <si>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</si>
  <si>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</si>
  <si>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</si>
  <si>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</si>
  <si>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44</t>
  </si>
  <si>
    <t>La Guajira</t>
  </si>
  <si>
    <t>RIOHACHA</t>
  </si>
  <si>
    <t>BARRANCAS</t>
  </si>
  <si>
    <t>DIBULLA</t>
  </si>
  <si>
    <t>DISTRACCIÓN</t>
  </si>
  <si>
    <t>EL MOLINO</t>
  </si>
  <si>
    <t>FONSECA</t>
  </si>
  <si>
    <t>HATONUEVO</t>
  </si>
  <si>
    <t>LA JAGUA DEL PILAR</t>
  </si>
  <si>
    <t>MAICAO</t>
  </si>
  <si>
    <t>SAN JUAN DEL CESAR</t>
  </si>
  <si>
    <t>URIBIA</t>
  </si>
  <si>
    <t>URUMITA</t>
  </si>
  <si>
    <t>47</t>
  </si>
  <si>
    <t>Magdalena</t>
  </si>
  <si>
    <t>SANTA MARTA</t>
  </si>
  <si>
    <t>ALGARROBO</t>
  </si>
  <si>
    <t>ARACATACA</t>
  </si>
  <si>
    <t>ARIGUANÍ</t>
  </si>
  <si>
    <t>CERRO SAN ANTONIO</t>
  </si>
  <si>
    <t>CHIBOLO</t>
  </si>
  <si>
    <t>CIÉNAGA</t>
  </si>
  <si>
    <t>EL BANCO</t>
  </si>
  <si>
    <t>EL PIÑON</t>
  </si>
  <si>
    <t>EL RETÉN</t>
  </si>
  <si>
    <t>FUNDACIÓN</t>
  </si>
  <si>
    <t>GUAMAL</t>
  </si>
  <si>
    <t>NUEVA GRANADA</t>
  </si>
  <si>
    <t>PEDRAZA</t>
  </si>
  <si>
    <t>PIJIÑO DEL CARMEN</t>
  </si>
  <si>
    <t>PIVIJAY</t>
  </si>
  <si>
    <t>PLATO</t>
  </si>
  <si>
    <t>PUEBLOVIEJO</t>
  </si>
  <si>
    <t>REMOLINO</t>
  </si>
  <si>
    <t>SABANAS DE SAN ANGEL</t>
  </si>
  <si>
    <t>SAN SEBASTIÁN DE BUENAVISTA</t>
  </si>
  <si>
    <t>SAN ZENÓN</t>
  </si>
  <si>
    <t>SANTA ANA</t>
  </si>
  <si>
    <t>SANTA BÁRBARA DE PINTO</t>
  </si>
  <si>
    <t>SITIONUEVO</t>
  </si>
  <si>
    <t>TENERIFE</t>
  </si>
  <si>
    <t>ZAPAYÁN</t>
  </si>
  <si>
    <t>ZONA BANANERA</t>
  </si>
  <si>
    <t>50</t>
  </si>
  <si>
    <t>Meta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</si>
  <si>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</si>
  <si>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</si>
  <si>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</si>
  <si>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</si>
  <si>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</si>
  <si>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</si>
  <si>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</si>
  <si>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</si>
  <si>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</si>
  <si>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</si>
  <si>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</si>
  <si>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</si>
  <si>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</si>
  <si>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</si>
  <si>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</si>
  <si>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</si>
  <si>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</si>
  <si>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</si>
  <si>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</si>
  <si>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</si>
  <si>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</si>
  <si>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</si>
  <si>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</si>
  <si>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</si>
  <si>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</si>
  <si>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52</t>
  </si>
  <si>
    <t>Nariño</t>
  </si>
  <si>
    <t>PASTO</t>
  </si>
  <si>
    <t>ALDANA</t>
  </si>
  <si>
    <t>ANCUYÁ</t>
  </si>
  <si>
    <t>ARBOLEDA</t>
  </si>
  <si>
    <t>BARBACOAS</t>
  </si>
  <si>
    <t>BUESACO</t>
  </si>
  <si>
    <t>COLÓN</t>
  </si>
  <si>
    <t>CONSACA</t>
  </si>
  <si>
    <t>CONTADERO</t>
  </si>
  <si>
    <t>CUASPUD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</si>
  <si>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</si>
  <si>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</si>
  <si>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</si>
  <si>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</si>
  <si>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</si>
  <si>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</si>
  <si>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</si>
  <si>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</si>
  <si>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</si>
  <si>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</si>
  <si>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</si>
  <si>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</si>
  <si>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</si>
  <si>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</si>
  <si>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</si>
  <si>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</si>
  <si>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</si>
  <si>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</si>
  <si>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</si>
  <si>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</si>
  <si>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</si>
  <si>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MAGÜI</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</si>
  <si>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</si>
  <si>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</si>
  <si>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</si>
  <si>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</si>
  <si>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</si>
  <si>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</si>
  <si>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</si>
  <si>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</si>
  <si>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</si>
  <si>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</si>
  <si>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</si>
  <si>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</si>
  <si>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</si>
  <si>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</si>
  <si>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</si>
  <si>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</si>
  <si>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</si>
  <si>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</si>
  <si>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TUMACO</t>
  </si>
  <si>
    <t>TÚQUERRES</t>
  </si>
  <si>
    <t>YACUANQUER</t>
  </si>
  <si>
    <t>54</t>
  </si>
  <si>
    <t>Norte de Santander</t>
  </si>
  <si>
    <t>CÚCUTA</t>
  </si>
  <si>
    <t>ABREGO</t>
  </si>
  <si>
    <t>ARBOLEDAS</t>
  </si>
  <si>
    <t>BOCHALEMA</t>
  </si>
  <si>
    <t>BUCARASICA</t>
  </si>
  <si>
    <t>CÁCOTA</t>
  </si>
  <si>
    <t>CACHIRÁ</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</si>
  <si>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</si>
  <si>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</si>
  <si>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</si>
  <si>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</si>
  <si>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</si>
  <si>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</si>
  <si>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</si>
  <si>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</si>
  <si>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</si>
  <si>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</si>
  <si>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</si>
  <si>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</si>
  <si>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</si>
  <si>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</si>
  <si>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</si>
  <si>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</si>
  <si>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</si>
  <si>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</si>
  <si>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</si>
  <si>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</si>
  <si>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</si>
  <si>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</si>
  <si>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</si>
  <si>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</si>
  <si>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</si>
  <si>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</si>
  <si>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</si>
  <si>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</si>
  <si>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</si>
  <si>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</si>
  <si>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</si>
  <si>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63</t>
  </si>
  <si>
    <t>Quindio</t>
  </si>
  <si>
    <t>CALARCA</t>
  </si>
  <si>
    <t>CIRCASIA</t>
  </si>
  <si>
    <t>FILANDIA</t>
  </si>
  <si>
    <t>GÉNOVA</t>
  </si>
  <si>
    <t>LA TEBAIDA</t>
  </si>
  <si>
    <t>PIJAO</t>
  </si>
  <si>
    <t>QUIMBAYA</t>
  </si>
  <si>
    <t>SALENTO</t>
  </si>
  <si>
    <t>66</t>
  </si>
  <si>
    <t>Risaralda</t>
  </si>
  <si>
    <t>PEREIRA</t>
  </si>
  <si>
    <t>APÍA</t>
  </si>
  <si>
    <t>BELÉN DE UMBRÍA</t>
  </si>
  <si>
    <t>DOSQUEBRADAS</t>
  </si>
  <si>
    <t>GUÁTICA</t>
  </si>
  <si>
    <t>LA CELIA</t>
  </si>
  <si>
    <t>LA VIRGINIA</t>
  </si>
  <si>
    <t>MARSELLA</t>
  </si>
  <si>
    <t>MISTRATÓ</t>
  </si>
  <si>
    <t>PUEBLO RICO</t>
  </si>
  <si>
    <t>QUINCHÍA</t>
  </si>
  <si>
    <t>SANTA ROSA DE CABAL</t>
  </si>
  <si>
    <t>SANTUARIO</t>
  </si>
  <si>
    <t>68</t>
  </si>
  <si>
    <t>Santander</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</si>
  <si>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</si>
  <si>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</si>
  <si>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</si>
  <si>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</si>
  <si>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</si>
  <si>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</si>
  <si>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</si>
  <si>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</si>
  <si>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</si>
  <si>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</si>
  <si>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</si>
  <si>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</si>
  <si>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</si>
  <si>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</si>
  <si>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</si>
  <si>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</si>
  <si>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</si>
  <si>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</si>
  <si>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</si>
  <si>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</si>
  <si>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</si>
  <si>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</si>
  <si>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</si>
  <si>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</si>
  <si>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</si>
  <si>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</si>
  <si>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</si>
  <si>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GAMBITA</t>
  </si>
  <si>
    <t>GIRÓN</t>
  </si>
  <si>
    <t>GUACA</t>
  </si>
  <si>
    <t>GUAPOTÁ</t>
  </si>
  <si>
    <t>GUAVATÁ</t>
  </si>
  <si>
    <t>GÜEPSA</t>
  </si>
  <si>
    <t>HATO</t>
  </si>
  <si>
    <t>JESÚS MARÍA</t>
  </si>
  <si>
    <t>JORDÁN</t>
  </si>
  <si>
    <t>LA BELLEZA</t>
  </si>
  <si>
    <t>LANDÁZURI</t>
  </si>
  <si>
    <t>LEBRÍJA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</si>
  <si>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</si>
  <si>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</si>
  <si>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</si>
  <si>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</si>
  <si>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</si>
  <si>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</si>
  <si>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</si>
  <si>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</si>
  <si>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</si>
  <si>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</si>
  <si>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</si>
  <si>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</si>
  <si>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</si>
  <si>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</si>
  <si>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</si>
  <si>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</si>
  <si>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</si>
  <si>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</si>
  <si>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</si>
  <si>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</si>
  <si>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</si>
  <si>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</si>
  <si>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</si>
  <si>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</si>
  <si>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</si>
  <si>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</si>
  <si>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</si>
  <si>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</si>
  <si>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</si>
  <si>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</si>
  <si>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</si>
  <si>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</si>
  <si>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</si>
  <si>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</si>
  <si>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70</t>
  </si>
  <si>
    <t>Sucre</t>
  </si>
  <si>
    <t>SINCELEJO</t>
  </si>
  <si>
    <t>CAIMITO</t>
  </si>
  <si>
    <t>COLOSO</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</si>
  <si>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</si>
  <si>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</si>
  <si>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</si>
  <si>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</si>
  <si>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</si>
  <si>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</si>
  <si>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</si>
  <si>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</si>
  <si>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</si>
  <si>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</si>
  <si>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</si>
  <si>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</si>
  <si>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</si>
  <si>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</si>
  <si>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</si>
  <si>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</si>
  <si>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SINCÉ</t>
  </si>
  <si>
    <t>SANTIAGO DE TOLÚ</t>
  </si>
  <si>
    <t>TOLÚ VIEJO</t>
  </si>
  <si>
    <t>73</t>
  </si>
  <si>
    <t>Tolima</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</si>
  <si>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</si>
  <si>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</si>
  <si>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</si>
  <si>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</si>
  <si>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</si>
  <si>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</si>
  <si>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</si>
  <si>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</si>
  <si>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</si>
  <si>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</si>
  <si>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</si>
  <si>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</si>
  <si>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</si>
  <si>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</si>
  <si>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</si>
  <si>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</si>
  <si>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</si>
  <si>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</si>
  <si>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</si>
  <si>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</si>
  <si>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</si>
  <si>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</si>
  <si>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</si>
  <si>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</si>
  <si>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</si>
  <si>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</si>
  <si>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</si>
  <si>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</si>
  <si>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</si>
  <si>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</si>
  <si>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</si>
  <si>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</si>
  <si>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</si>
  <si>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</si>
  <si>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</si>
  <si>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</si>
  <si>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</si>
  <si>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</si>
  <si>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</si>
  <si>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</si>
  <si>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</si>
  <si>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</si>
  <si>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</si>
  <si>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</si>
  <si>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</si>
  <si>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76</t>
  </si>
  <si>
    <t>Valle del Cauca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</si>
  <si>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</si>
  <si>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</si>
  <si>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</si>
  <si>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</si>
  <si>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</si>
  <si>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</si>
  <si>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</si>
  <si>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</si>
  <si>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</si>
  <si>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</si>
  <si>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</si>
  <si>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</si>
  <si>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</si>
  <si>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</si>
  <si>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</si>
  <si>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</si>
  <si>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</si>
  <si>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</si>
  <si>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</si>
  <si>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</si>
  <si>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</si>
  <si>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</si>
  <si>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</si>
  <si>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</si>
  <si>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</si>
  <si>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</si>
  <si>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</si>
  <si>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</si>
  <si>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</si>
  <si>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</si>
  <si>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</si>
  <si>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</si>
  <si>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</si>
  <si>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</si>
  <si>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</si>
  <si>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81</t>
  </si>
  <si>
    <t>Arauca</t>
  </si>
  <si>
    <t>ARAUCA</t>
  </si>
  <si>
    <t>ARAUQUITA</t>
  </si>
  <si>
    <t>CRAVO NORTE</t>
  </si>
  <si>
    <t>FORTUL</t>
  </si>
  <si>
    <t>PUERTO RONDÓN</t>
  </si>
  <si>
    <t>SARAVENA</t>
  </si>
  <si>
    <t>TAME</t>
  </si>
  <si>
    <t>85</t>
  </si>
  <si>
    <t>Casanare</t>
  </si>
  <si>
    <t>YOPAL</t>
  </si>
  <si>
    <t>AGUAZUL</t>
  </si>
  <si>
    <t>CHAMEZA</t>
  </si>
  <si>
    <t>HATO COROZAL</t>
  </si>
  <si>
    <t>LA SALINA</t>
  </si>
  <si>
    <t>MANÍ</t>
  </si>
  <si>
    <t>MONTERREY</t>
  </si>
  <si>
    <t>NUNCHÍA</t>
  </si>
  <si>
    <t>OROCUÉ</t>
  </si>
  <si>
    <t>PAZ DE ARIPORO</t>
  </si>
  <si>
    <t>PORE</t>
  </si>
  <si>
    <t>RECETOR</t>
  </si>
  <si>
    <t>SÁCAMA</t>
  </si>
  <si>
    <t>SAN LUIS DE PALENQUE</t>
  </si>
  <si>
    <t>TÁMARA</t>
  </si>
  <si>
    <t>TAURAMENA</t>
  </si>
  <si>
    <t>TRINIDAD</t>
  </si>
  <si>
    <t>86</t>
  </si>
  <si>
    <t>Putumayo</t>
  </si>
  <si>
    <t>MOCOA</t>
  </si>
  <si>
    <t>ORITO</t>
  </si>
  <si>
    <t>PUERTO ASÍS</t>
  </si>
  <si>
    <t>PUERTO CAICEDO</t>
  </si>
  <si>
    <t>PUERTO GUZMÁN</t>
  </si>
  <si>
    <t>LEGUÍZAMO</t>
  </si>
  <si>
    <t>SIBUNDOY</t>
  </si>
  <si>
    <t>VALLE DEL GUAMUEZ</t>
  </si>
  <si>
    <t>VILLAGARZÓN</t>
  </si>
  <si>
    <t>88</t>
  </si>
  <si>
    <t>Archipiélago de San Andrés, Providencia y Santa Catalina</t>
  </si>
  <si>
    <t>91</t>
  </si>
  <si>
    <t>Amazonas</t>
  </si>
  <si>
    <t>LETICIA</t>
  </si>
  <si>
    <t>EL ENCANTO</t>
  </si>
  <si>
    <t>LA CHORRERA</t>
  </si>
  <si>
    <t>LA PEDRERA</t>
  </si>
  <si>
    <t>MIRITI - PARANÁ</t>
  </si>
  <si>
    <t>PUERTO ALEGRÍA</t>
  </si>
  <si>
    <t>PUERTO ARICA</t>
  </si>
  <si>
    <t>PUERTO NARIÑO</t>
  </si>
  <si>
    <t>TARAPACÁ</t>
  </si>
  <si>
    <t>94</t>
  </si>
  <si>
    <t>Guainía</t>
  </si>
  <si>
    <t>INÍRIDA</t>
  </si>
  <si>
    <t>BARRANCO MINAS</t>
  </si>
  <si>
    <t>MAPIRIPANA</t>
  </si>
  <si>
    <t>SAN FELIPE</t>
  </si>
  <si>
    <t>LA GUADALUPE</t>
  </si>
  <si>
    <t>CACAHUAL</t>
  </si>
  <si>
    <t>PANA PANA</t>
  </si>
  <si>
    <t>MORICHAL</t>
  </si>
  <si>
    <t>95</t>
  </si>
  <si>
    <t>Guaviare</t>
  </si>
  <si>
    <t>SAN JOSÉ DEL GUAVIARE</t>
  </si>
  <si>
    <t>EL RETORNO</t>
  </si>
  <si>
    <t>97</t>
  </si>
  <si>
    <t>Vaupés</t>
  </si>
  <si>
    <t>MITÚ</t>
  </si>
  <si>
    <t>CARURU</t>
  </si>
  <si>
    <t>PACOA</t>
  </si>
  <si>
    <t>TARAIRA</t>
  </si>
  <si>
    <t>PAPUNAUA</t>
  </si>
  <si>
    <t>YAVARATÉ</t>
  </si>
  <si>
    <t>99</t>
  </si>
  <si>
    <t>Vichada</t>
  </si>
  <si>
    <t>PUERTO CARREÑO</t>
  </si>
  <si>
    <t>LA PRIMAVERA</t>
  </si>
  <si>
    <t>SANTA ROSALÍA</t>
  </si>
  <si>
    <t>CUMARIBO</t>
  </si>
  <si>
    <t>CLASIFICACIÓN INDUSTRIAL INTERNACIONAL UNIFORME, REVISIÓN 4 ADAPTADA PARA COLOMBIA CIIU Rev. 4 A.C.</t>
  </si>
  <si>
    <t>OTRO</t>
  </si>
  <si>
    <t>Otro</t>
  </si>
  <si>
    <t>No</t>
  </si>
  <si>
    <t>cod_dep ciu</t>
  </si>
  <si>
    <t xml:space="preserve"> </t>
  </si>
  <si>
    <t>CL</t>
  </si>
  <si>
    <t>R</t>
  </si>
  <si>
    <t>AC</t>
  </si>
  <si>
    <t>AK</t>
  </si>
  <si>
    <t>Autopista</t>
  </si>
  <si>
    <t>AUT</t>
  </si>
  <si>
    <t>Avenida</t>
  </si>
  <si>
    <t>AV</t>
  </si>
  <si>
    <t>BL</t>
  </si>
  <si>
    <t>Boulevard</t>
  </si>
  <si>
    <t>C</t>
  </si>
  <si>
    <t>CC</t>
  </si>
  <si>
    <t>Calle</t>
  </si>
  <si>
    <t>Carrera</t>
  </si>
  <si>
    <t>CR</t>
  </si>
  <si>
    <t>Carretera</t>
  </si>
  <si>
    <t>CRT</t>
  </si>
  <si>
    <t>Circunvalar</t>
  </si>
  <si>
    <t>Diagonal</t>
  </si>
  <si>
    <t>DG</t>
  </si>
  <si>
    <t>Departamento</t>
  </si>
  <si>
    <t>ESTE</t>
  </si>
  <si>
    <t>Kilómetro</t>
  </si>
  <si>
    <t>KM</t>
  </si>
  <si>
    <t>O</t>
  </si>
  <si>
    <t>P</t>
  </si>
  <si>
    <t>Pasaje</t>
  </si>
  <si>
    <t>PJ</t>
  </si>
  <si>
    <t>Paseo</t>
  </si>
  <si>
    <t>PS</t>
  </si>
  <si>
    <t>SUR</t>
  </si>
  <si>
    <t>Transversal</t>
  </si>
  <si>
    <t>TV</t>
  </si>
  <si>
    <t>Vereda</t>
  </si>
  <si>
    <t>VRD</t>
  </si>
  <si>
    <t>Variante</t>
  </si>
  <si>
    <t>COD</t>
  </si>
  <si>
    <t>A</t>
  </si>
  <si>
    <t>B</t>
  </si>
  <si>
    <t>D</t>
  </si>
  <si>
    <t>E</t>
  </si>
  <si>
    <t>F</t>
  </si>
  <si>
    <t>G</t>
  </si>
  <si>
    <t>H</t>
  </si>
  <si>
    <t>I</t>
  </si>
  <si>
    <t>J</t>
  </si>
  <si>
    <t>K</t>
  </si>
  <si>
    <t>L</t>
  </si>
  <si>
    <t>M</t>
  </si>
  <si>
    <t>N</t>
  </si>
  <si>
    <t>Ñ</t>
  </si>
  <si>
    <t>Q</t>
  </si>
  <si>
    <t>S</t>
  </si>
  <si>
    <t>T</t>
  </si>
  <si>
    <t>U</t>
  </si>
  <si>
    <t>V</t>
  </si>
  <si>
    <t>X</t>
  </si>
  <si>
    <t>Y</t>
  </si>
  <si>
    <t>Z</t>
  </si>
  <si>
    <t>W</t>
  </si>
  <si>
    <t>BIS</t>
  </si>
  <si>
    <t>REGIMEN</t>
  </si>
  <si>
    <t>C1</t>
  </si>
  <si>
    <t>SI</t>
  </si>
  <si>
    <t>NO</t>
  </si>
  <si>
    <t>C2</t>
  </si>
  <si>
    <t>No contrato</t>
  </si>
  <si>
    <t>Denominación social de la Entidad</t>
  </si>
  <si>
    <t>Denominación abreviada de la entidad</t>
  </si>
  <si>
    <t>NIT</t>
  </si>
  <si>
    <t>Nombre Completo</t>
  </si>
  <si>
    <t>RS</t>
  </si>
  <si>
    <t>Tipo de Contribuyente</t>
  </si>
  <si>
    <t>Tipo de Documento</t>
  </si>
  <si>
    <t>COD_DIAN</t>
  </si>
  <si>
    <t>COD_APOT</t>
  </si>
  <si>
    <t>CE</t>
  </si>
  <si>
    <t>TI</t>
  </si>
  <si>
    <t>OTI</t>
  </si>
  <si>
    <t>RC</t>
  </si>
  <si>
    <t>002</t>
  </si>
  <si>
    <t>004</t>
  </si>
  <si>
    <t>021</t>
  </si>
  <si>
    <t>030</t>
  </si>
  <si>
    <t>034</t>
  </si>
  <si>
    <t>036</t>
  </si>
  <si>
    <t>038</t>
  </si>
  <si>
    <t>042</t>
  </si>
  <si>
    <t>044</t>
  </si>
  <si>
    <t>045</t>
  </si>
  <si>
    <t>051</t>
  </si>
  <si>
    <t>055</t>
  </si>
  <si>
    <t>079</t>
  </si>
  <si>
    <t>086</t>
  </si>
  <si>
    <t>107</t>
  </si>
  <si>
    <t>113</t>
  </si>
  <si>
    <t>120</t>
  </si>
  <si>
    <t>125</t>
  </si>
  <si>
    <t>129</t>
  </si>
  <si>
    <t>134</t>
  </si>
  <si>
    <t>138</t>
  </si>
  <si>
    <t>142</t>
  </si>
  <si>
    <t>147</t>
  </si>
  <si>
    <t>148</t>
  </si>
  <si>
    <t>150</t>
  </si>
  <si>
    <t>154</t>
  </si>
  <si>
    <t>172</t>
  </si>
  <si>
    <t>197</t>
  </si>
  <si>
    <t>206</t>
  </si>
  <si>
    <t>209</t>
  </si>
  <si>
    <t>212</t>
  </si>
  <si>
    <t>234</t>
  </si>
  <si>
    <t>237</t>
  </si>
  <si>
    <t>250</t>
  </si>
  <si>
    <t>264</t>
  </si>
  <si>
    <t>266</t>
  </si>
  <si>
    <t>282</t>
  </si>
  <si>
    <t>284</t>
  </si>
  <si>
    <t>306</t>
  </si>
  <si>
    <t>308</t>
  </si>
  <si>
    <t>310</t>
  </si>
  <si>
    <t>315</t>
  </si>
  <si>
    <t>318</t>
  </si>
  <si>
    <t>321</t>
  </si>
  <si>
    <t>347</t>
  </si>
  <si>
    <t>353</t>
  </si>
  <si>
    <t>360</t>
  </si>
  <si>
    <t>364</t>
  </si>
  <si>
    <t>368</t>
  </si>
  <si>
    <t>376</t>
  </si>
  <si>
    <t>380</t>
  </si>
  <si>
    <t>390</t>
  </si>
  <si>
    <t>400</t>
  </si>
  <si>
    <t>425</t>
  </si>
  <si>
    <t>475</t>
  </si>
  <si>
    <t>480</t>
  </si>
  <si>
    <t>483</t>
  </si>
  <si>
    <t>490</t>
  </si>
  <si>
    <t>541</t>
  </si>
  <si>
    <t>543</t>
  </si>
  <si>
    <t>585</t>
  </si>
  <si>
    <t>591</t>
  </si>
  <si>
    <t>604</t>
  </si>
  <si>
    <t>615</t>
  </si>
  <si>
    <t>631</t>
  </si>
  <si>
    <t>642</t>
  </si>
  <si>
    <t>649</t>
  </si>
  <si>
    <t>652</t>
  </si>
  <si>
    <t>656</t>
  </si>
  <si>
    <t>658</t>
  </si>
  <si>
    <t>659</t>
  </si>
  <si>
    <t>664</t>
  </si>
  <si>
    <t>667</t>
  </si>
  <si>
    <t>674</t>
  </si>
  <si>
    <t>679</t>
  </si>
  <si>
    <t>686</t>
  </si>
  <si>
    <t>736</t>
  </si>
  <si>
    <t>761</t>
  </si>
  <si>
    <t>790</t>
  </si>
  <si>
    <t>792</t>
  </si>
  <si>
    <t>809</t>
  </si>
  <si>
    <t>819</t>
  </si>
  <si>
    <t>837</t>
  </si>
  <si>
    <t>842</t>
  </si>
  <si>
    <t>854</t>
  </si>
  <si>
    <t>856</t>
  </si>
  <si>
    <t>858</t>
  </si>
  <si>
    <t>861</t>
  </si>
  <si>
    <t>873</t>
  </si>
  <si>
    <t>887</t>
  </si>
  <si>
    <t>893</t>
  </si>
  <si>
    <t>078</t>
  </si>
  <si>
    <t>296</t>
  </si>
  <si>
    <t>421</t>
  </si>
  <si>
    <t>433</t>
  </si>
  <si>
    <t>436</t>
  </si>
  <si>
    <t>520</t>
  </si>
  <si>
    <t>549</t>
  </si>
  <si>
    <t>558</t>
  </si>
  <si>
    <t>560</t>
  </si>
  <si>
    <t>606</t>
  </si>
  <si>
    <t>634</t>
  </si>
  <si>
    <t>638</t>
  </si>
  <si>
    <t>758</t>
  </si>
  <si>
    <t>832</t>
  </si>
  <si>
    <t>849</t>
  </si>
  <si>
    <t>006</t>
  </si>
  <si>
    <t>052</t>
  </si>
  <si>
    <t>062</t>
  </si>
  <si>
    <t>140</t>
  </si>
  <si>
    <t>160</t>
  </si>
  <si>
    <t>188</t>
  </si>
  <si>
    <t>222</t>
  </si>
  <si>
    <t>248</t>
  </si>
  <si>
    <t>268</t>
  </si>
  <si>
    <t>300</t>
  </si>
  <si>
    <t>430</t>
  </si>
  <si>
    <t>442</t>
  </si>
  <si>
    <t>468</t>
  </si>
  <si>
    <t>473</t>
  </si>
  <si>
    <t>600</t>
  </si>
  <si>
    <t>620</t>
  </si>
  <si>
    <t>650</t>
  </si>
  <si>
    <t>654</t>
  </si>
  <si>
    <t>655</t>
  </si>
  <si>
    <t>657</t>
  </si>
  <si>
    <t>673</t>
  </si>
  <si>
    <t>683</t>
  </si>
  <si>
    <t>688</t>
  </si>
  <si>
    <t>760</t>
  </si>
  <si>
    <t>836</t>
  </si>
  <si>
    <t>838</t>
  </si>
  <si>
    <t>894</t>
  </si>
  <si>
    <t>022</t>
  </si>
  <si>
    <t>092</t>
  </si>
  <si>
    <t>104</t>
  </si>
  <si>
    <t>106</t>
  </si>
  <si>
    <t>109</t>
  </si>
  <si>
    <t>114</t>
  </si>
  <si>
    <t>131</t>
  </si>
  <si>
    <t>135</t>
  </si>
  <si>
    <t>162</t>
  </si>
  <si>
    <t>176</t>
  </si>
  <si>
    <t>180</t>
  </si>
  <si>
    <t>185</t>
  </si>
  <si>
    <t>189</t>
  </si>
  <si>
    <t>204</t>
  </si>
  <si>
    <t>223</t>
  </si>
  <si>
    <t>224</t>
  </si>
  <si>
    <t>226</t>
  </si>
  <si>
    <t>236</t>
  </si>
  <si>
    <t>238</t>
  </si>
  <si>
    <t>272</t>
  </si>
  <si>
    <t>276</t>
  </si>
  <si>
    <t>299</t>
  </si>
  <si>
    <t>322</t>
  </si>
  <si>
    <t>332</t>
  </si>
  <si>
    <t>362</t>
  </si>
  <si>
    <t>367</t>
  </si>
  <si>
    <t>377</t>
  </si>
  <si>
    <t>401</t>
  </si>
  <si>
    <t>407</t>
  </si>
  <si>
    <t>466</t>
  </si>
  <si>
    <t>476</t>
  </si>
  <si>
    <t>491</t>
  </si>
  <si>
    <t>500</t>
  </si>
  <si>
    <t>514</t>
  </si>
  <si>
    <t>516</t>
  </si>
  <si>
    <t>518</t>
  </si>
  <si>
    <t>522</t>
  </si>
  <si>
    <t>533</t>
  </si>
  <si>
    <t>537</t>
  </si>
  <si>
    <t>550</t>
  </si>
  <si>
    <t>572</t>
  </si>
  <si>
    <t>621</t>
  </si>
  <si>
    <t>632</t>
  </si>
  <si>
    <t>646</t>
  </si>
  <si>
    <t>681</t>
  </si>
  <si>
    <t>693</t>
  </si>
  <si>
    <t>696</t>
  </si>
  <si>
    <t>723</t>
  </si>
  <si>
    <t>740</t>
  </si>
  <si>
    <t>753</t>
  </si>
  <si>
    <t>755</t>
  </si>
  <si>
    <t>757</t>
  </si>
  <si>
    <t>762</t>
  </si>
  <si>
    <t>763</t>
  </si>
  <si>
    <t>778</t>
  </si>
  <si>
    <t>798</t>
  </si>
  <si>
    <t>804</t>
  </si>
  <si>
    <t>806</t>
  </si>
  <si>
    <t>808</t>
  </si>
  <si>
    <t>814</t>
  </si>
  <si>
    <t>816</t>
  </si>
  <si>
    <t>822</t>
  </si>
  <si>
    <t>835</t>
  </si>
  <si>
    <t>839</t>
  </si>
  <si>
    <t>879</t>
  </si>
  <si>
    <t>050</t>
  </si>
  <si>
    <t>174</t>
  </si>
  <si>
    <t>388</t>
  </si>
  <si>
    <t>444</t>
  </si>
  <si>
    <t>446</t>
  </si>
  <si>
    <t>486</t>
  </si>
  <si>
    <t>513</t>
  </si>
  <si>
    <t>524</t>
  </si>
  <si>
    <t>614</t>
  </si>
  <si>
    <t>616</t>
  </si>
  <si>
    <t>653</t>
  </si>
  <si>
    <t>662</t>
  </si>
  <si>
    <t>777</t>
  </si>
  <si>
    <t>867</t>
  </si>
  <si>
    <t>877</t>
  </si>
  <si>
    <t>094</t>
  </si>
  <si>
    <t>205</t>
  </si>
  <si>
    <t>256</t>
  </si>
  <si>
    <t>460</t>
  </si>
  <si>
    <t>479</t>
  </si>
  <si>
    <t>592</t>
  </si>
  <si>
    <t>610</t>
  </si>
  <si>
    <t>785</t>
  </si>
  <si>
    <t>860</t>
  </si>
  <si>
    <t>075</t>
  </si>
  <si>
    <t>100</t>
  </si>
  <si>
    <t>110</t>
  </si>
  <si>
    <t>130</t>
  </si>
  <si>
    <t>290</t>
  </si>
  <si>
    <t>392</t>
  </si>
  <si>
    <t>397</t>
  </si>
  <si>
    <t>418</t>
  </si>
  <si>
    <t>532</t>
  </si>
  <si>
    <t>622</t>
  </si>
  <si>
    <t>698</t>
  </si>
  <si>
    <t>701</t>
  </si>
  <si>
    <t>743</t>
  </si>
  <si>
    <t>807</t>
  </si>
  <si>
    <t>821</t>
  </si>
  <si>
    <t>824</t>
  </si>
  <si>
    <t>011</t>
  </si>
  <si>
    <t>060</t>
  </si>
  <si>
    <t>175</t>
  </si>
  <si>
    <t>178</t>
  </si>
  <si>
    <t>228</t>
  </si>
  <si>
    <t>295</t>
  </si>
  <si>
    <t>570</t>
  </si>
  <si>
    <t>068</t>
  </si>
  <si>
    <t>168</t>
  </si>
  <si>
    <t>182</t>
  </si>
  <si>
    <t>350</t>
  </si>
  <si>
    <t>417</t>
  </si>
  <si>
    <t>419</t>
  </si>
  <si>
    <t>555</t>
  </si>
  <si>
    <t>574</t>
  </si>
  <si>
    <t>672</t>
  </si>
  <si>
    <t>678</t>
  </si>
  <si>
    <t>019</t>
  </si>
  <si>
    <t>035</t>
  </si>
  <si>
    <t>095</t>
  </si>
  <si>
    <t>099</t>
  </si>
  <si>
    <t>123</t>
  </si>
  <si>
    <t>126</t>
  </si>
  <si>
    <t>151</t>
  </si>
  <si>
    <t>181</t>
  </si>
  <si>
    <t>200</t>
  </si>
  <si>
    <t>214</t>
  </si>
  <si>
    <t>258</t>
  </si>
  <si>
    <t>260</t>
  </si>
  <si>
    <t>269</t>
  </si>
  <si>
    <t>279</t>
  </si>
  <si>
    <t>288</t>
  </si>
  <si>
    <t>307</t>
  </si>
  <si>
    <t>312</t>
  </si>
  <si>
    <t>320</t>
  </si>
  <si>
    <t>324</t>
  </si>
  <si>
    <t>326</t>
  </si>
  <si>
    <t>328</t>
  </si>
  <si>
    <t>335</t>
  </si>
  <si>
    <t>339</t>
  </si>
  <si>
    <t>394</t>
  </si>
  <si>
    <t>398</t>
  </si>
  <si>
    <t>402</t>
  </si>
  <si>
    <t>489</t>
  </si>
  <si>
    <t>506</t>
  </si>
  <si>
    <t>530</t>
  </si>
  <si>
    <t>594</t>
  </si>
  <si>
    <t>596</t>
  </si>
  <si>
    <t>612</t>
  </si>
  <si>
    <t>645</t>
  </si>
  <si>
    <t>718</t>
  </si>
  <si>
    <t>745</t>
  </si>
  <si>
    <t>754</t>
  </si>
  <si>
    <t>769</t>
  </si>
  <si>
    <t>772</t>
  </si>
  <si>
    <t>779</t>
  </si>
  <si>
    <t>781</t>
  </si>
  <si>
    <t>793</t>
  </si>
  <si>
    <t>797</t>
  </si>
  <si>
    <t>799</t>
  </si>
  <si>
    <t>817</t>
  </si>
  <si>
    <t>841</t>
  </si>
  <si>
    <t>843</t>
  </si>
  <si>
    <t>851</t>
  </si>
  <si>
    <t>862</t>
  </si>
  <si>
    <t>871</t>
  </si>
  <si>
    <t>878</t>
  </si>
  <si>
    <t>898</t>
  </si>
  <si>
    <t>899</t>
  </si>
  <si>
    <t>025</t>
  </si>
  <si>
    <t>073</t>
  </si>
  <si>
    <t>016</t>
  </si>
  <si>
    <t>020</t>
  </si>
  <si>
    <t>132</t>
  </si>
  <si>
    <t>298</t>
  </si>
  <si>
    <t>319</t>
  </si>
  <si>
    <t>349</t>
  </si>
  <si>
    <t>357</t>
  </si>
  <si>
    <t>359</t>
  </si>
  <si>
    <t>378</t>
  </si>
  <si>
    <t>396</t>
  </si>
  <si>
    <t>503</t>
  </si>
  <si>
    <t>668</t>
  </si>
  <si>
    <t>791</t>
  </si>
  <si>
    <t>801</t>
  </si>
  <si>
    <t>872</t>
  </si>
  <si>
    <t>098</t>
  </si>
  <si>
    <t>874</t>
  </si>
  <si>
    <t>058</t>
  </si>
  <si>
    <t>161</t>
  </si>
  <si>
    <t>170</t>
  </si>
  <si>
    <t>605</t>
  </si>
  <si>
    <t>692</t>
  </si>
  <si>
    <t>703</t>
  </si>
  <si>
    <t>707</t>
  </si>
  <si>
    <t>960</t>
  </si>
  <si>
    <t>980</t>
  </si>
  <si>
    <t>124</t>
  </si>
  <si>
    <t>270</t>
  </si>
  <si>
    <t>330</t>
  </si>
  <si>
    <t>370</t>
  </si>
  <si>
    <t>568</t>
  </si>
  <si>
    <t>577</t>
  </si>
  <si>
    <t>590</t>
  </si>
  <si>
    <t>680</t>
  </si>
  <si>
    <t>689</t>
  </si>
  <si>
    <t>711</t>
  </si>
  <si>
    <t>207</t>
  </si>
  <si>
    <t>210</t>
  </si>
  <si>
    <t>227</t>
  </si>
  <si>
    <t>233</t>
  </si>
  <si>
    <t>254</t>
  </si>
  <si>
    <t>323</t>
  </si>
  <si>
    <t>352</t>
  </si>
  <si>
    <t>354</t>
  </si>
  <si>
    <t>356</t>
  </si>
  <si>
    <t>381</t>
  </si>
  <si>
    <t>385</t>
  </si>
  <si>
    <t>405</t>
  </si>
  <si>
    <t>427</t>
  </si>
  <si>
    <t>435</t>
  </si>
  <si>
    <t>540</t>
  </si>
  <si>
    <t>565</t>
  </si>
  <si>
    <t>694</t>
  </si>
  <si>
    <t>699</t>
  </si>
  <si>
    <t>003</t>
  </si>
  <si>
    <t>128</t>
  </si>
  <si>
    <t>261</t>
  </si>
  <si>
    <t>344</t>
  </si>
  <si>
    <t>553</t>
  </si>
  <si>
    <t>302</t>
  </si>
  <si>
    <t>470</t>
  </si>
  <si>
    <t>456</t>
  </si>
  <si>
    <t>682</t>
  </si>
  <si>
    <t>121</t>
  </si>
  <si>
    <t>152</t>
  </si>
  <si>
    <t>167</t>
  </si>
  <si>
    <t>179</t>
  </si>
  <si>
    <t>217</t>
  </si>
  <si>
    <t>255</t>
  </si>
  <si>
    <t>327</t>
  </si>
  <si>
    <t>432</t>
  </si>
  <si>
    <t>547</t>
  </si>
  <si>
    <t>575</t>
  </si>
  <si>
    <t>669</t>
  </si>
  <si>
    <t>684</t>
  </si>
  <si>
    <t>230</t>
  </si>
  <si>
    <t>265</t>
  </si>
  <si>
    <t>523</t>
  </si>
  <si>
    <t>702</t>
  </si>
  <si>
    <t>708</t>
  </si>
  <si>
    <t>713</t>
  </si>
  <si>
    <t>717</t>
  </si>
  <si>
    <t>742</t>
  </si>
  <si>
    <t>771</t>
  </si>
  <si>
    <t>024</t>
  </si>
  <si>
    <t>067</t>
  </si>
  <si>
    <t>283</t>
  </si>
  <si>
    <t>408</t>
  </si>
  <si>
    <t>449</t>
  </si>
  <si>
    <t>504</t>
  </si>
  <si>
    <t>563</t>
  </si>
  <si>
    <t>624</t>
  </si>
  <si>
    <t>671</t>
  </si>
  <si>
    <t>054</t>
  </si>
  <si>
    <t>122</t>
  </si>
  <si>
    <t>834</t>
  </si>
  <si>
    <t>869</t>
  </si>
  <si>
    <t>892</t>
  </si>
  <si>
    <t>065</t>
  </si>
  <si>
    <t>220</t>
  </si>
  <si>
    <t>794</t>
  </si>
  <si>
    <t>010</t>
  </si>
  <si>
    <t>015</t>
  </si>
  <si>
    <t>136</t>
  </si>
  <si>
    <t>139</t>
  </si>
  <si>
    <t>225</t>
  </si>
  <si>
    <t>263</t>
  </si>
  <si>
    <t>219</t>
  </si>
  <si>
    <t>569</t>
  </si>
  <si>
    <t>571</t>
  </si>
  <si>
    <t>749</t>
  </si>
  <si>
    <t>865</t>
  </si>
  <si>
    <t>564</t>
  </si>
  <si>
    <t>536</t>
  </si>
  <si>
    <t>343</t>
  </si>
  <si>
    <t>663</t>
  </si>
  <si>
    <t>883</t>
  </si>
  <si>
    <t>884</t>
  </si>
  <si>
    <t>886</t>
  </si>
  <si>
    <t>666</t>
  </si>
  <si>
    <t>889</t>
  </si>
  <si>
    <t>0111</t>
  </si>
  <si>
    <t>Cultivo de cereales (excepto arroz), legumbres y semillas oleaginosas.</t>
  </si>
  <si>
    <t>0112</t>
  </si>
  <si>
    <t>Cultivo de arroz.</t>
  </si>
  <si>
    <t>0113</t>
  </si>
  <si>
    <t>Cultivo de hortalizas, raíces y tubérculos.</t>
  </si>
  <si>
    <t>0114</t>
  </si>
  <si>
    <t>Cultivo de tabaco.</t>
  </si>
  <si>
    <t>0115</t>
  </si>
  <si>
    <t>Cultivo de plantas textiles.</t>
  </si>
  <si>
    <t>0119</t>
  </si>
  <si>
    <t>Otros cultivos transitorios n.c.p.</t>
  </si>
  <si>
    <t>0121</t>
  </si>
  <si>
    <t>Cultivo de frutas tropicales y subtropicales.</t>
  </si>
  <si>
    <t>0122</t>
  </si>
  <si>
    <t>Cultivo de plátano y banano.</t>
  </si>
  <si>
    <t>0123</t>
  </si>
  <si>
    <t>Cultivo de café.</t>
  </si>
  <si>
    <t>0124</t>
  </si>
  <si>
    <t>Cultivo de caña de azúcar.</t>
  </si>
  <si>
    <t>0125</t>
  </si>
  <si>
    <t>Cultivo de flor de corte.</t>
  </si>
  <si>
    <t>0126</t>
  </si>
  <si>
    <t>Cultivo de palma para aceite (palma africana) y otros frutos oleaginosos.</t>
  </si>
  <si>
    <t>0127</t>
  </si>
  <si>
    <t>Cultivo de plantas con las que se preparan bebidas.</t>
  </si>
  <si>
    <t>0128</t>
  </si>
  <si>
    <t>Cultivo de especias y de plantas aromáticas y medicinales.</t>
  </si>
  <si>
    <t>0129</t>
  </si>
  <si>
    <t>Otros cultivos permanentes n.c.p.</t>
  </si>
  <si>
    <t>0130</t>
  </si>
  <si>
    <t>Propagación de plantas (actividades de los viveros, excepto viveros forestales).</t>
  </si>
  <si>
    <t>0141</t>
  </si>
  <si>
    <t>Cría de ganado bovino y bufalino.</t>
  </si>
  <si>
    <t>0142</t>
  </si>
  <si>
    <t>Cría de caballos y otros equinos.</t>
  </si>
  <si>
    <t>0143</t>
  </si>
  <si>
    <t>Cría de ovejas y cabras.</t>
  </si>
  <si>
    <t>0144</t>
  </si>
  <si>
    <t>Cría de ganado porcino.</t>
  </si>
  <si>
    <t>0145</t>
  </si>
  <si>
    <t>Cría de aves de corral.</t>
  </si>
  <si>
    <t>0149</t>
  </si>
  <si>
    <t>Cría de otros animales n.c.p.</t>
  </si>
  <si>
    <t>0150</t>
  </si>
  <si>
    <t>Explotación mixta (agrícola y pecuaria).</t>
  </si>
  <si>
    <t>0161</t>
  </si>
  <si>
    <t>Actividades de apoyo a la agricultura.</t>
  </si>
  <si>
    <t>0162</t>
  </si>
  <si>
    <t>Actividades de apoyo a la ganadería.</t>
  </si>
  <si>
    <t>0163</t>
  </si>
  <si>
    <t>Actividades posteriores a la cosecha.</t>
  </si>
  <si>
    <t>0164</t>
  </si>
  <si>
    <t>Tratamiento de semillas para propagación.</t>
  </si>
  <si>
    <t>0170</t>
  </si>
  <si>
    <t>Caza ordinaria y mediante trampas y actividades de servicios conexas.</t>
  </si>
  <si>
    <t>0210</t>
  </si>
  <si>
    <t>Silvicultura y otras actividades forestales.</t>
  </si>
  <si>
    <t>0220</t>
  </si>
  <si>
    <t>Extracción de madera.</t>
  </si>
  <si>
    <t>0230</t>
  </si>
  <si>
    <t>Recolección de productos forestales diferentes a la madera.</t>
  </si>
  <si>
    <t>0240</t>
  </si>
  <si>
    <t>Servicios de apoyo a la silvicultura.</t>
  </si>
  <si>
    <t>0311</t>
  </si>
  <si>
    <t>Pesca marítima.</t>
  </si>
  <si>
    <t>0312</t>
  </si>
  <si>
    <t>Pesca de agua dulce.</t>
  </si>
  <si>
    <t>0321</t>
  </si>
  <si>
    <t>Acuicultura marítima.</t>
  </si>
  <si>
    <t>0322</t>
  </si>
  <si>
    <t>Acuicultura de agua dulce.</t>
  </si>
  <si>
    <t>0510</t>
  </si>
  <si>
    <t>Extracción de hulla (carbón de piedra).</t>
  </si>
  <si>
    <t>0520</t>
  </si>
  <si>
    <t>Extracción de carbón lignito.</t>
  </si>
  <si>
    <t>0610</t>
  </si>
  <si>
    <t>Extracción de petróleo crudo.</t>
  </si>
  <si>
    <t>0620</t>
  </si>
  <si>
    <t>Extracción de gas natural.</t>
  </si>
  <si>
    <t>0710</t>
  </si>
  <si>
    <t>Extracción de minerales de hierro.</t>
  </si>
  <si>
    <t>0721</t>
  </si>
  <si>
    <t>Extracción de minerales de uranio y de torio.</t>
  </si>
  <si>
    <t>0722</t>
  </si>
  <si>
    <t>Extracción de oro y otros metales preciosos.</t>
  </si>
  <si>
    <t>0723</t>
  </si>
  <si>
    <t>Extracción de minerales de níquel.</t>
  </si>
  <si>
    <t>0729</t>
  </si>
  <si>
    <t>Extracción de otros minerales metalíferos no ferrosos n.c.p.</t>
  </si>
  <si>
    <t>0811</t>
  </si>
  <si>
    <t>Extracción de piedra, arena, arcillas comunes, yeso y anhidrita.</t>
  </si>
  <si>
    <t>0812</t>
  </si>
  <si>
    <t>Extracción de arcillas de uso industrial, caliza, caolín y bentonitas.</t>
  </si>
  <si>
    <t>0820</t>
  </si>
  <si>
    <t>Extracción de esmeraldas, piedras preciosas y semipreciosas.</t>
  </si>
  <si>
    <t>0891</t>
  </si>
  <si>
    <t>Extracción de minerales para la fabricación de abonos y productos químicos.</t>
  </si>
  <si>
    <t>0892</t>
  </si>
  <si>
    <t>Extracción de halita (sal).</t>
  </si>
  <si>
    <t>0899</t>
  </si>
  <si>
    <t>Extracción de otros minerales no metálicos n.c.p.</t>
  </si>
  <si>
    <t>0910</t>
  </si>
  <si>
    <t>Actividades de apoyo para la extracción de petróleo y de gas natural.</t>
  </si>
  <si>
    <t>0990</t>
  </si>
  <si>
    <t>Actividades de apoyo para otras actividades de explotación de minas y canteras.</t>
  </si>
  <si>
    <t>1011</t>
  </si>
  <si>
    <t>Procesamiento y conservación de carne y productos cárnicos.</t>
  </si>
  <si>
    <t>1012</t>
  </si>
  <si>
    <t>Procesamiento y conservación de pescados, crustáceos y moluscos.</t>
  </si>
  <si>
    <t>1020</t>
  </si>
  <si>
    <t>Procesamiento y conservación de frutas, legumbres, hortalizas y tubérculos.</t>
  </si>
  <si>
    <t>1030</t>
  </si>
  <si>
    <t>Elaboración de aceites y grasas de origen vegetal y animal.</t>
  </si>
  <si>
    <t>1040</t>
  </si>
  <si>
    <t>Elaboración de productos lácteos.</t>
  </si>
  <si>
    <t>1051</t>
  </si>
  <si>
    <t>Elaboración de productos de molinería.</t>
  </si>
  <si>
    <t>1052</t>
  </si>
  <si>
    <t>Elaboración de almidones y productos derivados del almidón.</t>
  </si>
  <si>
    <t>1061</t>
  </si>
  <si>
    <t>Trilla de café.</t>
  </si>
  <si>
    <t>1062</t>
  </si>
  <si>
    <t>Descafeinado, tostión y molienda del café.</t>
  </si>
  <si>
    <t>1063</t>
  </si>
  <si>
    <t>Otros derivados del café.</t>
  </si>
  <si>
    <t>1071</t>
  </si>
  <si>
    <t>Elaboración y refinación de azúcar.</t>
  </si>
  <si>
    <t>1072</t>
  </si>
  <si>
    <t>Elaboración de panela.</t>
  </si>
  <si>
    <t>1081</t>
  </si>
  <si>
    <t>Elaboración de productos de panadería.</t>
  </si>
  <si>
    <t>1082</t>
  </si>
  <si>
    <t>Elaboración de cacao, chocolate y productos de confitería.</t>
  </si>
  <si>
    <t>1083</t>
  </si>
  <si>
    <t>Elaboración de macarrones, fideos, alcuzcuz y productos farináceos similares.</t>
  </si>
  <si>
    <t>1084</t>
  </si>
  <si>
    <t>Elaboración de comidas y platos preparados.</t>
  </si>
  <si>
    <t>1089</t>
  </si>
  <si>
    <t>Elaboración de otros productos alimenticios n.c.p.</t>
  </si>
  <si>
    <t>1090</t>
  </si>
  <si>
    <t>Elaboración de alimentos preparados para animales.</t>
  </si>
  <si>
    <t>1101</t>
  </si>
  <si>
    <t>Destilación, rectificación y mezcla de bebidas alcohólicas.</t>
  </si>
  <si>
    <t>1102</t>
  </si>
  <si>
    <t>Elaboración de bebidas fermentadas no destiladas.</t>
  </si>
  <si>
    <t>1103</t>
  </si>
  <si>
    <t>Producción de malta, elaboración de cervezas y otras bebidas malteadas.</t>
  </si>
  <si>
    <t>1104</t>
  </si>
  <si>
    <t>Elaboración de bebidas no alcohólicas, producción de aguas minerales y de otras aguas embotelladas.</t>
  </si>
  <si>
    <t>1200</t>
  </si>
  <si>
    <t>Elaboración de productos de tabaco.</t>
  </si>
  <si>
    <t>1311</t>
  </si>
  <si>
    <t>Preparación e hilatura de fibras textiles.</t>
  </si>
  <si>
    <t>1312</t>
  </si>
  <si>
    <t>Tejeduría de productos textiles.</t>
  </si>
  <si>
    <t>1313</t>
  </si>
  <si>
    <t>Acabado de productos textiles.</t>
  </si>
  <si>
    <t>1391</t>
  </si>
  <si>
    <t>Fabricación de tejidos de punto y ganchillo.</t>
  </si>
  <si>
    <t>1392</t>
  </si>
  <si>
    <t>Confección de artículos con materiales textiles, excepto prendas de vestir.</t>
  </si>
  <si>
    <t>1393</t>
  </si>
  <si>
    <t>Fabricación de tapetes y alfombras para pisos.</t>
  </si>
  <si>
    <t>1394</t>
  </si>
  <si>
    <t>Fabricación de cuerdas, cordeles, cables, bramantes y redes.</t>
  </si>
  <si>
    <t>1399</t>
  </si>
  <si>
    <t>Fabricación de otros artículos textiles n.c.p.</t>
  </si>
  <si>
    <t>1410</t>
  </si>
  <si>
    <t>Confección de prendas de vestir, excepto prendas de piel.</t>
  </si>
  <si>
    <t>1420</t>
  </si>
  <si>
    <t>Fabricación de artículos de piel.</t>
  </si>
  <si>
    <t>1430</t>
  </si>
  <si>
    <t>Fabricación de artículos de punto y ganchillo.</t>
  </si>
  <si>
    <t>1511</t>
  </si>
  <si>
    <t>Curtido y recurtido de cueros; recurtido y teñido de pieles.</t>
  </si>
  <si>
    <t>1512</t>
  </si>
  <si>
    <t>Fabricación de artículos de viaje, bolsos de mano y artículos similares elaborados en cuero, y fabricación de artículos de talabartería y guarnicionería.</t>
  </si>
  <si>
    <t>1513</t>
  </si>
  <si>
    <t>Fabricación de artículos de viaje, bolsos de mano y artículos similares; artículos de talabartería y guarnicionería elaborados en otros materiales.</t>
  </si>
  <si>
    <t>1521</t>
  </si>
  <si>
    <t>Fabricación de calzado de cuero y piel, con cualquier tipo de suela.</t>
  </si>
  <si>
    <t>1522</t>
  </si>
  <si>
    <t>Fabricación de otros tipos de calzado, excepto calzado de cuero y piel.</t>
  </si>
  <si>
    <t>1523</t>
  </si>
  <si>
    <t>Fabricación de partes del calzado.</t>
  </si>
  <si>
    <t>1610</t>
  </si>
  <si>
    <t>Aserrado, acepillado e impregnación de la madera.</t>
  </si>
  <si>
    <t>1620</t>
  </si>
  <si>
    <t>Fabricación de hojas de madera para enchapado; fabricación de tableros contrachapados, tableros laminados, tableros de partículas y otros tableros y paneles.</t>
  </si>
  <si>
    <t>1630</t>
  </si>
  <si>
    <t>Fabricación de partes y piezas de madera, de carpintería y ebanistería para la construcción.</t>
  </si>
  <si>
    <t>1640</t>
  </si>
  <si>
    <t>Fabricación de recipientes de madera.</t>
  </si>
  <si>
    <t>1690</t>
  </si>
  <si>
    <t>Fabricación de otros productos de madera; fabricación de artículos de corcho, cestería y espartería.</t>
  </si>
  <si>
    <t>1701</t>
  </si>
  <si>
    <t>Fabricación de pulpas (pastas) celulósicas; papel y cartón.</t>
  </si>
  <si>
    <t>1702</t>
  </si>
  <si>
    <t>Fabricación de papel y cartón ondulado (corrugado); fabricación de envases, empaques y de embalajes de papel y cartón.</t>
  </si>
  <si>
    <t>1709</t>
  </si>
  <si>
    <t>Fabricación de otros artículos de papel y cartón.</t>
  </si>
  <si>
    <t>1811</t>
  </si>
  <si>
    <t>Actividades de impresión.</t>
  </si>
  <si>
    <t>1812</t>
  </si>
  <si>
    <t>Actividades de servicios relacionados con la impresión.</t>
  </si>
  <si>
    <t>1820</t>
  </si>
  <si>
    <t>Producción de copias a partir de grabaciones originales.</t>
  </si>
  <si>
    <t>1910</t>
  </si>
  <si>
    <t>Fabricación de productos de hornos de coque.</t>
  </si>
  <si>
    <t>1921</t>
  </si>
  <si>
    <t>Fabricación de productos de la refinación del petróleo.</t>
  </si>
  <si>
    <t>1922</t>
  </si>
  <si>
    <t>Actividad de mezcla de combustibles.</t>
  </si>
  <si>
    <t>2011</t>
  </si>
  <si>
    <t>Fabricación de sustancias y productos químicos básicos.</t>
  </si>
  <si>
    <t>2012</t>
  </si>
  <si>
    <t>Fabricación de abonos y compuestos inorgánicos nitrogenados.</t>
  </si>
  <si>
    <t>2013</t>
  </si>
  <si>
    <t>Fabricación de plásticos en formas primarias.</t>
  </si>
  <si>
    <t>2014</t>
  </si>
  <si>
    <t>Fabricación de caucho sintético en formas primarias.</t>
  </si>
  <si>
    <t>2021</t>
  </si>
  <si>
    <t>Fabricación de plaguicidas y otros productos químicos de uso agropecuario.</t>
  </si>
  <si>
    <t>2022</t>
  </si>
  <si>
    <t>Fabricación de pinturas, barnices y revestimientos similares, tintas para impresión y masillas.</t>
  </si>
  <si>
    <t>2023</t>
  </si>
  <si>
    <t>Fabricación de jabones y detergentes, preparados para limpiar y pulir; perfumes y preparados de tocador.</t>
  </si>
  <si>
    <t>2029</t>
  </si>
  <si>
    <t>Fabricación de otros productos químicos n.c.p.</t>
  </si>
  <si>
    <t>2030</t>
  </si>
  <si>
    <t>Fabricación de fibras sintéticas y artificiales.</t>
  </si>
  <si>
    <t>2100</t>
  </si>
  <si>
    <t>Fabricación de productos farmacéuticos, sustancias químicas medicinales y productos botánicos de uso farmacéutico.</t>
  </si>
  <si>
    <t>2211</t>
  </si>
  <si>
    <t>Fabricación de llantas y neumáticos de caucho</t>
  </si>
  <si>
    <t>2212</t>
  </si>
  <si>
    <t>Reencauche de llantas usadas</t>
  </si>
  <si>
    <t>2219</t>
  </si>
  <si>
    <t>Fabricación de formas básicas de caucho y otros productos de caucho n.c.p.</t>
  </si>
  <si>
    <t>2221</t>
  </si>
  <si>
    <t>Fabricación de formas básicas de plástico.</t>
  </si>
  <si>
    <t>2229</t>
  </si>
  <si>
    <t>Fabricación de artículos de plástico n.c.p.</t>
  </si>
  <si>
    <t>2310</t>
  </si>
  <si>
    <t>Fabricación de vidrio y productos de vidrio.</t>
  </si>
  <si>
    <t>2391</t>
  </si>
  <si>
    <t>Fabricación de productos refractarios.</t>
  </si>
  <si>
    <t>2392</t>
  </si>
  <si>
    <t>Fabricación de materiales de arcilla para la construcción.</t>
  </si>
  <si>
    <t>2393</t>
  </si>
  <si>
    <t>Fabricación de otros productos de cerámica y porcelana.</t>
  </si>
  <si>
    <t>2394</t>
  </si>
  <si>
    <t>Fabricación de cemento, cal y yeso.</t>
  </si>
  <si>
    <t>2395</t>
  </si>
  <si>
    <t>Fabricación de artículos de hormigón, cemento y yeso.</t>
  </si>
  <si>
    <t>2396</t>
  </si>
  <si>
    <t>Corte, tallado y acabado de la piedra.</t>
  </si>
  <si>
    <t>2399</t>
  </si>
  <si>
    <t>Fabricación de otros productos minerales no metálicos n.c.p.</t>
  </si>
  <si>
    <t>2410</t>
  </si>
  <si>
    <t>Industrias básicas de hierro y de acero.</t>
  </si>
  <si>
    <t>2421</t>
  </si>
  <si>
    <t>Industrias básicas de metales preciosos.</t>
  </si>
  <si>
    <t>2429</t>
  </si>
  <si>
    <t>Industrias básicas de otros metales no ferrosos.</t>
  </si>
  <si>
    <t>2431</t>
  </si>
  <si>
    <t>Fundición de hierro y de acero.</t>
  </si>
  <si>
    <t>2432</t>
  </si>
  <si>
    <t>Fundición de metales no ferrosos.</t>
  </si>
  <si>
    <t>2511</t>
  </si>
  <si>
    <t>Fabricación de productos metálicos para uso estructural.</t>
  </si>
  <si>
    <t>2512</t>
  </si>
  <si>
    <t>Fabricación de tanques, depósitos y recipientes de metal, excepto los utilizados para el envase o transporte de mercancías.</t>
  </si>
  <si>
    <t>2513</t>
  </si>
  <si>
    <t>Fabricación de generadores de vapor, excepto calderas de agua caliente para calefacción central.</t>
  </si>
  <si>
    <t>2520</t>
  </si>
  <si>
    <t>Fabricación de armas y municiones.</t>
  </si>
  <si>
    <t>2591</t>
  </si>
  <si>
    <t>Forja, prensado, estampado y laminado de metal; pulvimetalurgia.</t>
  </si>
  <si>
    <t>2592</t>
  </si>
  <si>
    <t>Tratamiento y revestimiento de metales; mecanizado.</t>
  </si>
  <si>
    <t>2593</t>
  </si>
  <si>
    <t>Fabricación de artículos de cuchillería, herramientas de mano y artículos de ferretería.</t>
  </si>
  <si>
    <t>2599</t>
  </si>
  <si>
    <t>Fabricación de otros productos elaborados de metal n.c.p.</t>
  </si>
  <si>
    <t>2610</t>
  </si>
  <si>
    <t>Fabricación de componentes y tableros electrónicos.</t>
  </si>
  <si>
    <t>2620</t>
  </si>
  <si>
    <t>Fabricación de computadoras y de equipo periférico.</t>
  </si>
  <si>
    <t>2630</t>
  </si>
  <si>
    <t>Fabricación de equipos de comunicación.</t>
  </si>
  <si>
    <t>2640</t>
  </si>
  <si>
    <t>Fabricación de aparatos electrónicos de consumo.</t>
  </si>
  <si>
    <t>2651</t>
  </si>
  <si>
    <t>Fabricación de equipo de medición, prueba, navegación y control.</t>
  </si>
  <si>
    <t>2652</t>
  </si>
  <si>
    <t>Fabricación de relojes.</t>
  </si>
  <si>
    <t>2660</t>
  </si>
  <si>
    <t>Fabricación de equipo de irradiación y equipo electrónico de uso médico y terapéutico.</t>
  </si>
  <si>
    <t>2670</t>
  </si>
  <si>
    <t>Fabricación de instrumentos ópticos y equipo fotográfico.</t>
  </si>
  <si>
    <t>2680</t>
  </si>
  <si>
    <t>Fabricación de medios magnéticos y ópticos para almacenamiento de datos.</t>
  </si>
  <si>
    <t>2711</t>
  </si>
  <si>
    <t>Fabricación de motores, generadores y transformadores eléctricos.</t>
  </si>
  <si>
    <t>2712</t>
  </si>
  <si>
    <t>Fabricación de aparatos de distribución y control de la energía eléctrica.</t>
  </si>
  <si>
    <t>2720</t>
  </si>
  <si>
    <t>Fabricación de pilas, baterías y acumuladores eléctricos.</t>
  </si>
  <si>
    <t>2731</t>
  </si>
  <si>
    <t>Fabricación de hilos y cables eléctricos y de fibra óptica.</t>
  </si>
  <si>
    <t>2732</t>
  </si>
  <si>
    <t>Fabricación de dispositivos de cableado.</t>
  </si>
  <si>
    <t>2740</t>
  </si>
  <si>
    <t>Fabricación de equipos eléctricos de iluminación.</t>
  </si>
  <si>
    <t>2750</t>
  </si>
  <si>
    <t>Fabricación de aparatos de uso doméstico.</t>
  </si>
  <si>
    <t>2790</t>
  </si>
  <si>
    <t>Fabricación de otros tipos de equipo eléctrico n.c.p.</t>
  </si>
  <si>
    <t>2811</t>
  </si>
  <si>
    <t>Fabricación de motores, turbinas, y partes para motores de combustión interna.</t>
  </si>
  <si>
    <t>2812</t>
  </si>
  <si>
    <t>Fabricación de equipos de potencia hidráulica y neumática.</t>
  </si>
  <si>
    <t>2813</t>
  </si>
  <si>
    <t>Fabricación de otras bombas, compresores, grifos y válvulas.</t>
  </si>
  <si>
    <t>2814</t>
  </si>
  <si>
    <t>Fabricación de cojinetes, engranajes, trenes de engranajes y piezas de transmisión.</t>
  </si>
  <si>
    <t>2815</t>
  </si>
  <si>
    <t>Fabricación de hornos, hogares y quemadores industriales.</t>
  </si>
  <si>
    <t>2816</t>
  </si>
  <si>
    <t>Fabricación de equipo de elevación y manipulación.</t>
  </si>
  <si>
    <t>2817</t>
  </si>
  <si>
    <t>Fabricación de maquinaria y equipo de oficina (excepto computadoras y equipo periférico).</t>
  </si>
  <si>
    <t>2818</t>
  </si>
  <si>
    <t>Fabricación de herramientas manuales con motor.</t>
  </si>
  <si>
    <t>2819</t>
  </si>
  <si>
    <t>Fabricación de otros tipos de maquinaria y equipo de uso general n.c.p.</t>
  </si>
  <si>
    <t>2821</t>
  </si>
  <si>
    <t>Fabricación de maquinaria agropecuaria y forestal.</t>
  </si>
  <si>
    <t>2822</t>
  </si>
  <si>
    <t>Fabricación de máquinas formadoras de metal y de máquinas herramienta.</t>
  </si>
  <si>
    <t>2823</t>
  </si>
  <si>
    <t>Fabricación de maquinaria para la metalurgia.</t>
  </si>
  <si>
    <t>2824</t>
  </si>
  <si>
    <t>Fabricación de maquinaria para explotación de minas y canteras y para obras de construcción.</t>
  </si>
  <si>
    <t>2825</t>
  </si>
  <si>
    <t>Fabricación de maquinaria para la elaboración de alimentos, bebidas y tabaco.</t>
  </si>
  <si>
    <t>2826</t>
  </si>
  <si>
    <t>Fabricación de maquinaria para la elaboración de productos textiles, prendas de vestir y cueros.</t>
  </si>
  <si>
    <t>2829</t>
  </si>
  <si>
    <t>Fabricación de otros tipos de maquinaria y equipo de uso especial n.c.p.</t>
  </si>
  <si>
    <t>2910</t>
  </si>
  <si>
    <t>Fabricación de vehículos automotores y sus motores.</t>
  </si>
  <si>
    <t>2920</t>
  </si>
  <si>
    <t>Fabricación de carrocerías para vehículos automotores; fabricación de remolques y semirremolques.</t>
  </si>
  <si>
    <t>2930</t>
  </si>
  <si>
    <t>Fabricación de partes, piezas (autopartes) y accesorios (lujos) para vehículos automotores.</t>
  </si>
  <si>
    <t>3011</t>
  </si>
  <si>
    <t>Construcción de barcos y de estructuras flotantes.</t>
  </si>
  <si>
    <t>3012</t>
  </si>
  <si>
    <t>Construcción de embarcaciones de recreo y deporte.</t>
  </si>
  <si>
    <t>3020</t>
  </si>
  <si>
    <t>Fabricación de locomotoras y de material rodante para ferrocarriles.</t>
  </si>
  <si>
    <t>3030</t>
  </si>
  <si>
    <t>Fabricación de aeronaves, naves espaciales y de maquinaria conexa.</t>
  </si>
  <si>
    <t>3040</t>
  </si>
  <si>
    <t>Fabricación de vehículos militares de combate.</t>
  </si>
  <si>
    <t>3091</t>
  </si>
  <si>
    <t>Fabricación de motocicletas.</t>
  </si>
  <si>
    <t>3092</t>
  </si>
  <si>
    <t>Fabricación de bicicletas y de sillas de ruedas para personas con discapacidad.</t>
  </si>
  <si>
    <t>3099</t>
  </si>
  <si>
    <t>Fabricación de otros tipos de equipo de transporte n.c.p.</t>
  </si>
  <si>
    <t>3110</t>
  </si>
  <si>
    <t>Fabricación de muebles.</t>
  </si>
  <si>
    <t>3120</t>
  </si>
  <si>
    <t>Fabricación de colchones y somieres.</t>
  </si>
  <si>
    <t>3210</t>
  </si>
  <si>
    <t>Fabricación de joyas, bisutería y artículos conexos.</t>
  </si>
  <si>
    <t>3220</t>
  </si>
  <si>
    <t>Fabricación de instrumentos musicales.</t>
  </si>
  <si>
    <t>3230</t>
  </si>
  <si>
    <t>Fabricación de artículos y equipo para la práctica del deporte.</t>
  </si>
  <si>
    <t>3240</t>
  </si>
  <si>
    <t>Fabricación de juegos, juguetes y rompecabezas.</t>
  </si>
  <si>
    <t>3250</t>
  </si>
  <si>
    <t>Fabricación de instrumentos, aparatos y materiales médicos y odontológicos (incluido mobiliario).</t>
  </si>
  <si>
    <t>3290</t>
  </si>
  <si>
    <t>Otras industrias manufactureras n.c.p.</t>
  </si>
  <si>
    <t>3311</t>
  </si>
  <si>
    <t>Mantenimiento y reparación especializado de productos elaborados en metal.</t>
  </si>
  <si>
    <t>3312</t>
  </si>
  <si>
    <t>Mantenimiento y reparación especializado de maquinaria y equipo.</t>
  </si>
  <si>
    <t>3313</t>
  </si>
  <si>
    <t>Mantenimiento y reparación especializado de equipo electrónico y óptico.</t>
  </si>
  <si>
    <t>3314</t>
  </si>
  <si>
    <t>Mantenimiento y reparación especializado de equipo eléctrico.</t>
  </si>
  <si>
    <t>3315</t>
  </si>
  <si>
    <t>Mantenimiento y reparación especializado de equipo de transporte, excepto los vehículos automotores, motocicletas y bicicletas.</t>
  </si>
  <si>
    <t>3319</t>
  </si>
  <si>
    <t>Mantenimiento y reparación de otros tipos de equipos y sus componentes n.c.p.</t>
  </si>
  <si>
    <t>3320</t>
  </si>
  <si>
    <t>Instalación especializada de maquinaria y equipo industrial.</t>
  </si>
  <si>
    <t>3511</t>
  </si>
  <si>
    <t>Generación de energía eléctrica.</t>
  </si>
  <si>
    <t>3512</t>
  </si>
  <si>
    <t>Transmisión de energía eléctrica.</t>
  </si>
  <si>
    <t>3513</t>
  </si>
  <si>
    <t>Distribución de energía eléctrica.</t>
  </si>
  <si>
    <t>3514</t>
  </si>
  <si>
    <t>Comercialización de energía eléctrica.</t>
  </si>
  <si>
    <t>3520</t>
  </si>
  <si>
    <t>Producción de gas; distribución de combustibles gaseosos por tuberías.</t>
  </si>
  <si>
    <t>3530</t>
  </si>
  <si>
    <t>Suministro de vapor y aire acondicionado.</t>
  </si>
  <si>
    <t>3600</t>
  </si>
  <si>
    <t>Captación, tratamiento y distribución de agua.</t>
  </si>
  <si>
    <t>3700</t>
  </si>
  <si>
    <t>Evacuación y tratamiento de aguas residuales.</t>
  </si>
  <si>
    <t>3811</t>
  </si>
  <si>
    <t>Recolección de desechos no peligrosos.</t>
  </si>
  <si>
    <t>3812</t>
  </si>
  <si>
    <t>Recolección de desechos peligrosos.</t>
  </si>
  <si>
    <t>3821</t>
  </si>
  <si>
    <t>Tratamiento y disposición de desechos no peligrosos.</t>
  </si>
  <si>
    <t>3822</t>
  </si>
  <si>
    <t>Tratamiento y disposición de desechos peligrosos.</t>
  </si>
  <si>
    <t>3830</t>
  </si>
  <si>
    <t>Recuperación de materiales.</t>
  </si>
  <si>
    <t>3900</t>
  </si>
  <si>
    <t>Actividades de saneamiento ambiental y otros servicios de gestión de desechos.</t>
  </si>
  <si>
    <t>4111</t>
  </si>
  <si>
    <t>Construcción de edificios residenciales.</t>
  </si>
  <si>
    <t>4112</t>
  </si>
  <si>
    <t>Construcción de edificios no residenciales.</t>
  </si>
  <si>
    <t>4210</t>
  </si>
  <si>
    <t>Construcción de carreteras y vías de ferrocarril.</t>
  </si>
  <si>
    <t>4220</t>
  </si>
  <si>
    <t>Construcción de proyectos de servicio público.</t>
  </si>
  <si>
    <t>4290</t>
  </si>
  <si>
    <t>Construcción de otras obras de ingeniería civil.</t>
  </si>
  <si>
    <t>4311</t>
  </si>
  <si>
    <t>Demolición.</t>
  </si>
  <si>
    <t>4312</t>
  </si>
  <si>
    <t>Preparación del terreno.</t>
  </si>
  <si>
    <t>4321</t>
  </si>
  <si>
    <t>Instalaciones eléctricas.</t>
  </si>
  <si>
    <t>4322</t>
  </si>
  <si>
    <t>Instalaciones de fontanería, calefacción y aire acondicionado.</t>
  </si>
  <si>
    <t>4329</t>
  </si>
  <si>
    <t>Otras instalaciones especializadas.</t>
  </si>
  <si>
    <t>4330</t>
  </si>
  <si>
    <t>Terminación y acabado de edificios y obras de ingeniería civil.</t>
  </si>
  <si>
    <t>4390</t>
  </si>
  <si>
    <t>Otras actividades especializadas para la construcción de edificios y obras de ingeniería civil.</t>
  </si>
  <si>
    <t>4511</t>
  </si>
  <si>
    <t>Comercio de vehículos automotores nuevos.</t>
  </si>
  <si>
    <t>4512</t>
  </si>
  <si>
    <t>Comercio de vehículos automotores usados.</t>
  </si>
  <si>
    <t>4520</t>
  </si>
  <si>
    <t>Mantenimiento y reparación de vehículos automotores.</t>
  </si>
  <si>
    <t>4530</t>
  </si>
  <si>
    <t>Comercio de partes, piezas (autopartes) y accesorios (lujos) para vehículos automotores.</t>
  </si>
  <si>
    <t>4541</t>
  </si>
  <si>
    <t>Comercio de motocicletas y de sus partes, piezas y accesorios.</t>
  </si>
  <si>
    <t>4542</t>
  </si>
  <si>
    <t>Mantenimiento y reparación de motocicletas y de sus partes y piezas.</t>
  </si>
  <si>
    <t>4610</t>
  </si>
  <si>
    <t>Comercio al por mayor a cambio de una retribución o por contrata.</t>
  </si>
  <si>
    <t>4620</t>
  </si>
  <si>
    <t>Comercio al por mayor de materias primas agropecuarias; animales vivos.</t>
  </si>
  <si>
    <t>4631</t>
  </si>
  <si>
    <t>Comercio al por mayor de productos alimenticios.</t>
  </si>
  <si>
    <t>4632</t>
  </si>
  <si>
    <t>Comercio al por mayor de bebidas y tabaco.</t>
  </si>
  <si>
    <t>4641</t>
  </si>
  <si>
    <t>Comercio al por mayor de productos textiles, productos confeccionados para uso doméstico.</t>
  </si>
  <si>
    <t>4642</t>
  </si>
  <si>
    <t>Comercio al por mayor de prendas de vestir.</t>
  </si>
  <si>
    <t>4643</t>
  </si>
  <si>
    <t>Comercio al por mayor de calzado.</t>
  </si>
  <si>
    <t>4644</t>
  </si>
  <si>
    <t>Comercio al por mayor de aparatos y equipo de uso doméstico.</t>
  </si>
  <si>
    <t>4645</t>
  </si>
  <si>
    <t>Comercio al por mayor de productos farmacéuticos, medicinales, cosméticos y de tocador.</t>
  </si>
  <si>
    <t>4649</t>
  </si>
  <si>
    <t>Comercio al por mayor de otros utensilios domésticos n.c.p.</t>
  </si>
  <si>
    <t>4651</t>
  </si>
  <si>
    <t>Comercio al por mayor de computadores, equipo periférico y programas de informática.</t>
  </si>
  <si>
    <t>4652</t>
  </si>
  <si>
    <t>Comercio al por mayor de equipo, partes y piezas electrónicos y de telecomunicaciones.</t>
  </si>
  <si>
    <t>4653</t>
  </si>
  <si>
    <t>Comercio al por mayor de maquinaria y equipo agropecuarios.</t>
  </si>
  <si>
    <t>4659</t>
  </si>
  <si>
    <t>Comercio al por mayor de otros tipos de maquinaria y equipo n.c.p.</t>
  </si>
  <si>
    <t>4661</t>
  </si>
  <si>
    <t>Comercio al por mayor de combustibles sólidos, líquidos, gaseosos y productos conexos.</t>
  </si>
  <si>
    <t>4662</t>
  </si>
  <si>
    <t>Comercio al por mayor de metales y productos metalíferos.</t>
  </si>
  <si>
    <t>4663</t>
  </si>
  <si>
    <t>Comercio al por mayor de materiales de construcción, artículos de ferretería, pinturas, productos de vidrio, equipo y materiales de fontanería y calefacción.</t>
  </si>
  <si>
    <t>4664</t>
  </si>
  <si>
    <t>Comercio al por mayor de productos químicos básicos, cauchos y plásticos en formas primarias y productos químicos de uso agropecuario.</t>
  </si>
  <si>
    <t>4665</t>
  </si>
  <si>
    <t>Comercio al por mayor de desperdicios, desechos y chatarra.</t>
  </si>
  <si>
    <t>4669</t>
  </si>
  <si>
    <t>Comercio al por mayor de otros productos n.c.p.</t>
  </si>
  <si>
    <t>4690</t>
  </si>
  <si>
    <t>Comercio al por mayor no especializado.</t>
  </si>
  <si>
    <t>4711</t>
  </si>
  <si>
    <t>Comercio al por menor en establecimientos no especializados con surtido compuesto principalmente por alimentos, bebidas o tabaco.</t>
  </si>
  <si>
    <t>4719</t>
  </si>
  <si>
    <t>Comercio al por menor en establecimientos no especializados, con surtido compuesto principalmente por productos diferentes de alimentos (víveres en general), bebidas y tabaco.</t>
  </si>
  <si>
    <t>4721</t>
  </si>
  <si>
    <t>Comercio al por menor de productos agrícolas para el consumo en establecimientos especializados.</t>
  </si>
  <si>
    <t>4722</t>
  </si>
  <si>
    <t>Comercio al por menor de leche, productos lácteos y huevos, en establecimientos especializados.</t>
  </si>
  <si>
    <t>4723</t>
  </si>
  <si>
    <t>Comercio al por menor de carnes (incluye aves de corral), productos cárnicos, pescados y productos de mar, en establecimientos especializados.</t>
  </si>
  <si>
    <t>4724</t>
  </si>
  <si>
    <t>Comercio al por menor de bebidas y productos del tabaco, en establecimientos especializados.</t>
  </si>
  <si>
    <t>4729</t>
  </si>
  <si>
    <t>Comercio al por menor de otros productos alimenticios n.c.p., en establecimientos especializados.</t>
  </si>
  <si>
    <t>4731</t>
  </si>
  <si>
    <t>Comercio al por menor de combustible para automotores.</t>
  </si>
  <si>
    <t>4732</t>
  </si>
  <si>
    <t>Comercio al por menor de lubricantes (aceites, grasas), aditivos y productos de limpieza para vehículos automotores.</t>
  </si>
  <si>
    <t>4741</t>
  </si>
  <si>
    <t>Comercio al por menor de computadores, equipos periféricos, programas de informática y equipos de telecomunicaciones en establecimientos especializados.</t>
  </si>
  <si>
    <t>4742</t>
  </si>
  <si>
    <t>Comercio al por menor de equipos y aparatos de sonido y de video, en establecimientos especializados.</t>
  </si>
  <si>
    <t>4751</t>
  </si>
  <si>
    <t>Comercio al por menor de productos textiles en establecimientos especializados.</t>
  </si>
  <si>
    <t>4752</t>
  </si>
  <si>
    <t>Comercio al por menor de artículos de ferretería, pinturas y productos de vidrio en establecimientos especializados.</t>
  </si>
  <si>
    <t>4753</t>
  </si>
  <si>
    <t>Comercio al por menor de tapices, alfombras y cubrimientos para paredes y pisos en establecimientos especializados.</t>
  </si>
  <si>
    <t>4754</t>
  </si>
  <si>
    <t>Comercio al por menor de electrodomésticos y gasodomésticos de uso doméstico, muebles y equipos de iluminación.</t>
  </si>
  <si>
    <t>4755</t>
  </si>
  <si>
    <t>Comercio al por menor de artículos y utensilios de uso doméstico.</t>
  </si>
  <si>
    <t>4759</t>
  </si>
  <si>
    <t>Comercio al por menor de otros artículos domésticos en establecimientos especializados.</t>
  </si>
  <si>
    <t>4761</t>
  </si>
  <si>
    <t>Comercio al por menor de libros, periódicos, materiales y artículos de papelería y escritorio, en establecimientos especializados.</t>
  </si>
  <si>
    <t>4762</t>
  </si>
  <si>
    <t>Comercio al por menor de artículos deportivos, en establecimientos especializados.</t>
  </si>
  <si>
    <t>4769</t>
  </si>
  <si>
    <t>Comercio al por menor de otros artículos culturales y de entretenimiento n.c.p. en establecimientos especializados.</t>
  </si>
  <si>
    <t>4771</t>
  </si>
  <si>
    <t>Comercio al por menor de prendas de vestir y sus accesorios (incluye artículos de piel) en establecimientos especializados.</t>
  </si>
  <si>
    <t>4772</t>
  </si>
  <si>
    <t>Comercio al por menor de todo tipo de calzado y artículos de cuero y sucedáneos del cuero en establecimientos especializados.</t>
  </si>
  <si>
    <t>4773</t>
  </si>
  <si>
    <t>Comercio al por menor de productos farmacéuticos y medicinales, cosméticos y artículos de tocador en establecimientos especializados.</t>
  </si>
  <si>
    <t>4774</t>
  </si>
  <si>
    <t>Comercio al por menor de otros productos nuevos en establecimientos especializados.</t>
  </si>
  <si>
    <t>4775</t>
  </si>
  <si>
    <t>Comercio al por menor de artículos de segunda mano.</t>
  </si>
  <si>
    <t>4781</t>
  </si>
  <si>
    <t>Comercio al por menor de alimentos, bebidas y tabaco, en puestos de venta móviles.</t>
  </si>
  <si>
    <t>4782</t>
  </si>
  <si>
    <t>Comercio al por menor de productos textiles, prendas de vestir y calzado, en puestos de venta móviles.</t>
  </si>
  <si>
    <t>4789</t>
  </si>
  <si>
    <t>Comercio al por menor de otros productos en puestos de venta móviles.</t>
  </si>
  <si>
    <t>4791</t>
  </si>
  <si>
    <t>Comercio al por menor realizado a través de internet.</t>
  </si>
  <si>
    <t>4792</t>
  </si>
  <si>
    <t>Comercio al por menor realizado a través de casas de venta o por correo.</t>
  </si>
  <si>
    <t>4799</t>
  </si>
  <si>
    <t>Otros tipos de comercio al por menor no realizado en establecimientos, puestos de venta o mercados.</t>
  </si>
  <si>
    <t>4911</t>
  </si>
  <si>
    <t>Transporte férreo de pasajeros.</t>
  </si>
  <si>
    <t>4912</t>
  </si>
  <si>
    <t>Transporte férreo de carga.</t>
  </si>
  <si>
    <t>4921</t>
  </si>
  <si>
    <t>Transporte de pasajeros.</t>
  </si>
  <si>
    <t>4922</t>
  </si>
  <si>
    <t>Transporte mixto.</t>
  </si>
  <si>
    <t>4923</t>
  </si>
  <si>
    <t>Transporte de carga por carretera.</t>
  </si>
  <si>
    <t>4930</t>
  </si>
  <si>
    <t>Transporte por tuberías.</t>
  </si>
  <si>
    <t>5011</t>
  </si>
  <si>
    <t>Transporte de pasajeros marítimo y de cabotaje.</t>
  </si>
  <si>
    <t>5012</t>
  </si>
  <si>
    <t>Transporte de carga marítimo y de cabotaje.</t>
  </si>
  <si>
    <t>5021</t>
  </si>
  <si>
    <t>Transporte fluvial de pasajeros.</t>
  </si>
  <si>
    <t>5022</t>
  </si>
  <si>
    <t>Transporte fluvial de carga.</t>
  </si>
  <si>
    <t>5111</t>
  </si>
  <si>
    <t>Transporte aéreo nacional de pasajeros.</t>
  </si>
  <si>
    <t>5112</t>
  </si>
  <si>
    <t>Transporte aéreo internacional de pasajeros.</t>
  </si>
  <si>
    <t>5121</t>
  </si>
  <si>
    <t>Transporte aéreo nacional de carga.</t>
  </si>
  <si>
    <t>5122</t>
  </si>
  <si>
    <t>Transporte aéreo internacional de carga.</t>
  </si>
  <si>
    <t>5210</t>
  </si>
  <si>
    <t>Almacenamiento y depósito.</t>
  </si>
  <si>
    <t>5221</t>
  </si>
  <si>
    <t>Actividades de estaciones, vías y servicios complementarios para el transporte terrestre.</t>
  </si>
  <si>
    <t>5222</t>
  </si>
  <si>
    <t>Actividades de puertos y servicios complementarios para el transporte acuático.</t>
  </si>
  <si>
    <t>5223</t>
  </si>
  <si>
    <t>Actividades de aeropuertos, servicios de navegación aérea y demás actividades conexas al transporte aéreo.</t>
  </si>
  <si>
    <t>5224</t>
  </si>
  <si>
    <t>Manipulación de carga.</t>
  </si>
  <si>
    <t>5229</t>
  </si>
  <si>
    <t>Otras actividades complementarias al transporte.</t>
  </si>
  <si>
    <t>5310</t>
  </si>
  <si>
    <t>Actividades postales nacionales.</t>
  </si>
  <si>
    <t>5320</t>
  </si>
  <si>
    <t>Actividades de mensajería.</t>
  </si>
  <si>
    <t>5511</t>
  </si>
  <si>
    <t>Alojamiento en hoteles.</t>
  </si>
  <si>
    <t>5512</t>
  </si>
  <si>
    <t>Alojamiento en apartahoteles.</t>
  </si>
  <si>
    <t>5513</t>
  </si>
  <si>
    <t>Alojamiento en centros vacacionales.</t>
  </si>
  <si>
    <t>5514</t>
  </si>
  <si>
    <t>Alojamiento rural.</t>
  </si>
  <si>
    <t>5519</t>
  </si>
  <si>
    <t>Otros tipos de alojamientos para visitantes.</t>
  </si>
  <si>
    <t>5520</t>
  </si>
  <si>
    <t>Actividades de zonas de camping y parques para vehículos recreacionales.</t>
  </si>
  <si>
    <t>5530</t>
  </si>
  <si>
    <t>Servicio por horas</t>
  </si>
  <si>
    <t>5590</t>
  </si>
  <si>
    <t>Otros tipos de alojamiento n.c.p.</t>
  </si>
  <si>
    <t>5611</t>
  </si>
  <si>
    <t>Expendio a la mesa de comidas preparadas.</t>
  </si>
  <si>
    <t>5612</t>
  </si>
  <si>
    <t>Expendio por autoservicio de comidas preparadas.</t>
  </si>
  <si>
    <t>5613</t>
  </si>
  <si>
    <t>Expendio de comidas preparadas en cafeterías.</t>
  </si>
  <si>
    <t>5619</t>
  </si>
  <si>
    <t>Otros tipos de expendio de comidas preparadas n.c.p.</t>
  </si>
  <si>
    <t>5621</t>
  </si>
  <si>
    <t>Catering para eventos.</t>
  </si>
  <si>
    <t>5629</t>
  </si>
  <si>
    <t>Actividades de otros servicios de comidas.</t>
  </si>
  <si>
    <t>5630</t>
  </si>
  <si>
    <t>Expendio de bebidas alcohólicas para el consumo dentro del establecimiento.</t>
  </si>
  <si>
    <t>5811</t>
  </si>
  <si>
    <t>Edición de libros.</t>
  </si>
  <si>
    <t>5812</t>
  </si>
  <si>
    <t>Edición de directorios y listas de correo.</t>
  </si>
  <si>
    <t>5813</t>
  </si>
  <si>
    <t>Edición de periódicos, revistas y otras publicaciones periódicas.</t>
  </si>
  <si>
    <t>5819</t>
  </si>
  <si>
    <t>Otros trabajos de edición.</t>
  </si>
  <si>
    <t>5820</t>
  </si>
  <si>
    <t>Edición de programas de informática (software).</t>
  </si>
  <si>
    <t>5911</t>
  </si>
  <si>
    <t>Actividades de producción de películas cinematográficas, videos, programas, anuncios y comerciales de televisión.</t>
  </si>
  <si>
    <t>5912</t>
  </si>
  <si>
    <t>Actividades de posproducción de películas cinematográficas, videos, programas, anuncios y comerciales de televisión.</t>
  </si>
  <si>
    <t>5913</t>
  </si>
  <si>
    <t>Actividades de distribución de películas cinematográficas, videos, programas, anuncios y comerciales de televisión.</t>
  </si>
  <si>
    <t>5914</t>
  </si>
  <si>
    <t>Actividades de exhibición de películas cinematográficas y videos.</t>
  </si>
  <si>
    <t>5920</t>
  </si>
  <si>
    <t>Actividades de grabación de sonido y edición de música.</t>
  </si>
  <si>
    <t>6010</t>
  </si>
  <si>
    <t>Actividades de programación y transmisión en el servicio de radiodifusión sonora.</t>
  </si>
  <si>
    <t>6020</t>
  </si>
  <si>
    <t>Actividades de programación y transmisión de televisión.</t>
  </si>
  <si>
    <t>6110</t>
  </si>
  <si>
    <t>Actividades de telecomunicaciones alámbricas.</t>
  </si>
  <si>
    <t>6120</t>
  </si>
  <si>
    <t>Actividades de telecomunicaciones inalámbricas.</t>
  </si>
  <si>
    <t>6130</t>
  </si>
  <si>
    <t>Actividades de telecomunicación satelital.</t>
  </si>
  <si>
    <t>6190</t>
  </si>
  <si>
    <t>Otras actividades de telecomunicaciones.</t>
  </si>
  <si>
    <t>6201</t>
  </si>
  <si>
    <t>Actividades de desarrollo de sistemas informáticos (planificación, análisis, diseño, programación, pruebas).</t>
  </si>
  <si>
    <t>6202</t>
  </si>
  <si>
    <t>Actividades de consultoría informática y actividades de administración de instalaciones informáticas.</t>
  </si>
  <si>
    <t>6209</t>
  </si>
  <si>
    <t>Otras actividades de tecnologías de información y actividades de servicios informáticos.</t>
  </si>
  <si>
    <t>6311</t>
  </si>
  <si>
    <t>Procesamiento de datos, alojamiento (hosting) y actividades relacionadas.</t>
  </si>
  <si>
    <t>6312</t>
  </si>
  <si>
    <t>Portales web.</t>
  </si>
  <si>
    <t>6391</t>
  </si>
  <si>
    <t>Actividades de agencias de noticias.</t>
  </si>
  <si>
    <t>6399</t>
  </si>
  <si>
    <t>Otras actividades de servicio de información n.c.p.</t>
  </si>
  <si>
    <t>6411</t>
  </si>
  <si>
    <t>Banco Central.</t>
  </si>
  <si>
    <t>6412</t>
  </si>
  <si>
    <t>Bancos comerciales.</t>
  </si>
  <si>
    <t>6421</t>
  </si>
  <si>
    <t>Actividades de las corporaciones financieras.</t>
  </si>
  <si>
    <t>6422</t>
  </si>
  <si>
    <t>Actividades de las compañías de financiamiento.</t>
  </si>
  <si>
    <t>6423</t>
  </si>
  <si>
    <t>Banca de segundo piso.</t>
  </si>
  <si>
    <t>6424</t>
  </si>
  <si>
    <t>Actividades de las cooperativas financieras.</t>
  </si>
  <si>
    <t>6431</t>
  </si>
  <si>
    <t>Fideicomisos, fondos y entidades financieras similares.</t>
  </si>
  <si>
    <t>6432</t>
  </si>
  <si>
    <t>Fondos de cesantías.</t>
  </si>
  <si>
    <t>6491</t>
  </si>
  <si>
    <t>Leasing financiero (arrendamiento financiero).</t>
  </si>
  <si>
    <t>6492</t>
  </si>
  <si>
    <t>Actividades financieras de fondos de empleados y otras formas asociativas del sector solidario.</t>
  </si>
  <si>
    <t>6493</t>
  </si>
  <si>
    <t>Actividades de compra de cartera o factoring.</t>
  </si>
  <si>
    <t>6494</t>
  </si>
  <si>
    <t>Otras actividades de distribución de fondos.</t>
  </si>
  <si>
    <t>6495</t>
  </si>
  <si>
    <t>Instituciones especiales oficiales.</t>
  </si>
  <si>
    <t>6499</t>
  </si>
  <si>
    <t>Otras actividades de servicio financiero, excepto las de seguros y pensiones n.c.p.</t>
  </si>
  <si>
    <t>6511</t>
  </si>
  <si>
    <t>Seguros generales.</t>
  </si>
  <si>
    <t>6512</t>
  </si>
  <si>
    <t>Seguros de vida.</t>
  </si>
  <si>
    <t>6513</t>
  </si>
  <si>
    <t>Reaseguros.</t>
  </si>
  <si>
    <t>6521</t>
  </si>
  <si>
    <t>Servicios de seguros sociales de salud.</t>
  </si>
  <si>
    <t>6522</t>
  </si>
  <si>
    <t>Servicios de seguros sociales de riesgos profesionales.</t>
  </si>
  <si>
    <t>6531</t>
  </si>
  <si>
    <t>Régimen de prima media con prestación definida (RPM).</t>
  </si>
  <si>
    <t>6532</t>
  </si>
  <si>
    <t>Régimen de ahorro individual (RAI).</t>
  </si>
  <si>
    <t>6611</t>
  </si>
  <si>
    <t>Administración de mercados financieros.</t>
  </si>
  <si>
    <t>6612</t>
  </si>
  <si>
    <t>Corretaje de valores y de contratos de productos básicos.</t>
  </si>
  <si>
    <t>6613</t>
  </si>
  <si>
    <t>Otras actividades relacionadas con el mercado de valores.</t>
  </si>
  <si>
    <t>6614</t>
  </si>
  <si>
    <t>Actividades de las casas de cambio.</t>
  </si>
  <si>
    <t>6615</t>
  </si>
  <si>
    <t>Actividades de los profesionales de compra y venta de divisas.</t>
  </si>
  <si>
    <t>6619</t>
  </si>
  <si>
    <t>Otras actividades auxiliares de las actividades de servicios financieros n.c.p.</t>
  </si>
  <si>
    <t>6621</t>
  </si>
  <si>
    <t>Actividades de agentes y corredores de seguros</t>
  </si>
  <si>
    <t>6629</t>
  </si>
  <si>
    <t>Evaluación de riesgos y daños, y otras actividades de servicios auxiliares</t>
  </si>
  <si>
    <t>6630</t>
  </si>
  <si>
    <t>Actividades de administración de fondos.</t>
  </si>
  <si>
    <t>6810</t>
  </si>
  <si>
    <t>Actividades inmobiliarias realizadas con bienes propios o arrendados.</t>
  </si>
  <si>
    <t>6820</t>
  </si>
  <si>
    <t>Actividades inmobiliarias realizadas a cambio de una retribución o por contrata.</t>
  </si>
  <si>
    <t>6910</t>
  </si>
  <si>
    <t>Actividades jurídicas.</t>
  </si>
  <si>
    <t>6920</t>
  </si>
  <si>
    <t>Actividades de contabilidad, teneduría de libros, auditoría financiera y asesoría tributaria.</t>
  </si>
  <si>
    <t>7010</t>
  </si>
  <si>
    <t>Actividades de administración empresarial.</t>
  </si>
  <si>
    <t>7020</t>
  </si>
  <si>
    <t>Actividades de consultaría de gestión.</t>
  </si>
  <si>
    <t>7120</t>
  </si>
  <si>
    <t>Ensayos y análisis técnicos.</t>
  </si>
  <si>
    <t>7210</t>
  </si>
  <si>
    <t>Investigaciones y desarrollo experimental en el campo de las ciencias naturales y la ingeniería.</t>
  </si>
  <si>
    <t>7220</t>
  </si>
  <si>
    <t>Investigaciones y desarrollo experimental en el campo de las ciencias sociales y las humanidades.</t>
  </si>
  <si>
    <t>7310</t>
  </si>
  <si>
    <t>Publicidad.</t>
  </si>
  <si>
    <t>7320</t>
  </si>
  <si>
    <t>Estudios de mercado y realización de encuestas de opinión pública.</t>
  </si>
  <si>
    <t>7410</t>
  </si>
  <si>
    <t>Actividades especializadas de diseño.</t>
  </si>
  <si>
    <t>7420</t>
  </si>
  <si>
    <t>Actividades de fotografía.</t>
  </si>
  <si>
    <t>7490</t>
  </si>
  <si>
    <t>Otras actividades profesionales, científicas y técnicas n.c.p.</t>
  </si>
  <si>
    <t>7500</t>
  </si>
  <si>
    <t>Actividades veterinarias.</t>
  </si>
  <si>
    <t>7710</t>
  </si>
  <si>
    <t>Alquiler y arrendamiento de vehículos automotores.</t>
  </si>
  <si>
    <t>7721</t>
  </si>
  <si>
    <t>Alquiler y arrendamiento de equipo recreativo y deportivo.</t>
  </si>
  <si>
    <t>7722</t>
  </si>
  <si>
    <t>Alquiler de videos y discos.</t>
  </si>
  <si>
    <t>7729</t>
  </si>
  <si>
    <t>Alquiler y arrendamiento de otros efectos personales y enseres domésticos n.c.p.</t>
  </si>
  <si>
    <t>7730</t>
  </si>
  <si>
    <t>Alquiler y arrendamiento de otros tipos de maquinaria, equipo y bienes tangibles n.c.p.</t>
  </si>
  <si>
    <t>7740</t>
  </si>
  <si>
    <t>Arrendamiento de propiedad intelectual y productos similares, excepto obras protegidas por derechos de autor.</t>
  </si>
  <si>
    <t>7810</t>
  </si>
  <si>
    <t>Actividades de agencias de empleo.</t>
  </si>
  <si>
    <t>7820</t>
  </si>
  <si>
    <t>Actividades de agencias de empleo temporal.</t>
  </si>
  <si>
    <t>7830</t>
  </si>
  <si>
    <t>Otras actividades de suministro de recurso humano.</t>
  </si>
  <si>
    <t>7911</t>
  </si>
  <si>
    <t>Actividades de las agencias de viaje.</t>
  </si>
  <si>
    <t>7912</t>
  </si>
  <si>
    <t>Actividades de operadores turísticos.</t>
  </si>
  <si>
    <t>7990</t>
  </si>
  <si>
    <t>Otros servicios de reserva y actividades relacionadas.</t>
  </si>
  <si>
    <t>8010</t>
  </si>
  <si>
    <t>Actividades de seguridad privada.</t>
  </si>
  <si>
    <t>8020</t>
  </si>
  <si>
    <t>Actividades de servicios de sistemas de seguridad.</t>
  </si>
  <si>
    <t>8030</t>
  </si>
  <si>
    <t>Actividades de detectives e investigadores privados.</t>
  </si>
  <si>
    <t>8110</t>
  </si>
  <si>
    <t>Actividades combinadas de apoyo a instalaciones.</t>
  </si>
  <si>
    <t>8121</t>
  </si>
  <si>
    <t>Limpieza general interior de edificios.</t>
  </si>
  <si>
    <t>8129</t>
  </si>
  <si>
    <t>Otras actividades de limpieza de edificios e instalaciones industriales.</t>
  </si>
  <si>
    <t>8130</t>
  </si>
  <si>
    <t>Actividades de paisajismo y servicios de mantenimiento conexos.</t>
  </si>
  <si>
    <t>8211</t>
  </si>
  <si>
    <t>Actividades combinadas de servicios administrativos de oficina.</t>
  </si>
  <si>
    <t>8219</t>
  </si>
  <si>
    <t>Fotocopiado, preparación de documentos y otras actividades especializadas de apoyo a oficina.</t>
  </si>
  <si>
    <t>8220</t>
  </si>
  <si>
    <t>Actividades de centros de llamadas (Call center).</t>
  </si>
  <si>
    <t>8230</t>
  </si>
  <si>
    <t>Organización de convenciones y eventos comerciales.</t>
  </si>
  <si>
    <t>8291</t>
  </si>
  <si>
    <t>Actividades de agencias de cobranza y oficinas de calificación crediticia.</t>
  </si>
  <si>
    <t>8292</t>
  </si>
  <si>
    <t>Actividades de envase y empaque.</t>
  </si>
  <si>
    <t>8299</t>
  </si>
  <si>
    <t>Otras actividades de servicio de apoyo a las empresas n.c.p.</t>
  </si>
  <si>
    <t>8411</t>
  </si>
  <si>
    <t>Actividades legislativas de la administración pública.</t>
  </si>
  <si>
    <t>8412</t>
  </si>
  <si>
    <t>Actividades ejecutivas de la administración pública.</t>
  </si>
  <si>
    <t>8413</t>
  </si>
  <si>
    <t>Regulación de las actividades de organismos que prestan servicios de salud, educativos, culturales y otros servicios sociales, excepto servicios de seguridad social.</t>
  </si>
  <si>
    <t>8414</t>
  </si>
  <si>
    <t>Actividades reguladoras y facilitadoras de la actividad económica.</t>
  </si>
  <si>
    <t>8415</t>
  </si>
  <si>
    <t>Actividades de los otros órganos de control.</t>
  </si>
  <si>
    <t>8421</t>
  </si>
  <si>
    <t>Relaciones exteriores.</t>
  </si>
  <si>
    <t>8422</t>
  </si>
  <si>
    <t>Actividades de defensa.</t>
  </si>
  <si>
    <t>8423</t>
  </si>
  <si>
    <t>Orden público y actividades de seguridad.</t>
  </si>
  <si>
    <t>8424</t>
  </si>
  <si>
    <t>Administración de justicia.</t>
  </si>
  <si>
    <t>8430</t>
  </si>
  <si>
    <t>Actividades de planes de seguridad social de afiliación obligatoria.</t>
  </si>
  <si>
    <t>8511</t>
  </si>
  <si>
    <t>Educación de la primera infancia.</t>
  </si>
  <si>
    <t>8512</t>
  </si>
  <si>
    <t>Educación preescolar.</t>
  </si>
  <si>
    <t>8513</t>
  </si>
  <si>
    <t>Educación básica primaria.</t>
  </si>
  <si>
    <t>8521</t>
  </si>
  <si>
    <t>Educación básica secundaria.</t>
  </si>
  <si>
    <t>8522</t>
  </si>
  <si>
    <t>Educación media académica.</t>
  </si>
  <si>
    <t>8523</t>
  </si>
  <si>
    <t>Educación media técnica y de formación laboral.</t>
  </si>
  <si>
    <t>8530</t>
  </si>
  <si>
    <t>Establecimientos que combinan diferentes niveles de educación.</t>
  </si>
  <si>
    <t>8541</t>
  </si>
  <si>
    <t>Educación técnica profesional.</t>
  </si>
  <si>
    <t>8542</t>
  </si>
  <si>
    <t>Educación tecnológica.</t>
  </si>
  <si>
    <t>8543</t>
  </si>
  <si>
    <t>Educación de instituciones universitarias o de escuelas tecnológicas.</t>
  </si>
  <si>
    <t>8544</t>
  </si>
  <si>
    <t>Educación de universidades.</t>
  </si>
  <si>
    <t>8551</t>
  </si>
  <si>
    <t>Formación académica no formal.</t>
  </si>
  <si>
    <t>8552</t>
  </si>
  <si>
    <t>Enseñanza deportiva y recreativa.</t>
  </si>
  <si>
    <t>8553</t>
  </si>
  <si>
    <t>Enseñanza cultural.</t>
  </si>
  <si>
    <t>8559</t>
  </si>
  <si>
    <t>Otros tipos de educación n.c.p.</t>
  </si>
  <si>
    <t>8560</t>
  </si>
  <si>
    <t>Actividades de apoyo a la educación.</t>
  </si>
  <si>
    <t>8610</t>
  </si>
  <si>
    <t>Actividades de hospitales y clínicas, con internación.</t>
  </si>
  <si>
    <t>8621</t>
  </si>
  <si>
    <t>Actividades de la práctica médica, sin internación.</t>
  </si>
  <si>
    <t>8622</t>
  </si>
  <si>
    <t>Actividades de la práctica odontológica.</t>
  </si>
  <si>
    <t>8691</t>
  </si>
  <si>
    <t>Actividades de apoyo diagnóstico.</t>
  </si>
  <si>
    <t>8692</t>
  </si>
  <si>
    <t>Actividades de apoyo terapéutico.</t>
  </si>
  <si>
    <t>8699</t>
  </si>
  <si>
    <t>Otras actividades de atención de la salud humana.</t>
  </si>
  <si>
    <t>8710</t>
  </si>
  <si>
    <t>Actividades de atención residencial medicalizada de tipo general.</t>
  </si>
  <si>
    <t>8720</t>
  </si>
  <si>
    <t>Actividades de atención residencial, para el cuidado de pacientes con retardo mental, enfermedad mental y consumo de sustancias psicoactivas.</t>
  </si>
  <si>
    <t>8730</t>
  </si>
  <si>
    <t>Actividades de atención en instituciones para el cuidado de personas mayores y/o discapacitadas.</t>
  </si>
  <si>
    <t>8790</t>
  </si>
  <si>
    <t>Otras actividades de atención en instituciones con alojamiento</t>
  </si>
  <si>
    <t>8810</t>
  </si>
  <si>
    <t>Actividades de asistencia social sin alojamiento para personas mayores y discapacitadas.</t>
  </si>
  <si>
    <t>9001</t>
  </si>
  <si>
    <t>Creación literaria.</t>
  </si>
  <si>
    <t>9002</t>
  </si>
  <si>
    <t>Creación musical.</t>
  </si>
  <si>
    <t>9003</t>
  </si>
  <si>
    <t>Creación teatral.</t>
  </si>
  <si>
    <t>9004</t>
  </si>
  <si>
    <t>Creación audiovisual.</t>
  </si>
  <si>
    <t>9005</t>
  </si>
  <si>
    <t>Artes plásticas y visuales.</t>
  </si>
  <si>
    <t>9006</t>
  </si>
  <si>
    <t>Actividades teatrales.</t>
  </si>
  <si>
    <t>9007</t>
  </si>
  <si>
    <t>Actividades de espectáculos musicales en vivo.</t>
  </si>
  <si>
    <t>9008</t>
  </si>
  <si>
    <t>Otras actividades de espectáculos en vivo.</t>
  </si>
  <si>
    <t>9101</t>
  </si>
  <si>
    <t>Actividades de bibliotecas y archivos.</t>
  </si>
  <si>
    <t>9102</t>
  </si>
  <si>
    <t>Actividades y funcionamiento de museos, conservación de edificios y sitios históricos.</t>
  </si>
  <si>
    <t>9103</t>
  </si>
  <si>
    <t>Actividades de jardines botánicos, zoológicos y reservas naturales.</t>
  </si>
  <si>
    <t>9200</t>
  </si>
  <si>
    <t>Actividades de juegos de azar y apuestas.</t>
  </si>
  <si>
    <t>9311</t>
  </si>
  <si>
    <t>Gestión de instalaciones deportivas.</t>
  </si>
  <si>
    <t>9312</t>
  </si>
  <si>
    <t>Actividades de clubes deportivos.</t>
  </si>
  <si>
    <t>9319</t>
  </si>
  <si>
    <t>Otras actividades deportivas.</t>
  </si>
  <si>
    <t>9321</t>
  </si>
  <si>
    <t>Actividades de parques de atracciones y parques temáticos.</t>
  </si>
  <si>
    <t>9329</t>
  </si>
  <si>
    <t>Otras actividades recreativas y de esparcimiento n.c.p.</t>
  </si>
  <si>
    <t>9411</t>
  </si>
  <si>
    <t>Actividades de asociaciones empresariales y de empleadores</t>
  </si>
  <si>
    <t>9412</t>
  </si>
  <si>
    <t>Actividades de asociaciones profesionales</t>
  </si>
  <si>
    <t>9420</t>
  </si>
  <si>
    <t>Actividades de sindicatos de empleados.</t>
  </si>
  <si>
    <t>9491</t>
  </si>
  <si>
    <t>Actividades de asociaciones religiosas.</t>
  </si>
  <si>
    <t>9492</t>
  </si>
  <si>
    <t>Actividades de asociaciones políticas.</t>
  </si>
  <si>
    <t>9499</t>
  </si>
  <si>
    <t>Actividades de otras asociaciones n.c.p.</t>
  </si>
  <si>
    <t>9511</t>
  </si>
  <si>
    <t>Mantenimiento y reparación de computadores y de equipo periférico.</t>
  </si>
  <si>
    <t>9512</t>
  </si>
  <si>
    <t>Mantenimiento y reparación de equipos de comunicación.</t>
  </si>
  <si>
    <t>9521</t>
  </si>
  <si>
    <t>Mantenimiento y reparación de aparatos electrónicos de consumo.</t>
  </si>
  <si>
    <t>9522</t>
  </si>
  <si>
    <t>Mantenimiento y reparación de aparatos y equipos domésticos y de jardinería.</t>
  </si>
  <si>
    <t>9523</t>
  </si>
  <si>
    <t>Reparación de calzado y artículos de cuero.</t>
  </si>
  <si>
    <t>9524</t>
  </si>
  <si>
    <t>Reparación de muebles y accesorios para el hogar.</t>
  </si>
  <si>
    <t>9529</t>
  </si>
  <si>
    <t>Mantenimiento y reparación de otros efectos personales y enseres domésticos.</t>
  </si>
  <si>
    <t>9601</t>
  </si>
  <si>
    <t>Lavado y limpieza, incluso la limpieza en seco, de productos textiles y de piel.</t>
  </si>
  <si>
    <t>9602</t>
  </si>
  <si>
    <t>Peluquería y otros tratamientos de belleza.</t>
  </si>
  <si>
    <t>9603</t>
  </si>
  <si>
    <t>Pompas fúnebres y actividades relacionadas.</t>
  </si>
  <si>
    <t>9609</t>
  </si>
  <si>
    <t>Otras actividades de servicios personales n.c.p.</t>
  </si>
  <si>
    <t>9700</t>
  </si>
  <si>
    <t>Actividades de los hogares individuales como empleadores de personal doméstico.</t>
  </si>
  <si>
    <t>9810</t>
  </si>
  <si>
    <t>Actividades no diferenciadas de los hogares individuales como productores de bienes para uso propio.</t>
  </si>
  <si>
    <t>9820</t>
  </si>
  <si>
    <t>Actividades no diferenciadas de los hogares individuales como productores de servicios para uso propio.</t>
  </si>
  <si>
    <t>9900</t>
  </si>
  <si>
    <t>Actividades de organizaciones y entidades extraterritoriales.</t>
  </si>
  <si>
    <t>0010</t>
  </si>
  <si>
    <t>Asalariados</t>
  </si>
  <si>
    <t>0081</t>
  </si>
  <si>
    <t>Personas Naturales sin Actividad Económica</t>
  </si>
  <si>
    <t>0082</t>
  </si>
  <si>
    <t>Personas Naturales Subsidiadas por Terceros</t>
  </si>
  <si>
    <t>0090</t>
  </si>
  <si>
    <t>Rentistas de Capital, solo para personas naturales.</t>
  </si>
  <si>
    <t>Cuenta Bancaria</t>
  </si>
  <si>
    <t>Banco</t>
  </si>
  <si>
    <t>Cod</t>
  </si>
  <si>
    <t>Sucursal</t>
  </si>
  <si>
    <t>Tipo Cuenta</t>
  </si>
  <si>
    <t>Corriente</t>
  </si>
  <si>
    <t>Ahorros</t>
  </si>
  <si>
    <t>Año Contrato</t>
  </si>
  <si>
    <t>Primer Apellido</t>
  </si>
  <si>
    <t>Segundo Apellido</t>
  </si>
  <si>
    <t>Primer Nombre</t>
  </si>
  <si>
    <t>Otros Nombres</t>
  </si>
  <si>
    <t>Pregunta C1</t>
  </si>
  <si>
    <t>Pregunta C2</t>
  </si>
  <si>
    <t>No Cuenta Bancaria</t>
  </si>
  <si>
    <t>No Contrato</t>
  </si>
  <si>
    <t>Formulario sin diligenciar</t>
  </si>
  <si>
    <t>Número de Identificación Tributaria (NIT)</t>
  </si>
  <si>
    <t>Número de Identificación Tributaria (NIT):</t>
  </si>
  <si>
    <t>Número de Identificación</t>
  </si>
  <si>
    <t>País</t>
  </si>
  <si>
    <t>Departamento (Solo para país Colombia)</t>
  </si>
  <si>
    <t>Municipio (Solo para País Colombia)</t>
  </si>
  <si>
    <t>Teléfono 1</t>
  </si>
  <si>
    <t>Teléfono 2</t>
  </si>
  <si>
    <t>Régimen</t>
  </si>
  <si>
    <t>Actividad Económica RUT</t>
  </si>
  <si>
    <t>Identificación Titular</t>
  </si>
  <si>
    <t>Área Funcional de la SED</t>
  </si>
  <si>
    <t>Cultivo de cereales (excepto arroz), legumbres y semillas oleaginosas</t>
  </si>
  <si>
    <t>Cultivo de arroz</t>
  </si>
  <si>
    <t>Cultivo de hortalizas, raíces y tubérculos</t>
  </si>
  <si>
    <t>Cultivo de tabaco</t>
  </si>
  <si>
    <t>Cultivo de plantas textiles</t>
  </si>
  <si>
    <t>Cultivo de frutas tropicales y subtropicales</t>
  </si>
  <si>
    <t>Cultivo de plátano y banano</t>
  </si>
  <si>
    <t>Cultivo de café</t>
  </si>
  <si>
    <t>Cultivo de caña de azúcar</t>
  </si>
  <si>
    <t>Cultivo de flor de corte</t>
  </si>
  <si>
    <t>Cultivo de palma para aceite (palma africana) y otros frutos oleaginosos</t>
  </si>
  <si>
    <t>Cultivo de plantas con las que se prepararan bebidas</t>
  </si>
  <si>
    <t>Cultivo de especias y de plantas aromáticas y medicinales</t>
  </si>
  <si>
    <t>Cría de ganado bovino y bufalino</t>
  </si>
  <si>
    <t>Cría de caballos y otros equinos</t>
  </si>
  <si>
    <t>Cría de ovejas y cabras</t>
  </si>
  <si>
    <t>Cría de ganado porcino</t>
  </si>
  <si>
    <t>Cría de aves de corral</t>
  </si>
  <si>
    <t>Explotación primaria mixta (agrícola y pecuaria)</t>
  </si>
  <si>
    <t>Actividades posteriores a la cosecha</t>
  </si>
  <si>
    <t>Caza ordinaria y mediante trampas y actividades de servicios conexas</t>
  </si>
  <si>
    <t>Silvicultura y otras actividades forestales</t>
  </si>
  <si>
    <t>Extracción de madera</t>
  </si>
  <si>
    <t>Recolección de productos forestales diferentes a la madera</t>
  </si>
  <si>
    <t>Pesca marítima</t>
  </si>
  <si>
    <t>Pesca de agua dulce</t>
  </si>
  <si>
    <t>Acuicultura marítima</t>
  </si>
  <si>
    <t>Acuicultura de agua dulce</t>
  </si>
  <si>
    <t>Régimen de prima media con prestación definida (RPM)</t>
  </si>
  <si>
    <t>Actividades legislativas de la administración pública</t>
  </si>
  <si>
    <t>Actividades ejecutivas de la administración pública</t>
  </si>
  <si>
    <t>Actividades reguladoras y facilitadoras de la actividad económica</t>
  </si>
  <si>
    <t>Relaciones exteriores</t>
  </si>
  <si>
    <t>Actividades de defensa</t>
  </si>
  <si>
    <t>Orden público y actividades de seguridad publica</t>
  </si>
  <si>
    <t>Administración de justicia</t>
  </si>
  <si>
    <t>Actividades de planes de Seguridad Social de afiliación obligatoria</t>
  </si>
  <si>
    <t>Creación literaria</t>
  </si>
  <si>
    <t>Creación musical</t>
  </si>
  <si>
    <t>Creación teatral</t>
  </si>
  <si>
    <t>Creación audiovisual</t>
  </si>
  <si>
    <t>Artes plásticas y visuales</t>
  </si>
  <si>
    <t>Actividades teatrales</t>
  </si>
  <si>
    <t>Actividades de espectáculos musicales en vivo</t>
  </si>
  <si>
    <t>Actividades de Bibliotecas y archivos</t>
  </si>
  <si>
    <t>Actividades y funcionamiento de museos, conservación de edificios y sitios históricos</t>
  </si>
  <si>
    <t>Actividades de jardines botánicos, zoológicos y reservas naturales</t>
  </si>
  <si>
    <t>Gestión de instalaciones deportivas</t>
  </si>
  <si>
    <t>Actividades de clubes deportivos</t>
  </si>
  <si>
    <t>Otras actividades deportivas</t>
  </si>
  <si>
    <t>Actividades de asociaciones profesionales y gremiales sin ánimo de lucro</t>
  </si>
  <si>
    <t>Actividades de sindicatos</t>
  </si>
  <si>
    <t>Actividades de asociaciones religiosas</t>
  </si>
  <si>
    <t>Actividades de partidos políticos</t>
  </si>
  <si>
    <t>Actividades de los hogares individuales como empleadores de personal doméstico</t>
  </si>
  <si>
    <t>Actividades no diferenciadas de los hogares individuales como productores de bienes para uso propio</t>
  </si>
  <si>
    <t>Actividades no diferenciadas de los hogares individuales como productores de servicios para uso propio</t>
  </si>
  <si>
    <t>Actividades de organizaciones y entidades extraterritoriales signatarios de la Convención de Viena</t>
  </si>
  <si>
    <t>Procesamiento y conservación de carne y productos cárnicos</t>
  </si>
  <si>
    <t>Elaboración de aceites y grasas de origen vegetal y animal</t>
  </si>
  <si>
    <t>Elaboración de productos de molinería</t>
  </si>
  <si>
    <t>Elaboración de almidones y productos derivados del almidón</t>
  </si>
  <si>
    <t>Descafeinado, tostión y molienda del café</t>
  </si>
  <si>
    <t>Elaboración de otros derivados del café</t>
  </si>
  <si>
    <t>Elaboración y refinación de azúcar</t>
  </si>
  <si>
    <t>Elaboración de panela</t>
  </si>
  <si>
    <t>Elaboración de productos de panadería</t>
  </si>
  <si>
    <t>Elaboración de cacao, chocolate y productos de confitería</t>
  </si>
  <si>
    <t>Elaboración de comidas y platos preparados</t>
  </si>
  <si>
    <t>Elaboración de alimentos preparados para animales</t>
  </si>
  <si>
    <t>Fabricación de calzado de cuero y piel, con cualquier tipo de suela</t>
  </si>
  <si>
    <t>Elaboración de productos lácteos (excepto bebidas)</t>
  </si>
  <si>
    <t>Fabricación de prendas de vestir de piel</t>
  </si>
  <si>
    <t>Industrias básicas de hierro y de acero</t>
  </si>
  <si>
    <t>Fundición de hierro y de acero</t>
  </si>
  <si>
    <t>Fundición de metales no ferrosos</t>
  </si>
  <si>
    <t>Fabricación de vehículos automotores y sus motores</t>
  </si>
  <si>
    <t>Fabricación de carrocerías para vehículos automotores; fabricación de remolques y semirremolques</t>
  </si>
  <si>
    <t>Construcción de barcos y de estructuras flotantes</t>
  </si>
  <si>
    <t>Fabricación de aeronaves, naves espaciales y de maquinaria conexa</t>
  </si>
  <si>
    <t>Fabricación de vehículos militares de combate</t>
  </si>
  <si>
    <t>Fabricación de motocicletas</t>
  </si>
  <si>
    <t>Fabricación de bicicletas y de sillas de ruedas para personas con discapacidad</t>
  </si>
  <si>
    <t>Extracción de hulla (carbón de piedra)</t>
  </si>
  <si>
    <t>Extracción de carbón lignito</t>
  </si>
  <si>
    <t>Extracción de petróleo crudo</t>
  </si>
  <si>
    <t>Extracción de gas natural</t>
  </si>
  <si>
    <t>Extracción de minerales de hierro</t>
  </si>
  <si>
    <t>Extracción de minerales de uranio y de torio</t>
  </si>
  <si>
    <t>Extracción de oro y otros metales preciosos</t>
  </si>
  <si>
    <t>Extracción de minerales de níquel</t>
  </si>
  <si>
    <t>Extracción de piedra, arena, arcillas comunes, yeso y anhidrita</t>
  </si>
  <si>
    <t>Extracción de arcillas de uso industrial, caliza, caolín y bentonitas</t>
  </si>
  <si>
    <t>Extracción de esmeraldas, piedras preciosas y semipreciosas</t>
  </si>
  <si>
    <t>Extracción de halita (sal)</t>
  </si>
  <si>
    <t>Elaboración de bebidas fermentadas no destiladas</t>
  </si>
  <si>
    <t>Producción de malta, elaboración de cervezas y otras bebidas malteadas</t>
  </si>
  <si>
    <t>Elaboración de productos de tabaco</t>
  </si>
  <si>
    <t>Preparación e hilatura de fibras textiles</t>
  </si>
  <si>
    <t>Tejeduría de productos textiles</t>
  </si>
  <si>
    <t>Acabado de productos textiles</t>
  </si>
  <si>
    <t>Fabricación de tejidos de punto y ganchillo</t>
  </si>
  <si>
    <t>Confección de artículos con materiales textiles, excepto prendas de vestir</t>
  </si>
  <si>
    <t>Fabricación de tapetes y alfombras para pisos</t>
  </si>
  <si>
    <t>Fabricación de partes del calzado</t>
  </si>
  <si>
    <t>Aserrado, acepillado e impregnación de la madera</t>
  </si>
  <si>
    <t>Fabricación de recipientes de madera</t>
  </si>
  <si>
    <t>Fabricación de pulpas (pastas) celulósicas; papel y cartón</t>
  </si>
  <si>
    <t>Fabricación de otros artículos de papel y cartón</t>
  </si>
  <si>
    <t>Fabricación de productos de hornos de coque</t>
  </si>
  <si>
    <t>Actividad de mezcla de combustibles</t>
  </si>
  <si>
    <t>Fabricación de sustancias y productos químicos básicos</t>
  </si>
  <si>
    <t>Fabricación de plásticos en formas primarias</t>
  </si>
  <si>
    <t>Fabricación de caucho sintético en formas primarias</t>
  </si>
  <si>
    <t>Fabricación de plaguicidas y otros productos químicos de uso agropecuario</t>
  </si>
  <si>
    <t>Fabricación de fibras sintéticas y artificiales</t>
  </si>
  <si>
    <t>Fabricación de productos farmacéuticos, sustancias químicas medicinales y productos botánicos de uso farmacéutico</t>
  </si>
  <si>
    <t>Fabricación de formas básicas de plástico</t>
  </si>
  <si>
    <t>Fabricación de vidrio y productos de vidrio</t>
  </si>
  <si>
    <t>Fabricación de productos refractarios</t>
  </si>
  <si>
    <t>Fabricación de materiales de arcilla para la construcción</t>
  </si>
  <si>
    <t>Fabricación de artículos de hormigón, cemento y yeso</t>
  </si>
  <si>
    <t>Corte, tallado y acabado de la piedra</t>
  </si>
  <si>
    <t>Industrias básicas de metales preciosos</t>
  </si>
  <si>
    <t>Industrias básicas de otros metales no ferrosos</t>
  </si>
  <si>
    <t>Fabricación de productos metálicos para uso estructural</t>
  </si>
  <si>
    <t>Fabricación de generadores de vapor, excepto calderas de agua caliente para calefacción central</t>
  </si>
  <si>
    <t>Fabricación de armas y municiones</t>
  </si>
  <si>
    <t>Forja, prensado, estampado y laminado de metal; pulvimetalurgia</t>
  </si>
  <si>
    <t>Fabricación de artículos de cuchillería, herramientas de mano y artículos de ferretería</t>
  </si>
  <si>
    <t>Fabricación de computadoras y de equipo periférico</t>
  </si>
  <si>
    <t>Fabricación de equipos de comunicación</t>
  </si>
  <si>
    <t>Fabricación de aparatos electrónicos de consumo</t>
  </si>
  <si>
    <t>Fabricación de relojes</t>
  </si>
  <si>
    <t>Fabricación de soportes magnéticos y ópticos</t>
  </si>
  <si>
    <t>Fabricación de aparatos de distribución y control de la energía eléctrica</t>
  </si>
  <si>
    <t>Fabricación de pilas, baterías y acumuladores eléctricos</t>
  </si>
  <si>
    <t>Fabricación de dispositivos de cableado</t>
  </si>
  <si>
    <t>Fabricación de equipos eléctricos de iluminación</t>
  </si>
  <si>
    <t>Fabricación de equipos de potencia hidráulica y neumática</t>
  </si>
  <si>
    <t>Fabricación de hornos, hogares y quemadores industriales</t>
  </si>
  <si>
    <t>Fabricación de equipo de elevación y manipulación</t>
  </si>
  <si>
    <t>Fabricación de herramientas manuales con motor</t>
  </si>
  <si>
    <t>Fabricación de maquinaria agropecuaria y forestal</t>
  </si>
  <si>
    <t>Fabricación de máquinas formadoras de metal y de máquinas herramienta</t>
  </si>
  <si>
    <t>Fabricación de maquinaria para la metalurgia</t>
  </si>
  <si>
    <t>Fabricación de maquinaria para la elaboración de alimentos, bebidas y tabaco</t>
  </si>
  <si>
    <t>Fabricación de muebles</t>
  </si>
  <si>
    <t>Fabricación de colchones y somieres</t>
  </si>
  <si>
    <t>Fabricación de joyas, bisutería y artículos conexos</t>
  </si>
  <si>
    <t>Fabricación de instrumentos musicales</t>
  </si>
  <si>
    <t>Generación de energía eléctrica</t>
  </si>
  <si>
    <t>Transmisión de energía eléctrica</t>
  </si>
  <si>
    <t>Tratamiento y disposición de desechos no peligrosos</t>
  </si>
  <si>
    <t>Tratamiento y disposición de desechos peligrosos</t>
  </si>
  <si>
    <t>Recuperación de materiales</t>
  </si>
  <si>
    <t>Edición de directorios y listas de correo</t>
  </si>
  <si>
    <t>Otros trabajos de edición</t>
  </si>
  <si>
    <t>Edición de programas de informática (software)</t>
  </si>
  <si>
    <t>Actividades de grabación de sonido y edición de música</t>
  </si>
  <si>
    <t>Elaboración de jugos de frutas</t>
  </si>
  <si>
    <t>Elaboración de bebidas lácteas</t>
  </si>
  <si>
    <t>Fabricación de artículos de piel (excepto prendas de vestir)</t>
  </si>
  <si>
    <t>Producción de gas</t>
  </si>
  <si>
    <t>Captación y tratamiento de agua</t>
  </si>
  <si>
    <t>Edición y publicación de libros</t>
  </si>
  <si>
    <t>Comercio al por mayor de productos alimenticios</t>
  </si>
  <si>
    <t>Comercio al por menor de leche, productos lácteos y huevos, en establecimientos especializados</t>
  </si>
  <si>
    <t>Comercio al por menor de otros productos alimenticios n.c.p., en establecimientos especializados</t>
  </si>
  <si>
    <t>Comercio al por mayor de productos farmacéuticos y medicinales</t>
  </si>
  <si>
    <t>Comercio al por menor de alimentos en puestos de venta móviles</t>
  </si>
  <si>
    <t>Comercio de vehículos automotores nuevos</t>
  </si>
  <si>
    <t>Comercio de vehículos automotores usados</t>
  </si>
  <si>
    <t>Comercio de motocicletas</t>
  </si>
  <si>
    <t>Comercio al por mayor de materiales de construcción</t>
  </si>
  <si>
    <t>Comercio al por menor de materiales de construcción</t>
  </si>
  <si>
    <t>Comercio al por mayor de licores y cigarrillos</t>
  </si>
  <si>
    <t>Venta de joyas</t>
  </si>
  <si>
    <t>Comercio al por menor de licores y cigarrillos</t>
  </si>
  <si>
    <t>Comercio al por menor de cigarrillos y licores en puestos de venta móviles</t>
  </si>
  <si>
    <t>Comercialización de energía eléctrica</t>
  </si>
  <si>
    <t>Comercio al por mayor de prendas de vestir</t>
  </si>
  <si>
    <t>Comercio al por mayor de calzado</t>
  </si>
  <si>
    <t>Comercio al por mayor de computadores, equipo periférico y programas de informática</t>
  </si>
  <si>
    <t>Comercio al por mayor de equipo, partes y piezas electrónicos y de telecomunicaciones</t>
  </si>
  <si>
    <t>Comercio al por mayor de maquinaria y equipo agropecuarios</t>
  </si>
  <si>
    <t>Comercio al por mayor de desperdicios, desechos y chatarra</t>
  </si>
  <si>
    <t>Comercio al por mayor no especializado</t>
  </si>
  <si>
    <t>Comercio al por menor de equipos y aparatos de sonido y de video, en establecimientos especializados</t>
  </si>
  <si>
    <t>Comercio al por menor de productos textiles en establecimientos especializados</t>
  </si>
  <si>
    <t>Comercio al por menor de otros artículos domésticos en establecimientos especializados</t>
  </si>
  <si>
    <t>Comercio al por menor de prendas de vestir y sus accesorios (incluye artículos de piel) en establecimientos especializados</t>
  </si>
  <si>
    <t>Comercio al por menor de artículos de segunda mano</t>
  </si>
  <si>
    <t>Comercio al por menor de productos textiles, prendas de vestir y calzado, en puestos de venta móviles</t>
  </si>
  <si>
    <t>Comercio al por menor de otros productos en puestos de venta móviles</t>
  </si>
  <si>
    <t>Comercio de partes, piezas y accesorios de motocicletas</t>
  </si>
  <si>
    <t>Comercio al por mayor de bebidas y tabaco (diferentes a licores y cigarrillos)</t>
  </si>
  <si>
    <t>Comercio al por mayor de productos cosméticos y de tocador (excepto productos farmacéuticos y medicinales)</t>
  </si>
  <si>
    <t>Actividades comerciales de las casas de empeño o compraventa</t>
  </si>
  <si>
    <t>Transporte férreo de pasajeros</t>
  </si>
  <si>
    <t>Transporte férreo de carga</t>
  </si>
  <si>
    <t>Transporte de pasajeros</t>
  </si>
  <si>
    <t>Transporte mixto</t>
  </si>
  <si>
    <t>Transporte de carga por carretera</t>
  </si>
  <si>
    <t>Transporte por tuberías</t>
  </si>
  <si>
    <t>Transporte de pasajeros marítimo y de cabotaje</t>
  </si>
  <si>
    <t>Transporte fluvial de pasajeros</t>
  </si>
  <si>
    <t>Transporte fluvial de carga</t>
  </si>
  <si>
    <t>Transporte aéreo nacional de pasajeros</t>
  </si>
  <si>
    <t>Transporte aéreo internacional de pasajeros</t>
  </si>
  <si>
    <t>Transporte aéreo nacional de carga</t>
  </si>
  <si>
    <t>Transporte aéreo internacional de carga</t>
  </si>
  <si>
    <t>Edición de periódicos, revistas y otras publicaciones periódicas</t>
  </si>
  <si>
    <t>Servicio de edición de libros</t>
  </si>
  <si>
    <t>Actividades de programación de televisión</t>
  </si>
  <si>
    <t>Construcción de edificios residenciales</t>
  </si>
  <si>
    <t>Construcción de edificios no residenciales</t>
  </si>
  <si>
    <t>Construcción de carreteras y vías de ferrocarril</t>
  </si>
  <si>
    <t>Construcción de proyectos de servicio público</t>
  </si>
  <si>
    <t>Construcción de otras obras de ingeniería civil</t>
  </si>
  <si>
    <t>Demolición</t>
  </si>
  <si>
    <t>Preparación del terreno</t>
  </si>
  <si>
    <t>Instalaciones eléctricas de la construcción</t>
  </si>
  <si>
    <t>Otras instalaciones especializadas de la construcción</t>
  </si>
  <si>
    <t>Actividades de exhibición de películas cinematográficas y videos</t>
  </si>
  <si>
    <t>Actividades jurídicas como consultoría profesional</t>
  </si>
  <si>
    <t>Actividades de administración empresarial como consultoría profesional</t>
  </si>
  <si>
    <t>Actividades de consultoría de gestión</t>
  </si>
  <si>
    <t>Ensayos y análisis técnicos como consultoría profesional</t>
  </si>
  <si>
    <t>Actividades especializadas de diseño como consultoría profesional</t>
  </si>
  <si>
    <t>Otras actividades profesionales, científicas y técnicas n.c.p. como consultoría profesional (incluye actividades de periodistas)</t>
  </si>
  <si>
    <t>Alojamiento en hoteles</t>
  </si>
  <si>
    <t>Alojamiento en centros vacacionales</t>
  </si>
  <si>
    <t>Alojamiento rural</t>
  </si>
  <si>
    <t>Otros tipos de alojamientos para visitantes</t>
  </si>
  <si>
    <t>Actividades de zonas de camping y parques para vehículos recreacionales</t>
  </si>
  <si>
    <t>Expendio a la mesa de comidas preparadas</t>
  </si>
  <si>
    <t>Expendio por autoservicio de comidas preparadas</t>
  </si>
  <si>
    <t>Expendio de comidas preparadas en cafeterías</t>
  </si>
  <si>
    <t>Catering para eventos</t>
  </si>
  <si>
    <t>Actividades de otros servicios de comidas</t>
  </si>
  <si>
    <t>Expendio de bebidas alcohólicas para el consumo dentro del establecimiento</t>
  </si>
  <si>
    <t>Actividades de seguridad privada</t>
  </si>
  <si>
    <t>Actividades de servicios de sistemas de seguridad</t>
  </si>
  <si>
    <t>Actividades de detectives e investigadores privados</t>
  </si>
  <si>
    <t>Servicios de las casas de empeño o compraventas</t>
  </si>
  <si>
    <t>Actividades de apoyo a la agricultura</t>
  </si>
  <si>
    <t>Actividades de apoyo a la ganadería</t>
  </si>
  <si>
    <t>Tratamiento de semillas para propagación</t>
  </si>
  <si>
    <t>Servicios de apoyo a la silvicultura</t>
  </si>
  <si>
    <t>Actividades de apoyo para la extracción de petróleo y de gas natural</t>
  </si>
  <si>
    <t>Trilla de café</t>
  </si>
  <si>
    <t>Actividades de impresión</t>
  </si>
  <si>
    <t>Actividades de servicios relacionados con la impresión</t>
  </si>
  <si>
    <t>Mantenimiento y reparación especializado de equipo electrónico y óptico</t>
  </si>
  <si>
    <t>Distribución de energía eléctrica</t>
  </si>
  <si>
    <t>Suministro de vapor y aire acondicionado</t>
  </si>
  <si>
    <t>Recolección de desechos no peligrosos</t>
  </si>
  <si>
    <t>Recolección de desechos peligrosos</t>
  </si>
  <si>
    <t>Comercio al por mayor a cambio de una retribución o por contrata</t>
  </si>
  <si>
    <t>Almacenamiento y depósito</t>
  </si>
  <si>
    <t>Manipulación de carga</t>
  </si>
  <si>
    <t>Otras actividades complementarias al transporte</t>
  </si>
  <si>
    <t>Actividades postales nacionales</t>
  </si>
  <si>
    <t>Actividades de mensajería</t>
  </si>
  <si>
    <t>Actividades de telecomunicaciones alámbricas</t>
  </si>
  <si>
    <t>Actividades de telecomunicaciones inalámbricas</t>
  </si>
  <si>
    <t>Actividades de telecomunicación satelital</t>
  </si>
  <si>
    <t>Otras actividades de telecomunicaciones</t>
  </si>
  <si>
    <t>Otras actividades de tecnologías de información y actividades de servicios informáticos</t>
  </si>
  <si>
    <t>Procesamiento de datos, alojamiento (hosting) y actividades relacionadas</t>
  </si>
  <si>
    <t>Portales Web</t>
  </si>
  <si>
    <t>Actividades de agencias de noticias</t>
  </si>
  <si>
    <t>Corretaje de valores y de contratos de productos básicos</t>
  </si>
  <si>
    <t>Otras actividades relacionadas con el mercado de valores</t>
  </si>
  <si>
    <t>Actividades de las bolsas de valores</t>
  </si>
  <si>
    <t>Publicidad</t>
  </si>
  <si>
    <t>Actividades de fotografía</t>
  </si>
  <si>
    <t>Actividades veterinarias</t>
  </si>
  <si>
    <t>Alquiler y arrendamiento de vehículos automotores</t>
  </si>
  <si>
    <t>Alquiler de videos y discos</t>
  </si>
  <si>
    <t>Actividades de las agencias de viaje</t>
  </si>
  <si>
    <t>Actividades de operadores turísticos</t>
  </si>
  <si>
    <t>Otros servicios de reserva y actividades relacionadas</t>
  </si>
  <si>
    <t>Actividades combinadas de apoyo a instalaciones</t>
  </si>
  <si>
    <t>Limpieza general interior de edificios</t>
  </si>
  <si>
    <t>Otras actividades de limpieza de edificios e instalaciones industriales</t>
  </si>
  <si>
    <t>Actividades de paisajismo y servicios de mantenimiento conexos</t>
  </si>
  <si>
    <t>Actividades combinadas de servicios administrativos de oficina</t>
  </si>
  <si>
    <t>Fotocopiado, preparación de documentos y otras actividades especializadas de apoyo a oficina</t>
  </si>
  <si>
    <t>Actividades de centros de llamadas (Call center)</t>
  </si>
  <si>
    <t>Actividades de agencias de cobranza y oficinas de calificación crediticia</t>
  </si>
  <si>
    <t>Actividades de envase y empaque</t>
  </si>
  <si>
    <t>Educación técnica profesional</t>
  </si>
  <si>
    <t>Educación tecnológica</t>
  </si>
  <si>
    <t>Educación de instituciones universitarias o de escuelas tecnológicas</t>
  </si>
  <si>
    <t>Educación de universidades</t>
  </si>
  <si>
    <t>Enseñanza deportiva y recreativa</t>
  </si>
  <si>
    <t>Enseñanza cultural</t>
  </si>
  <si>
    <t>Actividades de apoyo a la educación</t>
  </si>
  <si>
    <t>Actividades de hospitales y clínicas, con internación</t>
  </si>
  <si>
    <t>Actividades de atención en instituciones para el cuidado de personas mayores y/o discapacitadas</t>
  </si>
  <si>
    <t>Actividades de asistencia social sin alojamiento para personas mayores y discapacitadas</t>
  </si>
  <si>
    <t>Actividades de parques de atracciones y parques temáticos</t>
  </si>
  <si>
    <t>Mantenimiento y reparación de equipos de comunicación</t>
  </si>
  <si>
    <t>Mantenimiento y reparación de aparatos domésticos y equipos domésticos y de jardinería</t>
  </si>
  <si>
    <t>Reparación de calzado y artículos de cuero</t>
  </si>
  <si>
    <t>Reparación de muebles y accesorios para el hogar</t>
  </si>
  <si>
    <t>Peluquería y otros tratamientos de belleza</t>
  </si>
  <si>
    <t>Pompas fúnebres y actividades relacionadas</t>
  </si>
  <si>
    <t>Actividades de transmisión de televisión</t>
  </si>
  <si>
    <t>Actividades jurídicas en el ejercicio de una profesión liberal</t>
  </si>
  <si>
    <t>Actividades de administración empresarial en el ejercicio de una profesión liberal</t>
  </si>
  <si>
    <t>Estudios de mercado y realización de encuestas de opinión pública en el ejercicio de una profesión liberal</t>
  </si>
  <si>
    <t>Actividades especializadas de diseño en el ejercicio de una profesión liberal</t>
  </si>
  <si>
    <t>Educación de formación laboral</t>
  </si>
  <si>
    <t>Actividades de juegos de destreza, habilidad, conocimiento y fuerza</t>
  </si>
  <si>
    <t>Educación de la primera infancia</t>
  </si>
  <si>
    <t>Educación preescolar</t>
  </si>
  <si>
    <t>Educación básica primaria</t>
  </si>
  <si>
    <t>Educación básica secundaria</t>
  </si>
  <si>
    <t>Educación media académica</t>
  </si>
  <si>
    <t>Educación media técnica</t>
  </si>
  <si>
    <t>Banca Central</t>
  </si>
  <si>
    <t>Bancos comerciales</t>
  </si>
  <si>
    <t>Actividades de las corporaciones financieras</t>
  </si>
  <si>
    <t>Actividades de las compañías de financiamiento</t>
  </si>
  <si>
    <t>Banca de segundo piso</t>
  </si>
  <si>
    <t>Actividades de las cooperativas financieras</t>
  </si>
  <si>
    <t>Fideicomisos, fondos y entidades financieras similares</t>
  </si>
  <si>
    <t>Leasing financiero (arrendamiento financiero)</t>
  </si>
  <si>
    <t>Actividades de compra de cartera o factoring</t>
  </si>
  <si>
    <t>Otras actividades de distribución de fondos</t>
  </si>
  <si>
    <t>Instituciones especiales oficiales</t>
  </si>
  <si>
    <t>Seguros generales</t>
  </si>
  <si>
    <t>Seguros de vida</t>
  </si>
  <si>
    <t>Reaseguros</t>
  </si>
  <si>
    <t>Capitalización</t>
  </si>
  <si>
    <t>Servicios de seguros sociales de salud</t>
  </si>
  <si>
    <t>Actividades de administración de fondos</t>
  </si>
  <si>
    <t>Actividades de los profesionales de compra y venta de divisas</t>
  </si>
  <si>
    <t>Administración de mercados financieros (excepto actividades de las bolsas de valores)</t>
  </si>
  <si>
    <t>Tarifa x Mil</t>
  </si>
  <si>
    <t>Valor Total Contrato</t>
  </si>
  <si>
    <t>Nombre Interventor Contrato</t>
  </si>
  <si>
    <t>Cargo Interventor Contrato</t>
  </si>
  <si>
    <t>Verificar el Número  de Identificación</t>
  </si>
  <si>
    <t>PERSONA NATURAL</t>
  </si>
  <si>
    <t>Es Usted pensionado o ya adquirio los derechos para serlo.</t>
  </si>
  <si>
    <t>Correo Electrónico Reportado en el RUT</t>
  </si>
  <si>
    <t>Fecha Acta de Inicio</t>
  </si>
  <si>
    <t>Fecha terminación Contrato</t>
  </si>
  <si>
    <t>POR DEPENDIENTES</t>
  </si>
  <si>
    <t>Aporte a Pensiones Voluntarias</t>
  </si>
  <si>
    <t>Entidad</t>
  </si>
  <si>
    <t>Valor Mensual</t>
  </si>
  <si>
    <t>AÑO</t>
  </si>
  <si>
    <t>UVT</t>
  </si>
  <si>
    <t>DEPENDIENTES</t>
  </si>
  <si>
    <t>SALUD NO POS</t>
  </si>
  <si>
    <t>Indicar SI es o NO pensionado</t>
  </si>
  <si>
    <t>Municipio</t>
  </si>
  <si>
    <t>Valor Total del Contrato</t>
  </si>
  <si>
    <t>Entidad (AFC)</t>
  </si>
  <si>
    <t>NIT (AFC)</t>
  </si>
  <si>
    <t>Valor Mensual (AFC)</t>
  </si>
  <si>
    <t>Entidad (Pensiones Voluntarias)</t>
  </si>
  <si>
    <t>NIT (Pensiones Voluntarias)</t>
  </si>
  <si>
    <t>Valor Mensual (Pensiones Voluntarias)</t>
  </si>
  <si>
    <t>SISTEMA AUTOMÁTICO DE PAGOS</t>
  </si>
  <si>
    <t>Actividad económica RUT NO existe - por favor verificar</t>
  </si>
  <si>
    <t>Cesión</t>
  </si>
  <si>
    <t>Código Actividad ARL</t>
  </si>
  <si>
    <t>Cuenta de Ahorro y Fomento a la Construcción (AFC)</t>
  </si>
  <si>
    <t>CERTIFICACIÓN DE LOS DATOS</t>
  </si>
  <si>
    <t>C3</t>
  </si>
  <si>
    <t>C4</t>
  </si>
  <si>
    <t>FORMATO SED - CON ANEXOS</t>
  </si>
  <si>
    <t>Indique la Dirección tal y como aparece en el RUT</t>
  </si>
  <si>
    <t>Pregunta C3</t>
  </si>
  <si>
    <t>Pregunta C4</t>
  </si>
  <si>
    <t>OFICINA DE TESORERÍA Y CONTABILIDAD</t>
  </si>
  <si>
    <t>FECHA SOLICITUD</t>
  </si>
  <si>
    <t>DATOS DEL TERCERO</t>
  </si>
  <si>
    <t>NOMBRES Y APELLIDOS DEL TERCERO</t>
  </si>
  <si>
    <t xml:space="preserve">No CONTRATO </t>
  </si>
  <si>
    <t>AÑO CONTRATO</t>
  </si>
  <si>
    <t>DATOS DEL DEPENDIENTE</t>
  </si>
  <si>
    <t>NOMBRES Y APELLIDOS</t>
  </si>
  <si>
    <t>No DE IDENTIFICACIÓN</t>
  </si>
  <si>
    <t>EDAD</t>
  </si>
  <si>
    <t>PARENTESCO</t>
  </si>
  <si>
    <t>SELECCIONE EL MOTIVO DE LA SOLICITUD:</t>
  </si>
  <si>
    <t>Como soporte se anexa la siguiente documentación:</t>
  </si>
  <si>
    <t>POR PAGOS EFECTUADOS POR CONTRATOS DE SALUD NO POS</t>
  </si>
  <si>
    <t>NOMBRE DE LA ENTIDAD</t>
  </si>
  <si>
    <t>NIT ENTIDAD</t>
  </si>
  <si>
    <t>FECHA EXPEDICIÓN CERTIFICADO</t>
  </si>
  <si>
    <t>FECHA CORTE DEL CERTIFICADO</t>
  </si>
  <si>
    <t>POR PAGO DE CRÉDITOS HIPOTECARIOS</t>
  </si>
  <si>
    <t>CANTIDAD DE TITULARES DEL CRÉDITO</t>
  </si>
  <si>
    <t>Declaro que asumo íntegramente la responsabilidad por la veracidad de esta información, la cual puede ser comprobada por la entidad cuando lo considere.; por lo anterior cualquier falsedad en que se incurra podrá ser sancionada.</t>
  </si>
  <si>
    <t>No de Folios anexos</t>
  </si>
  <si>
    <t>Motivos</t>
  </si>
  <si>
    <t>Anexo</t>
  </si>
  <si>
    <t xml:space="preserve">1.   Los hijos del contribuyente que tengan hasta 18 años de edad y dependan económicamente del contribuyente. </t>
  </si>
  <si>
    <t>HIJO</t>
  </si>
  <si>
    <t>* - No se requiere.</t>
  </si>
  <si>
    <t xml:space="preserve">2.   Los hijos del contribuyente con edad entre 18 y 23 años, cuando el padre o madre contribuyente persona natural se encuentre financiando su educación en instituciones formales de educación superior certificadas por el ICFES o la autoridad oficial correspondiente; o en los programas técnicos de educación no formal debidamente acreditados por la autoridad competente. </t>
  </si>
  <si>
    <t xml:space="preserve">* -  No se requiere.
</t>
  </si>
  <si>
    <t xml:space="preserve">3.   Los hijos del contribuyente mayores de 23 años que se encuentren en situación de dependencia originada en factores físicos o psicológicos que sean certificados por Medicina Legal. </t>
  </si>
  <si>
    <t>* - Certificación emitida por Medicina Legal o por EPS.</t>
  </si>
  <si>
    <t>4.   El cónyuge o compañero permanente del contribuyente que se encuentre en situación de dependencia sea por ausencia de ingresos o ingresos en el año menores a doscientos sesenta (260) UVT, certificada por contador público, o por dependencia originada en factores físicos o psicológicos que sean certificados por Medicina Legal.</t>
  </si>
  <si>
    <t>CONYUGUE</t>
  </si>
  <si>
    <t>*.- Certificado de contador publico en la que conste la ausencia de ingreso o ingresos menores en el año a  260 UVT.
*.- En caso de dependencia por factores físicos o psicológicos: certificado emitido por Medicina Legal o por EPS.</t>
  </si>
  <si>
    <t>5.   Los padres y los hermanos del contribuyente que se encuentren en situación de dependencia, sea por ausencia de ingresos o ingresos en el año menores a doscientas sesenta (260) UVT, certificada por contador público, o por dependencia originada en factores físicos o psicológicos que sean certificados por Medicina Legal.</t>
  </si>
  <si>
    <t>COMPAÑERO PERMANENTE</t>
  </si>
  <si>
    <t>PADRE</t>
  </si>
  <si>
    <t>HERMANO</t>
  </si>
  <si>
    <t>* - Original o copia del registro civil de nacimiento.</t>
  </si>
  <si>
    <t>* - Certificado de constancia de estudios del año en curso emitida por la institución de educación superior o programas técnicos de educación no formal, el cual debe contener la siguiente información : Nombre e identificación del estudiante y Nombre y Nit de la Institución Educativa.
* - Original o copia del registro civil de nacimiento.</t>
  </si>
  <si>
    <t>* - Original o copia del registro civil de nacimiento.
* - Certificación emitida por Medicina Legal o por EPS.</t>
  </si>
  <si>
    <t>*.- Original o copia del registro civil de matrimonio.
*.- Para compañero permanente: Escritura publica de unión material de hecho o declaración de convivencia ante notario.
*.- Certificado de contador publico en la que conste la ausencia de ingreso o ingresos menores en el año a  260 UVT.
*.- En caso de dependencia por factores físicos o psicológicos: certificado emitido por Medicina Legal.</t>
  </si>
  <si>
    <t>*.- Para caso de los padres: Original o copia del registro civil del contratista.
*.- Para el caso de los hermanos: Original o copia de los registros civil de nacimiento del contratista y su hermano.
*.- Certificado de contador publico en la que conste la ausencia de ingreso o ingresos menores en el año a  260 UVT.
*.- En caso de dependencia por factores físicos o psicológicos: certificado emitido por Medicina Legal.</t>
  </si>
  <si>
    <t>VALOR</t>
  </si>
  <si>
    <t>Número CRP</t>
  </si>
  <si>
    <t>Fecha del CRP</t>
  </si>
  <si>
    <t>SECRETARÍA DE EDUCACIÓN DE BOGOTÁ</t>
  </si>
  <si>
    <t>IDENTIFICACIÓN</t>
  </si>
  <si>
    <t>DISMINUCIÓN DE LA BASE DE RETENCIÓN EN LA FUENTE</t>
  </si>
  <si>
    <t>Avenida Calle</t>
  </si>
  <si>
    <t>Avenida Carrera</t>
  </si>
  <si>
    <t xml:space="preserve">Circular </t>
  </si>
  <si>
    <t>Troncal</t>
  </si>
  <si>
    <t>Registro civil</t>
  </si>
  <si>
    <t>DATOS DEL CONTRATO</t>
  </si>
  <si>
    <t>Valor Pago Mensual según Contrato</t>
  </si>
  <si>
    <t>CRP 1</t>
  </si>
  <si>
    <t>FECHA CRP 1 aaaa/mm/dd</t>
  </si>
  <si>
    <t>CRP 2</t>
  </si>
  <si>
    <t>CRP 3</t>
  </si>
  <si>
    <t>FECHA CRP 2 aaaa/mm/dd</t>
  </si>
  <si>
    <t>FECHA CRP 3 aaaa/mm/dd</t>
  </si>
  <si>
    <t>VALOR MENSUAL</t>
  </si>
  <si>
    <t>RESPONSABLE IVA</t>
  </si>
  <si>
    <t>NO RESPONSABLE IVA</t>
  </si>
  <si>
    <t>CERTIFICACIÓN APLICACIÓN RETENCIÓN EN LA FUENTE ARTÍCULOS 383 Y 387 DEL ESTATUTO TRIBUTARIO</t>
  </si>
  <si>
    <t xml:space="preserve">Seguros de salud. </t>
  </si>
  <si>
    <t>6515</t>
  </si>
  <si>
    <t>Seguros de salud.</t>
  </si>
  <si>
    <t>Servicios de seguros sociales en riesgos familia.</t>
  </si>
  <si>
    <t>6523</t>
  </si>
  <si>
    <t>7111</t>
  </si>
  <si>
    <t>7112</t>
  </si>
  <si>
    <t xml:space="preserve">Actividades de arquitectura. </t>
  </si>
  <si>
    <t>Actividades de ingeniería y otras actividades conexas de consultoría técnica.</t>
  </si>
  <si>
    <t>Ac�vidades de guarderías para niños y niñas.</t>
  </si>
  <si>
    <t>Otras ac�vidades de asistencia socialsin alojamiento n.c.p.</t>
  </si>
  <si>
    <t>8891</t>
  </si>
  <si>
    <t>8899</t>
  </si>
  <si>
    <t>Actividad Económica RIT</t>
  </si>
  <si>
    <t>Seguros de salud</t>
  </si>
  <si>
    <t>Servicios de seguros sociales en riesgos laborales</t>
  </si>
  <si>
    <t>Servicios de seguros sociales en riesgos familia</t>
  </si>
  <si>
    <t>Régimen de ahorro con solidaridad (RAIS)</t>
  </si>
  <si>
    <t>Actividades de agencias de gestión y colocación de empleo</t>
  </si>
  <si>
    <t>Actividades de empresas de servicios temporales</t>
  </si>
  <si>
    <t>Otras actividades de provisión de talento humano</t>
  </si>
  <si>
    <t>Formación para el trabajo</t>
  </si>
  <si>
    <t>Actividades de guarderías para niños y niñas</t>
  </si>
  <si>
    <t>Otras actividades de asistencia social n.c.p</t>
  </si>
  <si>
    <t>Distribución de combustibles gaseosos por tuberías</t>
  </si>
  <si>
    <t>Comercio al por mayor de artículos de ferretería, pinturas, productos de vidrio, equipo y materiales de fontanería y calefacción</t>
  </si>
  <si>
    <t>Comercio al por menor en establecimientos no especializados con surtido compuesto principalmente por licores y cigarrillos</t>
  </si>
  <si>
    <t>Comercio al por menor de cigarrillos y licores; venta de combustibles derivados del petróleo y venta de joyas realizado a través de casas de venta o por correo</t>
  </si>
  <si>
    <t>Comercio al por menor de demás productos n.c.p. realizado a través de casas de venta o por correo</t>
  </si>
  <si>
    <t>Actividades de arquitectura</t>
  </si>
  <si>
    <t>Actividades de arquitectura en ejercicio de una profesión liberal</t>
  </si>
  <si>
    <t>Actividades de ingeniería y otras actividades conexas de consultoría técnica</t>
  </si>
  <si>
    <t>Investigaciones y desarrollo experimental en el campo de las ciencias naturales y la ingeniería en el ejercicio de una profesión liberal</t>
  </si>
  <si>
    <t>Investigaciones y desarrollo experimental en el campo de las ciencias sociales y las humanidades como consultoría profesional</t>
  </si>
  <si>
    <t>Actividades de los órganos de control y otras instituciones.</t>
  </si>
  <si>
    <t>Otras actividades de espectáculos en vivo n.c.p</t>
  </si>
  <si>
    <t>Valor del Contrato sin IVA</t>
  </si>
  <si>
    <t xml:space="preserve">Valor del IVA del Contrato </t>
  </si>
  <si>
    <t>VALOR TOTAL PAGADO</t>
  </si>
  <si>
    <t>MAXIMO ley</t>
  </si>
  <si>
    <t>autorizado</t>
  </si>
  <si>
    <t>max. Aplicar</t>
  </si>
  <si>
    <t>INTERESES</t>
  </si>
  <si>
    <t>FECHA EN LA QUE SE DILIGENCIA EL FORMATO:</t>
  </si>
  <si>
    <t>AÑO FISCAL PARA EL QUE APLICARA EL BENEFICIO :</t>
  </si>
  <si>
    <t>CERTIFICADOS EXPEDIDOS CON CORTE AL 31 DE DICIEMBRE DE:</t>
  </si>
  <si>
    <t>RECUERDE QUE ESTAS CERTIFICACIONES ESTARAN VIGENTES HASTA EL 14 DE ABRIL DE:</t>
  </si>
  <si>
    <t>UNA VEZ CUMPLIDA ESA FECHA NO TENDRAN NINGUN EFECTO EN LA RETENCIÓN EN LA FUENTE</t>
  </si>
  <si>
    <t>FAVOR RESPONDA LAS SIGUIENTES PREGUNTAS:</t>
  </si>
  <si>
    <t>VALIDADOR</t>
  </si>
  <si>
    <t>LETRAS</t>
  </si>
  <si>
    <t>NUMERO</t>
  </si>
  <si>
    <t>No.</t>
  </si>
  <si>
    <t>Val.</t>
  </si>
  <si>
    <t>Descripción</t>
  </si>
  <si>
    <t>Formula</t>
  </si>
  <si>
    <t>5.1</t>
  </si>
  <si>
    <t>PERSONA JURÍDICA</t>
  </si>
  <si>
    <t>NOMENCLATURA</t>
  </si>
  <si>
    <t>CV</t>
  </si>
  <si>
    <t>TC</t>
  </si>
  <si>
    <t>VT</t>
  </si>
  <si>
    <t>CUADRANTE</t>
  </si>
  <si>
    <t>BIS A</t>
  </si>
  <si>
    <t>PAIS</t>
  </si>
  <si>
    <t>SanAndres</t>
  </si>
  <si>
    <t>Cod busqueda</t>
  </si>
  <si>
    <t>Banco de Occidente</t>
  </si>
  <si>
    <t>Banco Mibanco S.A.</t>
  </si>
  <si>
    <t>BANCOLOMBIA PANAMÁ</t>
  </si>
  <si>
    <t>Iris CF Compañía de Financiamiento S. A.</t>
  </si>
  <si>
    <t>Banco Davivienda S.A.</t>
  </si>
  <si>
    <t>SIN CUENTA - EFECTIVO</t>
  </si>
  <si>
    <t>CJA</t>
  </si>
  <si>
    <t>PIBANK</t>
  </si>
  <si>
    <t>Banco Santander de Negocios Colombia S.A.</t>
  </si>
  <si>
    <t>Banco W S.A</t>
  </si>
  <si>
    <t>Citibank NA</t>
  </si>
  <si>
    <t>BANCO UNIÓN</t>
  </si>
  <si>
    <t>JFK COOPERATIVA FINANCIERA</t>
  </si>
  <si>
    <t>Itaú Corpbanca Colombia S.A</t>
  </si>
  <si>
    <t>BAN100 S. A.</t>
  </si>
  <si>
    <t>Bancolombia SA</t>
  </si>
  <si>
    <t>Banco Cooperativo Coopcentral</t>
  </si>
  <si>
    <t>Financiera Juriscoop S.A. Compañía Financiamiento</t>
  </si>
  <si>
    <t>Deutsche Bank Trust Company Americas</t>
  </si>
  <si>
    <t>BANCO DUMMY MULTAS SED</t>
  </si>
  <si>
    <t>Banco de Bogotá</t>
  </si>
  <si>
    <t>Citibank</t>
  </si>
  <si>
    <t>Banco AV Villas</t>
  </si>
  <si>
    <t>BANCO GENERAL TRANSITORIAS TRM</t>
  </si>
  <si>
    <t>Banco de las Microfinanzas - Bancamia</t>
  </si>
  <si>
    <t>Banco Pichincha</t>
  </si>
  <si>
    <t>Confiar Cooperativa Financiera</t>
  </si>
  <si>
    <t>Standard Chartered Bank</t>
  </si>
  <si>
    <t>BANCO BILBAO VIZCAYA ARGENTARIA S.A. (ESPAÑA)</t>
  </si>
  <si>
    <t>Banco GNB Sudameris</t>
  </si>
  <si>
    <t>DAVIVIENDA INTERNATIONAL</t>
  </si>
  <si>
    <t>Bancoldex</t>
  </si>
  <si>
    <t>Banco Finandina S.A</t>
  </si>
  <si>
    <t>Banco Falabella S.A</t>
  </si>
  <si>
    <t>Coltefinanciera S.A</t>
  </si>
  <si>
    <t>Cootrafa Cooperativa Financiera</t>
  </si>
  <si>
    <t>Banco Davivienda S.A -DAVIPLATA</t>
  </si>
  <si>
    <t>Bank of America N.A</t>
  </si>
  <si>
    <t>CAPITAL ONE BANK</t>
  </si>
  <si>
    <t>BANCOLOMBIA PANAMA MONEY MARKET</t>
  </si>
  <si>
    <t>DALE</t>
  </si>
  <si>
    <t>DUMMY SSF</t>
  </si>
  <si>
    <t>BANQUE DE FRANCE</t>
  </si>
  <si>
    <t>AGRUPACIÓN</t>
  </si>
  <si>
    <t>CÓDIGO</t>
  </si>
  <si>
    <t>D E S C R I P C I Ó N</t>
  </si>
  <si>
    <t>Extracción de minerales para la fabricación de abonos y productos químicos</t>
  </si>
  <si>
    <t>Actividades de apoyo para otras actividades de explotación de minas y canteras</t>
  </si>
  <si>
    <t>Procesamiento y conservación de pescados, crustáceos y moluscos</t>
  </si>
  <si>
    <t>Elaboración de macarrones, fideos, alcuzcuz y productos farináceos similares</t>
  </si>
  <si>
    <t>Destilación, rectificación y mezcla de bebidas alcohólicas</t>
  </si>
  <si>
    <t>Elaboración de bebidas no alcohólicas, producción de aguas minerales y de otras aguas embotelladas</t>
  </si>
  <si>
    <t>Fabricación de cuerdas, cordeles, cables, bramantes y redes</t>
  </si>
  <si>
    <t>Confección de prendas de vestir, excepto prendas de piel</t>
  </si>
  <si>
    <t>Fabricación de artículos de viaje, bolsos de mano y artículos similares; artículos de talabartería y guarnicionería elaborados en otros materiales</t>
  </si>
  <si>
    <t>Fabricación de otros tipos de calzado, excepto calzado de cuero y piel</t>
  </si>
  <si>
    <t>Fabricación de hojas de madera para enchapado; fabricación de tableros contrachapados, tableros laminados, tableros de partículas y otros tableros y paneles</t>
  </si>
  <si>
    <t>Fabricación de partes y piezas de madera, de carpintería y ebanistería para la construcción y para edificios</t>
  </si>
  <si>
    <t>Fabricación de otros productos de madera; fabricación de artículos de corcho, cestería y espartería</t>
  </si>
  <si>
    <t>Producción de copias a partir de grabaciones originales</t>
  </si>
  <si>
    <t xml:space="preserve">Fabricación de productos de la refinación del petróleo </t>
  </si>
  <si>
    <t>Fabricación de abonos y compuestos inorgánicos nitrogenados</t>
  </si>
  <si>
    <t>Fabricación de pinturas, barnices y revestimientos similares, tintas para impresión y masillas</t>
  </si>
  <si>
    <t>Fabricación de jabones y detergentes, preparados para limpiar y pulir; perfumes y preparados de tocador</t>
  </si>
  <si>
    <t>Fabricación de otros productos de cerámica y porcelana</t>
  </si>
  <si>
    <t>Fabricación de cemento, cal  y yeso</t>
  </si>
  <si>
    <t>Fabricación de tanques, depósitos y recipientes de metal, excepto los utilizados para el envase o transporte de mercancías</t>
  </si>
  <si>
    <t>Tratamiento y revestimiento
de metales; mecanizado</t>
  </si>
  <si>
    <t>Fabricación de componentes y tableros electrónicos</t>
  </si>
  <si>
    <t xml:space="preserve">Fabricación de equipo de medición, prueba, navegación y control </t>
  </si>
  <si>
    <t>Fabricación de equipo de irradiación y equipo electrónico de uso médico y terapéutico</t>
  </si>
  <si>
    <t xml:space="preserve">Fabricación de instrumentos ópticos y equipo fotográfico </t>
  </si>
  <si>
    <t>Fabricación de hilos y cables eléctricos y de fibra óptica</t>
  </si>
  <si>
    <t>Fabricación de aparatos de uso doméstico</t>
  </si>
  <si>
    <t>Fabricación de motores, turbinas, y partes para motores de combustión interna</t>
  </si>
  <si>
    <t>Fabricación de otras bombas, compresores, grifos y válvulas</t>
  </si>
  <si>
    <t>Fabricación de cojinetes, engranajes, trenes de engranajes y piezas de transmisión</t>
  </si>
  <si>
    <t>Fabricación de maquinaria y equipo de oficina (excepto computadoras y equipo periférico)</t>
  </si>
  <si>
    <t>Fabricación de maquinaria para explotación de minas y canteras y para obras de construcción</t>
  </si>
  <si>
    <t>Fabricación de maquinaria para la elaboración de productos textiles, prendas de vestir y cueros</t>
  </si>
  <si>
    <t>Fabricación de partes, piezas (autopartes) y accesorios (lujos) para vehículos automotores</t>
  </si>
  <si>
    <t>Construcción de embarcaciones de recreo y deporte</t>
  </si>
  <si>
    <t xml:space="preserve">Fabricación de locomotoras y de material rodante para ferrocarriles </t>
  </si>
  <si>
    <t>Fabricación de artículos y
equipo para la práctica del
deporte (excepto prendas
de vestir y calzado)</t>
  </si>
  <si>
    <t>Fabricación de juegos,
juguetes y rompecabezas</t>
  </si>
  <si>
    <t>Fabricación de
instrumentos, aparatos y
materiales médicos y
odontológicos (incluido
mobiliario)</t>
  </si>
  <si>
    <t>Mantenimiento y reparación especializado de productos elaborados en metal</t>
  </si>
  <si>
    <t>Mantenimiento y reparación especializado de maquinaria y equipo</t>
  </si>
  <si>
    <t>Mantenimiento y reparación especializado de equipo eléctrico</t>
  </si>
  <si>
    <t>Mantenimiento y reparación especializado de equipo de transporte, excepto los vehículos automotores, motocicletas y bicicletas</t>
  </si>
  <si>
    <t>Instalación especializada de maquinaria y equipo industrial</t>
  </si>
  <si>
    <t xml:space="preserve">Evacuación y tratamiento de aguas residuales </t>
  </si>
  <si>
    <t>Instalaciones de fontanería, calefacción y aire acondicionado de la construcción</t>
  </si>
  <si>
    <t>Terminación y acabado de edificios y obras de ingeniería civil</t>
  </si>
  <si>
    <t>Otras actividades especializadas para la construcción de edificios y obras de ingeniería civil</t>
  </si>
  <si>
    <t>Comercio de partes, piezas (autopartes) y accesorios (lujos) para vehículos automotores</t>
  </si>
  <si>
    <t>Mantenimiento y reparación de motocicletas y de sus partes y piezas</t>
  </si>
  <si>
    <t xml:space="preserve">Comercio al por mayor de productos textiles y productos confeccionados para uso doméstico </t>
  </si>
  <si>
    <t>Comercio al por mayor de aparatos y equipo de uso doméstico</t>
  </si>
  <si>
    <t>Comercio al por mayor de metales y productos metalíferos</t>
  </si>
  <si>
    <t>Comercio al por mayor de productos químicos básicos, cauchos y plásticos en formas primarias y productos químicos de uso agropecuario</t>
  </si>
  <si>
    <t>Comercio al por menor de productos agrícolas para el consumo en establecimientos especializados</t>
  </si>
  <si>
    <t>Comercio al por menor de carnes (incluye aves de corral), productos cárnicos, pescados y productos de mar, en establecimientos especializados</t>
  </si>
  <si>
    <t>Comercio al por menor de combustible para automotores</t>
  </si>
  <si>
    <t>Comercio al por menor de lubricantes (aceites, grasas), aditivos y productos de limpieza para vehículos automotores</t>
  </si>
  <si>
    <t>Comercio al por menor de computadores, equipos periféricos, programas de informática y equipos de telecomunicaciones en establecimientos especializados</t>
  </si>
  <si>
    <t>Comercio al por menor de tapices, alfombras y recubrimientos para paredes y pisos en establecimientos especializados</t>
  </si>
  <si>
    <t>Comercio al por menor de electrodomésticos y gasodomésticos de uso doméstico, muebles y equipos de iluminación en establecimientos especializados</t>
  </si>
  <si>
    <t>Comercio al por menor de artículos y utensilios de uso doméstico en establecimientos especializados</t>
  </si>
  <si>
    <t>Comercio al por menor de artículos deportivos, en establecimientos especializados</t>
  </si>
  <si>
    <t>Comercio al por menor de otros artículos culturales y de entretenimiento n.c.p. en establecimientos especializados</t>
  </si>
  <si>
    <t>Comercio al por menor de otros productos nuevos en establecimientos especializados</t>
  </si>
  <si>
    <t>Transporte de carga
marítimo y de cabotaje</t>
  </si>
  <si>
    <t>Actividades de estaciones, vías y servicios complementarios para el transporte terrestre</t>
  </si>
  <si>
    <t>Actividades de puertos y servicios complementarios para el transporte acuático</t>
  </si>
  <si>
    <t>Actividades de aeropuertos, servicios de navegación aérea y demás actividades conexas al transporte aéreo</t>
  </si>
  <si>
    <t>Alojamiento en aparta-hoteles</t>
  </si>
  <si>
    <t>Servicio por horas  de alojamiento</t>
  </si>
  <si>
    <t>Actividades de producción de películas cinematográficas, videos, programas, anuncios y comerciales de televisión (excepto programación de televisión)</t>
  </si>
  <si>
    <t>Actividades de postproducción de películas cinematográficas, videos, programas, anuncios y comerciales de televisión (excepto programación de televisión)</t>
  </si>
  <si>
    <t>Actividades de distribución de películas cinematográficas, videos, programas, anuncios y comerciales de televisión</t>
  </si>
  <si>
    <t>Actividades de programación y transmisión en el servicio de radiodifusión sonora</t>
  </si>
  <si>
    <t>Actividades de desarrollo de sistemas informáticos (planificación, análisis, diseño, programación, pruebas)</t>
  </si>
  <si>
    <t>Actividades de consultoría informática y actividades de administración de instalaciones informáticas</t>
  </si>
  <si>
    <t>Actividades financieras de fondos de empleados y otras formas asociativas del sector solidario</t>
  </si>
  <si>
    <t>Actividades de las sociedades de intermediación cambiaria y de servicios financieros especiales</t>
  </si>
  <si>
    <t>Actividades inmobiliarias realizadas con bienes propios o arrendados</t>
  </si>
  <si>
    <t>Actividades inmobiliarias realizadas a cambio de una retribución o por contrata</t>
  </si>
  <si>
    <t>Alquiler y arrendamiento de equipo recreativo y deportivo</t>
  </si>
  <si>
    <t>Arrendamiento de propiedad intelectual y productos similares, excepto obras protegidas por derechos de autor</t>
  </si>
  <si>
    <t>Organización de convenciones y eventos comerciales</t>
  </si>
  <si>
    <t>Establecimientos que combinan diferentes niveles de educación inicial, preescolar, básica primaria, básica secundaria y media</t>
  </si>
  <si>
    <t>Educación académica no formal (excepto programas de educación básica primaria, básica secundaria y media no gradual con fines de validación)</t>
  </si>
  <si>
    <t>Educación académica no formal impartida mediante programas de educación básica primaria, básica secundaria y media no gradual con fines de validación</t>
  </si>
  <si>
    <t>Actividades de atención residencial, para el cuidado de pacientes con retardo mental, enfermedad mental y consumo de sustancias psicoactivas</t>
  </si>
  <si>
    <t>Mantenimiento y reparación de computadores y de equipo periférico</t>
  </si>
  <si>
    <t>Mantenimiento y reparación de aparatos electrónicos de consumo</t>
  </si>
  <si>
    <t>Mantenimiento y reparación de otros efectos personales y enseres domésticos</t>
  </si>
  <si>
    <t>Lavado y limpieza, incluso la limpieza en seco, de productos textiles y de piel</t>
  </si>
  <si>
    <t>Procesamiento y conservación de frutas, legumbres, hortalizas y tubérculos (excepto elaboración de jugos de frutas)</t>
  </si>
  <si>
    <t>Fabricación de prendas de vestir de punto y ganchillo</t>
  </si>
  <si>
    <t>Fabricación de artículos de punto y ganchillo (excepto prendas de vestir)</t>
  </si>
  <si>
    <t xml:space="preserve">Distribución de agua </t>
  </si>
  <si>
    <t>Actividades de saneamiento ambiental y otros servicios de gestión de desechos (excepto los servicios prestados por contratistas de construcción, constructores y urbanizadores)</t>
  </si>
  <si>
    <t>Actividades de saneamiento ambiental y otros  de gestión de desechos prestados por contratistas de construcción, constructores y urbanizadores</t>
  </si>
  <si>
    <t>Comercio al por mayor de materias primas agrícolas en bruto (alimentos)</t>
  </si>
  <si>
    <t>Comercio al por mayor de materias primas pecuarias y animales vivos</t>
  </si>
  <si>
    <t>Comercio al por mayor de otros utensilios domésticos n.c.p. (excepto joyas)</t>
  </si>
  <si>
    <t>Comercio al por mayor de combustibles sólidos, líquidos, gaseosos y productos conexos (excepto combustibles derivados del petróleo)</t>
  </si>
  <si>
    <t>Comercio al por mayor de combustibles derivados del petróleo</t>
  </si>
  <si>
    <t>Comercio al por menor en establecimientos no especializados con surtido compuesto principalmente por alimentos, bebidas no alcohólicas o tabaco (excepto cigarrillos)</t>
  </si>
  <si>
    <t xml:space="preserve">Comercio al por menor en establecimientos no especializados, con surtido compuesto principalmente por productos de bebidas alcohólicas y cigarrillos </t>
  </si>
  <si>
    <t>Comercio al por menor en establecimientos no especializados, con surtido compuesto principalmente por drogas, medicamentos, textos escolares, libros y cuadernos.</t>
  </si>
  <si>
    <t>Comercio al por menor de bebidas y productos del tabaco, en establecimientos especializados (excepto licores y cigarrillos)</t>
  </si>
  <si>
    <t>Comercio al por menor de artículos de ferretería, pinturas y productos de vidrio en establecimientos especializados (excepto materiales de construcción)</t>
  </si>
  <si>
    <t xml:space="preserve">Comercio al por menor y al por mayor de libros, textos escolares y cuadernos </t>
  </si>
  <si>
    <t>Comercio al por menor de periódicos, materiales y artículos de papelería y escritorio, en establecimientos especializados (excepto libros, textos escolares y cuadernos)</t>
  </si>
  <si>
    <t>Comercio al por menor de productos farmacéuticos y medicinales en establecimientos especializados</t>
  </si>
  <si>
    <t>Comercio al por menor de productos cosméticos y artículos de tocador en establecimientos especializados (excepto productos farmacéuticos y medicinales)</t>
  </si>
  <si>
    <t>Comercio al por menor de bebidas y tabaco en puestos de venta móviles (excepto licores y cigarrillos)</t>
  </si>
  <si>
    <t>Comercio al por menor de alimentos y productos agrícolas en bruto; venta de textos escolares y libros (incluye cuadernos escolares); venta de drogas y medicamentos realizado a través de internet</t>
  </si>
  <si>
    <t>Comercio al por menor y al por mayor de madera y materiales para construcción; venta de automotores (incluidas motocicletas) realizado a través de internet</t>
  </si>
  <si>
    <t>Comercio al por menor de cigarrillos y licores; venta de combustibles derivados del petróleo y venta de joyas realizado a través de internet</t>
  </si>
  <si>
    <t>Comercio al por menor de demás productos n.c.p. realizado a través de internet</t>
  </si>
  <si>
    <t>Comercio al por menor de alimentos y productos agrícolas en bruto; venta de textos escolares y libros (incluye cuadernos escolares); venta de drogas y medicamentos realizado a través de casas de venta o por correo</t>
  </si>
  <si>
    <t>Comercio al por menor y al por mayor de madera y materiales para construcción; venta de automotores (incluidas motocicletas) realizado a través de casas de venta o por correo</t>
  </si>
  <si>
    <t>Otros tipos de comercio al por menor no realizado en establecimientos, puestos de venta o mercados de textos escolares y libros (incluye cuadernos escolares); venta de drogas y medicamentos</t>
  </si>
  <si>
    <t>Otros tipos de comercio al por menor no realizado en establecimientos, puestos de venta o mercados de materiales para construcción; venta de automotores (incluidas motocicletas)</t>
  </si>
  <si>
    <t>Otros tipos de comercio al por menor no realizado en establecimientos, puestos de venta o mercados de cigarrillos y licores; venta de combustibles derivados del petróleo y venta de joyas</t>
  </si>
  <si>
    <t>Otros tipos de comercio al por menor no realizado en establecimientos, puestos de venta o mercados de demás productos n.c.p.</t>
  </si>
  <si>
    <t>Edición y publicación de libros (Tarifa especial para los contribuyentes que cumplen condiciones del Acuerdo 98 de 2003)</t>
  </si>
  <si>
    <t>Actividades de contabilidad, teneduría de libros, auditoría financiera y asesoría tributaria como consultoría profesional</t>
  </si>
  <si>
    <t>Actividades de contabilidad, teneduría de libros, auditoría financiera y asesoría tributaria en el ejercicio de una profesión liberal</t>
  </si>
  <si>
    <t>Actividades de gestión en el ejercicio de una profesión liberal</t>
  </si>
  <si>
    <t>Actividades de ingeniería y otras actividades conexas de consultoría técnica en ejercicio de una profesión liberal</t>
  </si>
  <si>
    <t>Ensayos y análisis técnicos como consultoría profesional en el ejercicio de una profesión liberal</t>
  </si>
  <si>
    <t>Investigaciones y desarrollo experimental en el campo de las ciencias naturales y la ingeniería como consultoría profesional</t>
  </si>
  <si>
    <t>Investigaciones y desarrollo experimental en el campo de las ciencias sociales y las humanidades en el ejercicio de una profesión liberal</t>
  </si>
  <si>
    <t>Estudios de mercado y realización de encuestas de opinión pública como consultoría profesional</t>
  </si>
  <si>
    <t>Otras actividades profesionales, científicas y técnicas n.c.p. en el ejercicio de una profesión liberal</t>
  </si>
  <si>
    <t>Actividades de la práctica médica, sin internación (excepto actividades de promoción y prevención que realicen las entidades e instituciones promotoras y prestadoras de servicios de salud de naturaleza pública o privada, con recursos que provengan del Sistema General de Seguridad Social en Salud.)</t>
  </si>
  <si>
    <t>Actividades de la práctica odontológica, sin internación (excepto actividades de promoción y prevención que realicen las entidades e instituciones promotoras y prestadoras de servicios de salud de naturaleza pública o privada, con recursos que provengan del Sistema General de Seguridad Social en Salud.)</t>
  </si>
  <si>
    <t>Actividades de apoyo diagnóstico (excepto actividades de promoción y prevención que realicen las entidades e instituciones promotoras y prestadoras de servicios de salud de naturaleza pública o privada, con recursos que provengan del Sistema General de Seguridad Social en Salud.)</t>
  </si>
  <si>
    <t>Actividades de apoyo terapéutico (excepto actividades de promoción y prevención que realicen las entidades e instituciones promotoras y prestadoras de servicios de salud de naturaleza pública o privada, con recursos que provengan del Sistema General de Seguridad Social en Salud.)</t>
  </si>
  <si>
    <t>Otras actividades de atención de la salud humana (excepto actividades de promoción y prevención que realicen las entidades e instituciones promotoras y prestadoras de servicios de salud de naturaleza pública o privada, con recursos que provengan del Sistema General de Seguridad Social en Salud.)</t>
  </si>
  <si>
    <t>Actividades de atención residencial medicalizada de tipo general (excepto actividades de promoción y prevención que realicen las entidades e instituciones promotoras y prestadoras de servicios de salud de naturaleza pública o privada, con recursos que provengan del Sistema General de Seguridad Social en Salud.)</t>
  </si>
  <si>
    <t>Otras actividades recreativas y de esparcimiento n.c.p. (excepto juegos de suerte y azar, discotecas y similares )</t>
  </si>
  <si>
    <t>Servicio de pedido, compra, distribución y entrega de productos a través de plataformas o aplicaciones de contacto y que utilizan una red de domiciliarios</t>
  </si>
  <si>
    <t>AÑO 2024</t>
  </si>
  <si>
    <t>Propagación de plantas (actividades de los viveros, excepto viveros
forestales)</t>
  </si>
  <si>
    <t>Regulación de las actividades de organismos que prestan servicios de salud, educativos, culturales y otros servicios sociales, excepto servicios de seguridad social</t>
  </si>
  <si>
    <t>DESCRIPCIÓN</t>
  </si>
  <si>
    <t>SIGLA</t>
  </si>
  <si>
    <t>Actividad economica RIT NO existe - por favor verificar</t>
  </si>
  <si>
    <t>VALOR DE CONTRATO</t>
  </si>
  <si>
    <t>DIAS</t>
  </si>
  <si>
    <t>Despacho Del Secretario</t>
  </si>
  <si>
    <t>Oficina Asesora de Planeación</t>
  </si>
  <si>
    <t>Oficina de Control Interno</t>
  </si>
  <si>
    <t>Oficina Asesora JurIdica</t>
  </si>
  <si>
    <t>Oficina de Control Disciplinario de Instrucción</t>
  </si>
  <si>
    <t>Oficina de Control Disciplinario de Juzgamiento</t>
  </si>
  <si>
    <t>Oficina Asesora de Comunicación y Prensa</t>
  </si>
  <si>
    <t>Oficina de TecnologÍas de la Información y las Comunicaciones</t>
  </si>
  <si>
    <t>Oficina para la Convivencia Escolar</t>
  </si>
  <si>
    <t>Subsecretaría De Integración Interinstitucional</t>
  </si>
  <si>
    <t>Dirección General de Educación y Colegios Distritales (DILES)</t>
  </si>
  <si>
    <t>Dirección de Participación y Relaciones Interinstitucionales</t>
  </si>
  <si>
    <t>Dirección de Relaciones con el Sector Educativo Privado</t>
  </si>
  <si>
    <t>Dirección de Inspección y Vigilancia</t>
  </si>
  <si>
    <t>Dir. de Relac con los Sect de Educa Superior y Educa para el Trabajo</t>
  </si>
  <si>
    <t>DIRECCIONES LOCALES DE EDUCACION</t>
  </si>
  <si>
    <t>Subsecretaría De Calidad Y Pertinencia</t>
  </si>
  <si>
    <t>Dirección de Educación Preescolar y Básica</t>
  </si>
  <si>
    <t>Dirección de Educación Media</t>
  </si>
  <si>
    <t>Dirección de Ciencias, TecnologIas y Medios Educativos</t>
  </si>
  <si>
    <t>Dirección de Inclusión e Integración de Poblaciones</t>
  </si>
  <si>
    <t>Dirección de Formación de Docentes e Innovaciones Pedagógicas</t>
  </si>
  <si>
    <t>Dirección de Evaluación de la Educación</t>
  </si>
  <si>
    <t>Subsecretaría De Acceso y Permanencia</t>
  </si>
  <si>
    <t>Dirección de Cobertura</t>
  </si>
  <si>
    <t>Dirección de Bienestar Estudiantil</t>
  </si>
  <si>
    <t>Dirección de Construcción y Conservación de Establecimientos Educativos</t>
  </si>
  <si>
    <t>Dirección de Dotaciones Escolares</t>
  </si>
  <si>
    <t>Subsecretaría De Gestión Institucional</t>
  </si>
  <si>
    <t>Dirección de Talento Humano</t>
  </si>
  <si>
    <t xml:space="preserve">Oficina de Personal </t>
  </si>
  <si>
    <t>Grupo De Certificaciones Laborales</t>
  </si>
  <si>
    <t>Oficina de Escalafón Docente</t>
  </si>
  <si>
    <t>Oficina de Nómina</t>
  </si>
  <si>
    <t>Dirección de Contratación</t>
  </si>
  <si>
    <t>Oficina de Apoyo Precontractual</t>
  </si>
  <si>
    <t>Oficina de Contratos</t>
  </si>
  <si>
    <t>Dirección de Servicios Administrativos</t>
  </si>
  <si>
    <t>Archivo SED</t>
  </si>
  <si>
    <t>Oficina de Servicio al Ciudadano</t>
  </si>
  <si>
    <t>Dirección Financiera</t>
  </si>
  <si>
    <t>Oficina de Presupuesto</t>
  </si>
  <si>
    <t>condigo completo</t>
  </si>
  <si>
    <t>Comercio al por mayor de materias primas agropecuarias; animales vivos incluye comercio al por mayor de materias primas agropecuarias; animales vivos y sus productos pieles en bruto, cueros, materiales, desperdicios, residuos y subproductos agropecuarios que se utilizan para producir alimentos para animales.</t>
  </si>
  <si>
    <t>Comercio al por mayor de calzado de cualquier material y para todo uso y partes para calzado.</t>
  </si>
  <si>
    <t>Comercio al por mayor de otros productos n.c.p., incluye el comercio al por mayor de fibras textiles, papel a granel y piedras preciosas, suministros de embalaje.</t>
  </si>
  <si>
    <t>Otras actividades de servicio financiero, excepto las de seguros y pensiones n.c.p., incluye las actividades de las sociedades de cartera.</t>
  </si>
  <si>
    <t>Alquiler de videos y discos, incluye el alquiler de videos, discos, grabaciones, CD, DVD, Blue Ray y similares.</t>
  </si>
  <si>
    <t>Otras actividades de servicios personales n.c.p., incluye baños turcos, sauna y baños de vapor.</t>
  </si>
  <si>
    <t>Cultivo de tabaco incluye cultivo de tabaco en bruto</t>
  </si>
  <si>
    <t>Cultivo de palma para aceite (palma africana) y otros frutos oleaginosos, esta clase incluye el cultivo de palma para aceite (palma africana).</t>
  </si>
  <si>
    <t>Cultivo de palma para aceite (palma africana) y otros frutos oleaginosos esta clase incluye el cultivo de frutos oleaginosos, como: cocos, olivas (aceitunas), entre otros.</t>
  </si>
  <si>
    <t>Acabado de productos textiles, incluye el proceso de blanqueo, teñido de hilados y/o prendas de vestir, plisado de textiles y operaciones similares, artesanal.</t>
  </si>
  <si>
    <t>Comercio al por mayor de materias primas agropecuarias; animales vivos, incluye el comercio al por mayor de semillas y forrajes.</t>
  </si>
  <si>
    <t>Comercio al por mayor de otros productos n.c.p., incluye la venta al por mayor de extintores de incendio.</t>
  </si>
  <si>
    <t>Alquiler y arrendamiento de otros tipos de maquinaria, equipo y bienes tangibles n.c.p., incluye alquiler de contenedores para alojamiento y oficinas, entre otros, muebles para oficina.</t>
  </si>
  <si>
    <t>Otras actividades de limpieza de edificios e instalaciones industriales, incluye limpieza interior de buses, aviones, trenes, entre otros.</t>
  </si>
  <si>
    <t>Actividades de clubes deportivos, incluye clubes deportivos de bolos, billares, salones de patinaje, juegos de mesa como ajedrez.</t>
  </si>
  <si>
    <t>Otros tipos de alojamientos para visitantes, incluye los servicios de alojamiento en refugios de montaña.</t>
  </si>
  <si>
    <t>Otros tipos de alojamiento n.c.p., se incluyen los servicios de coche cama y/o comedores a bordo cuando son prestados por unidades separadas de las que suministran el servicio de transporte.</t>
  </si>
  <si>
    <t>Actividades de clubes deportivos, incluye los clubes sociales y deportivos</t>
  </si>
  <si>
    <t>Transporte de pasajeros, incluye el transporte terrestre de pasajeros por sistemas de transporte urbano y suburbano, que abarca transporte individual (taxis)</t>
  </si>
  <si>
    <t>Actividades de seguridad privada, incluye servicios de guardias de seguridad.</t>
  </si>
  <si>
    <t>Otras actividades de servicios personales n.c.p., incluye empresas dedicadas a los trabajos y/o servicios de buceo.</t>
  </si>
  <si>
    <t>Codigo ARL</t>
  </si>
  <si>
    <t>Fecha Acta de Inicio ( aaaa/mm/dd)</t>
  </si>
  <si>
    <t>Fecha terminación Contrato ( aaaa/mm/dd)</t>
  </si>
  <si>
    <t>CODIFICACIÓN</t>
  </si>
  <si>
    <t>RESPONSABLE DE IVA =S</t>
  </si>
  <si>
    <t>NO RESPONSABLE DE IVA=C</t>
  </si>
  <si>
    <t>se llena las dos primeras preguntas de manera incongruente llenando todas las opciones</t>
  </si>
  <si>
    <t>se marco que SI las dos primeras preguntas</t>
  </si>
  <si>
    <t>si hay 2 X´s se llena de manera erronea</t>
  </si>
  <si>
    <t>SI SE LLENA LAS DOS OPCIONES DE PREGUNTA 3 HAY ERROR</t>
  </si>
  <si>
    <r>
      <t xml:space="preserve">dos (2) o mas trabajadores=   </t>
    </r>
    <r>
      <rPr>
        <b/>
        <u/>
        <sz val="14"/>
        <color theme="1"/>
        <rFont val="Calibri"/>
        <family val="2"/>
        <scheme val="minor"/>
      </rPr>
      <t>O</t>
    </r>
  </si>
  <si>
    <r>
      <t>NO SE NECESITAN dos (2) o mas trabajadores  =</t>
    </r>
    <r>
      <rPr>
        <b/>
        <sz val="14"/>
        <color theme="1"/>
        <rFont val="Calibri"/>
        <family val="2"/>
        <scheme val="minor"/>
      </rPr>
      <t xml:space="preserve"> </t>
    </r>
    <r>
      <rPr>
        <sz val="11"/>
        <color theme="1"/>
        <rFont val="Calibri"/>
        <family val="2"/>
        <scheme val="minor"/>
      </rPr>
      <t xml:space="preserve">   </t>
    </r>
    <r>
      <rPr>
        <b/>
        <u/>
        <sz val="14"/>
        <color theme="1"/>
        <rFont val="Calibri"/>
        <family val="2"/>
        <scheme val="minor"/>
      </rPr>
      <t>T</t>
    </r>
  </si>
  <si>
    <t>mensaje de validación</t>
  </si>
  <si>
    <t>VALOR DIA</t>
  </si>
  <si>
    <t>CONTATENACIÓN FALTA DILIGENCIAR</t>
  </si>
  <si>
    <t>VALIDADOR IVA</t>
  </si>
  <si>
    <t>FECHA ACTUAL</t>
  </si>
  <si>
    <t>MENSAJE FORMULARIO COMPLETO</t>
  </si>
  <si>
    <t>MENSAJE FORMULARIO INCOMPLETO</t>
  </si>
  <si>
    <t>MENSAJE FORMULARIO SIN DILIGENCIAR</t>
  </si>
  <si>
    <t>MENSAJE FORMULARIO</t>
  </si>
  <si>
    <t>SIGNIFICADO</t>
  </si>
  <si>
    <t>Oficina de Tesorería y Contabilidad</t>
  </si>
  <si>
    <t>LIMITE</t>
  </si>
  <si>
    <t>LIMITE PESOS</t>
  </si>
  <si>
    <t>VALOR CONTRATO</t>
  </si>
  <si>
    <t>CONTRATO SIN IVA</t>
  </si>
  <si>
    <t>IVA CONTRATO</t>
  </si>
  <si>
    <t>max. Aplicar mensual</t>
  </si>
  <si>
    <t>Max Anual</t>
  </si>
  <si>
    <t>NO POS</t>
  </si>
  <si>
    <t>EMPRESAS DEDICADAS A ACTIVIDADES DE SERVICIOS, AGRÍCOLAS Y GANADEROS, EXCEPTO LAS ACTIVIDADES VETERINARIAS INCLUYE EL ALMACÉN Y/O DEPOSITO DE CAFÉ</t>
  </si>
  <si>
    <t xml:space="preserve">Tejeduria de productos textiles, incluye produccion de hilados, tejidos y similares a mano o con equipo no motorizado.  </t>
  </si>
  <si>
    <t>Tejeduria de productos textiles, incluye la fabricacion de articulos confeccionados de materiales textiles, a partir de tejidos de produccion propia a mano o con equipo no motorizado.</t>
  </si>
  <si>
    <t>Fabricacion de tapetes y alfombras para pisos, incluye la fabricacion de tapices, esteras, tapetes a mano o con equipo no motorizado.</t>
  </si>
  <si>
    <t>Confeccion de prendas de vestir, excepto prendas de piel, incluye pequeños talleres, confeccion de prendas de vestir sobre medidas y/o en serie, sombreros y gorros, incluso de piel, confeccion de ropa y confeccion de partes de los productos mencionados.</t>
  </si>
  <si>
    <t>TEJEDURA DE PRODUCTOS TEXTILES: HACE REFERENCIA A EMPRESAS DEDICADAS A PRODUCIR HILADOS, TEJIDOS Y SIMILARES A MANO O CON EQUIPO NO MOTORIZADO</t>
  </si>
  <si>
    <t>FABRICACIÓN DE TAPICES Y ALFOMBRAS PARA PISOS HACE REFERENCIA A EMPRESAS DEDICADAS A LA FABRICACIÓN DE TAPETES Y SIMILARES A MANO O CON EQUIPO NO MOTORIZADO</t>
  </si>
  <si>
    <t>FABRICACIÓN DE PRENDAS DE VESTIR, EXCEPTO PRENDAS: PEQUEÑOS TALLERES DE MODAS, SASTRERÍAS, SOMBREROS, CONFECCIONES DE ROPA</t>
  </si>
  <si>
    <t xml:space="preserve">Comercio comercio al por mayor y al por menor de motocicletas de sus partes, piezas y accesorios; incluye pequeños establecimientos comerciales que se dedican al mantenimiento y reparacion de motocicletas de pequeña potencia o ciclomotores y trineos motorizados, nuevos y usados, sus partes, piezas y accesorios. </t>
  </si>
  <si>
    <t>Mantenimiento y reparacion de motocicletas y de sus partes y piezas, incluye las actividades de mantenimiento y reparacion de motocicletas y trineos motorizados, asi como de todo tipo de partes y piezas de los mismos.</t>
  </si>
  <si>
    <t>Comercio al por mayor a cambio de una retribucion o por contrata, incluye la a venta de: materias primas agropecuarias, animales vivos y aves muertas.</t>
  </si>
  <si>
    <t xml:space="preserve">Comercio al por mayor a cambio de una retribucion o por contrata, incluye agentes dedicados a la venta de: materias primas agropecuarias, bebidas y tabaco; productos semiacabados textiles, prendas de vestir, pieles, casas de subasta al por mayor y comisionistas  y otros mayoristas que comercian en nombre y por cuenta de terceros;  actividades de las personas que ponen en contacto a vendedores y compradores y realizan transacciones comerciales en nombre de un ordenante (comprador), incluidas las realizadas por internet. </t>
  </si>
  <si>
    <t>Comercio al por mayor de materias primas agropecuarias; animales vivos, incluye granos y semillas, frutos oleaginosos, flores, plantas y sus partes, tabaco en bruto, cafe pergamino (incluida la pasilla de produccion), cafe trillado.</t>
  </si>
  <si>
    <t xml:space="preserve">Comercio al por mayor de materias primas agropecuarias; animales vivos incluye, comercio al por mayor de frutos y plantas ornamentales. </t>
  </si>
  <si>
    <t xml:space="preserve">Comercio al por mayor de productos alimenticios, incluye ventas de frutas, legumbres y hortalizas, productos lacteos, huevos y productos de huevos, aceites y grasas comestibles, productos de confiteria, panaderia y productos farinaceos, cafe transformado, te, cacao y chocolate y especias, salsas, y otros preparados alimenticios. </t>
  </si>
  <si>
    <t xml:space="preserve">Comercio al por mayor de productos alimenticios, incluye el comercio al por mayor de alimentos procesados para animales domesticos. </t>
  </si>
  <si>
    <t>Comercio al por mayor de productos textiles, productos confeccionados para uso domestico, incluye .comercio al por mayor de todo tipo de productos textiles, elaborados con fibras naturales, artificiales, sinteticas y sus mezclas, hilados, tejidos y telas en general; comercio al por mayor de lenceria y productos confeccionados para uso domestico, como: frazadas,mantas de viaje, ropa de cama, cortinas, cenefas, entre otros, y otros articulos para el hogar, confeccionados con tejidos de cualquier material textil; comercio al por mayor de materiales basicos para fabricar alfombras y tapices; comercio al por mayor de articulos de merceria: agujas, hilo para coser, entre otros.</t>
  </si>
  <si>
    <t>Comercio al por mayor de prendas de vestir, incluye todo tipo de prendas de vestir (incluso las prendas de vestir de cuero), para hombres, mujeres, niños y bebes ropa interior, de dormir, de etiqueta, de trabajo, para practicar deportes, entre otros y de todo tipo de accesorios para prendas de vestir y de articulos elaborados en piel</t>
  </si>
  <si>
    <t>Comercio  al  por  mayor  de  aparatos  y  equipo  de  uso  domestico,  incluye electrodomesticos y gas domestico, refrigeradores,  lavadoras,  maquinas para secar ropa, maquinas lavaplatos, aspiradoras, aparatos para calefaccion, hornos, asadores, estufas, calentadores, entre otros, para uso domestico, amplificadores, consolas,  parlantes,  equipos  de  reproduccion  de  sonido,  radio  television  y comunicaciones, discos, cintas, CD, DVD, Blu-ray Disc y demas dispositivos de almacenamiento de audio y de video grabados</t>
  </si>
  <si>
    <t>Comercio  al  por  mayor  de  aparatos  y  equipo  de  uso  domestico,  incluye  el comercio al por mayor de articulos y utensilios de uso domestico tales como cubiertos, vajillas, articulos de iluminacion, cristaleria, articulos de ceramica y utensilios  de  madera,  de  mimbre  y  de  corcho  para  mesa,  tocador,  cocina  o similares</t>
  </si>
  <si>
    <t>Comercio al por mayor de productos farmaceuticos, medicinales, cosmeticos y de tocador,  incluye  productos  farmaceuticos  y  medicinales,  productos  botanicos, articulos de perfumeria, cosmeticos y jabones de tocador y jabones detergentes, ademas de los preparados organicos tensoactivos envase y empaque de dichos productos, cuando se realiza por cuenta propia</t>
  </si>
  <si>
    <t>Comercio al por mayor de productos farmaceuticos, medicinales, cosmeticos y de tocador, incluye el comercio al por mayor de articulos ortesicos y protesicos, drogas veterinarias y articulos para uso veterinario; envase y empaque de dichos productos, cuando se realiza por cuenta propia.</t>
  </si>
  <si>
    <t>Comercio al por mayor de otros utensilios domesticos ncp, incluye:  muebles colchones, somieres y articulos de uso domestico ncp, bicicletas sus partes y accesorios,  material de limpieza y pulido (desodorizadores de ambientes, ceras artificiales, betunes, entre otros), articulos fotograficos y opticos (ej: gafas de sol, binoculares, lupas),  juegos, juguetes, articulos de piñateria, relojes y articulos de joyeria, articulos deportivos, articulos de viaje, de cuero natural y de imitacion de cuero,  maletas,  bolsos  de  mano,  carteras,  y  articulos  de  talabarteria  y guarnicioneria (sillas de montar), paraguas, instrumentos musicales,  articulos de papeleria, libros, revistas y periodicos entre otros</t>
  </si>
  <si>
    <t>Comercio  al  por  mayor  de  computadores,  equipo  periferico  y  programas  de informatica</t>
  </si>
  <si>
    <t>Comercio al por mayor de otros tipos de maquinaria y equipo ncp, incluye el comercio al por mayor de equipo, articulos e instrumentos medicos, quirurgicos y para laboratorio, muebles, maquinaria y equipo de oficina excepto computadores y  equipo  periferico,  instrumentos  y  equipo  de  medicion,  partes,  piezas  y accesorios</t>
  </si>
  <si>
    <t>Comercio al por mayor de combustibles solidos, liquidos, gaseosos y productos conexos, incluye comercio al por mayor de grasas, lubricantes y aceites.</t>
  </si>
  <si>
    <t>Comercio al por mayor de materiales de construccion, articulos de ferreteria, pinturas sin mezclado), productos de vidrio, equipo y materiales de fontaneria y calefaccion, incluye comercio al por mayor de pinturas y barnices (sin mezclado)</t>
  </si>
  <si>
    <t>Comercio al por mayor de productos quimicos basicos, cauchos y plasticos en formas primarias y productos quimicos de uso agropecuario, incluye materiales colorantes,  plastico  incluso  el  plastico  celular  (espuma),  caucho  en  formas primarias, el comercio al por mayor de sustancias quimicas de uso industrial como:  anilina,  tinta  de  imprenta,  aceites  esenciales,  parafina,  aromas  y aromatizantes, el comercio al por mayor de abonos y derivados del almidon, colorantes, resinas sinteticas</t>
  </si>
  <si>
    <t>Comercio al por mayor no especializado, incluye el comercio de una variedad de productos sin ninguna especializacion en particular.</t>
  </si>
  <si>
    <t>Comercio  al  por  menor  en  establecimientos  no  especializados  con  surtido compuesto   principalmente   por   alimentos,   bebidas   o   tabaco,   incluye establecimientos no especializados de comercio al por menor de productos cuyo surtido esta compuesto principalmente de alimentos (viveres en general) bebidas o tabaco, cosmeticos, vestuario</t>
  </si>
  <si>
    <t>Comercio  al  por  menor  en  establecimientos  no  especializados,  con  surtido compuesto principalmente por alimentos, bebidas o tabaco, incluye expendio de otras  mercancias  para  consumo  de  los  hogares  tales,  electrodomesticos, muebles, articulos de ferreteria, entre otros</t>
  </si>
  <si>
    <t>Comercio  al  por  menor  en  establecimientos  no  especializados,  con  surtido compuesto  principalmente  por  productos  diferentes  de  alimentos  (viveres  en general), bebidas y tabaco; incluye los establecimientos denominados bazares, cacharrerias,  quincallerias,  con  surtido  diverso  de  mercancias  tales  como cosmeticos, articulos escolares, mercerias, tarjetas, jugueteria, fantasias, entre otros</t>
  </si>
  <si>
    <t>Comercio al por menor de leche, productos lacteos y huevos en establecimientos especializados,  incluye  comercio  al  por  menor  de  leche,  productos  lacteos (mantequilla,  quesos,  cuajadas,  cremas  de  leche,  yogur)  y  huevos,  sin autotransporte</t>
  </si>
  <si>
    <t>Comercio al por menor de carnes (incluye aves de corral), productos carnicos, pescado fresco, preparado o en conserva, mariscos y  productos de mar, en establecimientos  especializados,  incluye  venta  de  productos  carnicos  y  de salsamentaria</t>
  </si>
  <si>
    <t>Comercio al por menor de bebidas y productos del tabaco en establecimientos especializados, incluye cigarrerias y establecimientos especializados de bebidas alcoholicas y no alcoholicas para ser consumidas fuera del lugar de venta, el surtido de estos establecimientos esta constituido principalmente por cervezas, aguardiente, vinos, champañas, aguas minerales naturales, gaseosas, jugos de fruta, entre otros.</t>
  </si>
  <si>
    <t>Comercio al por menor de bebidas y productos del tabaco en establecimientos especializados, incluye comercio al por menor de productos de tabaco tales como cigarros, cigarrillos, picaduras, tabaco para mascar y rape y de hielo, helados y refrescos.</t>
  </si>
  <si>
    <t>Comercio al por menor de otros productos alimenticios ncp, en establecimientos especializados,  incluye  leche  en  polvo,  miel  natural,  avena  en  hojuelas,  sal comun,  cafe,  te,  azucar,  cacao,  especias,  entre  otros;  confiteria  o  dulceria, preparados principalmente con azucar, frutas, nueces secas confitadas, gomas de mascar, caramelos, turrones, jaleas, bocadillos, entre otros</t>
  </si>
  <si>
    <t>Comercio al por menor de otros productos alimenticios ncp, en establecimientos especializados,  incluye  aceites  y  grasas  animales  y  vegetales,  almidones, productos farinaceos, productos de panaderia</t>
  </si>
  <si>
    <t>Comercio al por menor de lubricantes (aceites, grasas), aditivos y productos de limpieza para vehiculos automotores, incluye: comercio al por menor de todo tipo de  lubricantes,  aditivos,  refrigerantes  y  productos  de  limpieza para  vehiculos automotores, motocicletas, trineos motorizados y embarcaciones</t>
  </si>
  <si>
    <t>Comercio  al  por  menor  de  computadores,  equipos  perifericos,  programas  de informatica y equipos de telecomunicaciones en establecimientos especializados, incluye comercio al por menor de computadores, equipo periferico, consolas de videojuegos,  programas  de  informatica  no  personalizados  y  de  equipos  de telecomunicaciones, como telefonos celulares, buscapersonas etc</t>
  </si>
  <si>
    <t>Comercio  al  por  menor  de  equipos  y  aparatos  de  sonido  y  de  video  en establecimientos especializados, incluye comercio al por menor de equipos radio y television, equipo estereofonico y aparatos de reproduccion y de grabacion de CD, DVD, Blu-ray Disc; demas dispositivos de almacenamiento y reproduccion de audio y de video; de microfonos, amplificadores, parlantes, consolas, entre otros</t>
  </si>
  <si>
    <t>Comercio al por menor de productos textiles en establecimientos especializados, incluye el comercio de lana (y de otros hilados para tejer y bordar), tejidos de fibras textiles, afelpados y telas en general elaboradas con fibras naturales, artificiales y sinteticas., de merceria: agujas, hilo para coser, cintas, encajes ente otros.</t>
  </si>
  <si>
    <t>Comercio al por menor de articulos de ferreteria, pinturas, barnices, lacas, vinilos, masillas,  esmaltes,  pigmentos  y  productos  de  vidrio  en  establecimientos especializados,  incluye  material  y  equipo  de  bricolaje  o  maquinaria  ligera  e implementos para industria en general</t>
  </si>
  <si>
    <t>Comercio al por menor de articulos de ferreteria, pinturas, barnices, lacas, vinilos, masillas,  esmaltes,  pigmentos  y  productos  de  vidrio  en  establecimientos especializados, incluye comercio al por menor de pinturas,</t>
  </si>
  <si>
    <t>Comercio al por menor de tapices, alfombras y cubrimientos para paredes y pisos en establecimientos especializados, incluye comercio de  tapices, alfombras y persianas, papel para empapelar y recubrimientos para pisos</t>
  </si>
  <si>
    <t>Comercio al por menor de electrodomesticos y gas domestico de uso domestico; muebles y equipos de iluminacion, incluye comercio al por menor de muebles, articulos  de  iluminacion  y  todo  tipo  de  electrodomesticos  y  gasodomesticos: refrigeradores, lavadoras, maquinas para secar ropa, lavaplatos, aspiradoras, aparatos para calefaccion, hornos, asadores, estufas, calentadores, entre otros</t>
  </si>
  <si>
    <t>Comercio al por menor de articulos y utensilios de uso domestico, incluye el comercio de cubiertos, vajilla, cristaleria, y objetos de porcelana y de ceramica; productos  de  madera  corcho  y  mimbre,  instrumentos  musicales  y  partituras; lenceria y todo tipo de confecciones para el hogar elaboradas en materiales textiles; ropa de cama, manteleria, toallas de baño, paños de cocina, cortinas, visillos, frazadas, cobertores, acolchados, etc, y otros articulos de uso domestico</t>
  </si>
  <si>
    <t>Comercio  al  por  menor  de  otros  articulos  domesticos  en  establecimientos especializados, incluye comercio de  enseres y aparatos de uso domestico ncp, recuerdos, artesanias y articulos religiosos incluso velas,  sistemas de seguridad como dispositivos de cierre, cajas de caudales y cajas fuertes sin servicio de monitoreo, preparados para perfumar o desodorizar ambientes, preparados para limpiar  y  pulir  como  detergentes  y  preparados  para  lavar,  betunes,  lustres  y cremas para calzado, lustres y cremas para muebles, pisos y otros usos, comercio de paraguas, el comercio de monedas, billetes y estampillas de coleccion, de extintores</t>
  </si>
  <si>
    <t>Comercio  al  por  menor  de  otros  articulos  domesticos  en  establecimientos especializados,   incluye   comercio   de   animales   domesticos   y   alimentos concentrados  para  los  mismos,  en  establecimientos  Ademas,  incluye  las actividades propias de las tiendas que comercializan accesorios y suministros para mascotas</t>
  </si>
  <si>
    <t>Comercio al por menor de libros, periodicos, materiales y articulos de papeleria y escritorio en establecimientos especializados, incluye comercio al por menor de libros, revistas, periodicos y articulos de filatelia, papeleria, utiles escolares y de escritorio, distintos de los de uso especifico en oficina.</t>
  </si>
  <si>
    <t>Comercio   al   por   menor   de   articulos   deportivos   en   establecimientos especializados; incluye comercio al por menor de bicicletas, patines, monopatines, cañas de pescar, articulos para acampar, botes y demas articulos deportivos en general</t>
  </si>
  <si>
    <t>Comercio al por menor de otros articulos culturales y de entretenimiento ncp en establecimientos  especializados,  incluye  el  comercio  de:  discos  compactos, casetes de musica, cintas de video y DVD, Blu-ray Disc y demas dispositivos de almacenamiento de audio y de video juegos, juguetes, articulos de piñateria y materiales para manualidades artisticas</t>
  </si>
  <si>
    <t>Comercio al por menor de prendas de vestir y sus accesorios (incluye articulos de piel)  en  establecimientos  especializados,  incluye  comercio  al  por  menor  de prendas de vestir como guantes, corbatas, tirantes, etcetera, articulos de piel, accesorios de vestir y ropa deportiva</t>
  </si>
  <si>
    <t>Comercio al por menor de todo tipo de calzado y articulos de cuero y sucedaneos del cuero en establecimientos especializados, incluye el comercio de calzados, articulos de cuero y accesorios de viaje de cuero natural y cuero artificial o de imitacion, zapatos deportivos.</t>
  </si>
  <si>
    <t>Comercio al por menor de productos farmaceuticos y medicinales, cosmeticos y articulos  de  tocador  en  establecimientos  especializados,  incluye  comercio  de productos  farmaceuticos,  medicinales,  botanicos,  homeopaticos,  ortopedicos, ortesicos y protesicos, cosmeticos, farmaceuticos veterinarios, tiendas naturistas</t>
  </si>
  <si>
    <t>Comercio  al  por  menor  de  otros  productos  nuevos  en  establecimientos especializados,   incluye   comercio   de   equipo   y   articulos    fotograficos, cinematograficos, opticos y de precision, relojes, joyas y articulos de plata en general,  armas,  municiones,  sellos  y  productos  no  alimenticios,  floristerias, actividades de galerias de arte comerciales</t>
  </si>
  <si>
    <t>Comercio  al  por  menor  de  otros  productos  nuevos  en  establecimientos especializados, incluye comercio de articulos opticos y de precision, relojes, joyas y las actividades de opticas</t>
  </si>
  <si>
    <t>Comercio al por menor de articulos de segunda mano, incluye comercio de libros, antigüedades,   prendas   de   vestir   y   otros   articulos   de   segunda   mano, comercializacion de articulos mediante contrato de compraventa con pacto de retroventa, casas de subastas (al por menor)</t>
  </si>
  <si>
    <t>Comercio al por menor de alimentos, bebidas y tabaco en puestos de venta moviles, incluye venta de alimentos, bebidas y tabaco en puestos de venta y mercados.</t>
  </si>
  <si>
    <t>Comercio al por menor de productos textiles, prendas de vestir y calzado en puestos de venta moviles, incluye comercio al por menor de productos textiles, prendas de vestir y calzado en puestos de venta y mercados.</t>
  </si>
  <si>
    <t>Comercio al por menor de otros productos en puestos de venta moviles, incluye comercio al por menor de otros productos en puestos de venta y mercados como por ejemplo: tapices y alfombras, libros, juguetes, aparatos de uso domestico; productos electronicos de consumo, grabaciones de musica y video, etcetera</t>
  </si>
  <si>
    <t>Comercio al por menor realizado a traves de internet, incluye la venta directa y subastas a traves de internet.</t>
  </si>
  <si>
    <t>Comercio al por menor realizado a traves de casas de venta o por correo, incluye ventas directas a traves de television, radio y telefono por anuncios, catalogos o cualquier otro medio de publicidad.</t>
  </si>
  <si>
    <t>Otros tipos de comercio al por menor no realizado en establecimientos, puestos de venta o mercados, incluye  comercio al por menor de productos de todo tipo como las ventas directas y ventas realizadas por vendedores a domicilio, venta mediante maquinas expendedoras y a cambio de una retribucion o por contrata, agentes comisionistas (no en almacenes) , actividades de subastas diferentes de las  realizadas  por  internet;  venta  directa  de  combustible  (combustible  para calefaccion, leña) entregado directamente en los establecimientos de los clientes</t>
  </si>
  <si>
    <t xml:space="preserve">EMPRESAS DEDICADAS AL COMERCIO, MANTENIMIENTO Y REPARACIÓN DE MOTOCICLETAS Y DE SUS PARTES, PIEZAS Y ACCESORIOS INCLUYE LA COMERCIALIZACIÓN DE MOTOCICLETAS Y TRINEOS MOTORIZADOS NUEVOS Y USADOS, PARTES PIEZAS Y ACCESORIOS LAS ACTIVIDADES DE MANTENIMIENTO Y REPARACIÓN </t>
  </si>
  <si>
    <t xml:space="preserve">EMPRESAS DEDICADAS AL COMERCIO AL POR MENOR DE LUBRICANTES (ACEITES, GRASAS), ADITIVOS Y PRODUCTOS DE LIMPIEZA PARA VEHÍCULOS AUTOMOTORES </t>
  </si>
  <si>
    <t>EMPRESAS DEDICADAS AL COMERCIO AL POR MAYOR A CAMBIO DE UNA RETRIBUCIÓN O POR CONTRATA DE PRODUCTOS AGRÍCOLAS (EXCEPTO CAFÉ), SILVÍCOLA Y DE ANIMALES VIVOS Y SUS PRODUCTOS INCLUYE LA VENTA DE AVES DE CORRAL Y/O IMPLEMENTOS PARA AVICULTURA, DE AVES MUERTAS Y/O MENUDENCIAS</t>
  </si>
  <si>
    <t xml:space="preserve">EMPRESAS DEDICADAS AL COMERCIO AL POR MAYOR A CAMBIO DE UNA RETRIBUCIÓN O POR CONTRATA DE CAFÉ PERGAMINO </t>
  </si>
  <si>
    <t xml:space="preserve">EMPRESAS DEDICADAS AL COMERCIO AL POR MAYOR A CAMBIO DE UNA RETRIBUCIÓN O POR CONTRATA DE PRODUCTOS NCP </t>
  </si>
  <si>
    <t xml:space="preserve">EMPRESAS DEDICADAS AL COMERCIO AL POR MAYOR DE CAFÉ PERGAMINO </t>
  </si>
  <si>
    <t>EMPRESAS DEDICADAS AL COMERCIO AL POR MAYOR DE FLORES Y PLANTAS ORNAMENTALES</t>
  </si>
  <si>
    <t xml:space="preserve">EMPRESAS DEDICADAS AL COMERCIO AL POR MAYOR DE MATERIAS PRIMAS PECUARIAS, ANIMALES VIVOS Y SUS PRODUCTOS </t>
  </si>
  <si>
    <t>EMPRESAS DEDICADAS AL COMERCIO AL POR MAYOR DE PRODUCTOS ALIMENTICIOS, EXCEPTO CAFÉ TRILLADO</t>
  </si>
  <si>
    <t>EMPRESAS DEDICADAS AL COMERCIO AL POR MAYOR DE CAFÉ TRILLADO</t>
  </si>
  <si>
    <t>EMPRESAS DEDICADAS AL COMERCIO AL POR MAYOR DE PRODUCTOS TEXTILES Y PRODUCTOS CONFECCIONADOS PARA USO DOMESTICO.</t>
  </si>
  <si>
    <t xml:space="preserve">EMPRESAS DEDICADAS AL COMERCIO AL POR MAYOR DE PRENDAS DE VESTIR, ACCESORIOS DE PRENDAS DE VESTIR Y ARTÍCULOS ELABORADOS EN PIEL. </t>
  </si>
  <si>
    <t>EMPRESAS DEDICADAS AL COMERCIO AL POR MAYOR DE CALZADO</t>
  </si>
  <si>
    <t xml:space="preserve">EMPRESAS DEDICADAS AL COMERCIO AL POR MAYOR DE APARATOS, ARTÍCULOS Y EQUIPO DE USO DOMESTICO </t>
  </si>
  <si>
    <t xml:space="preserve">EMPRESAS DEDICADAS AL COMERCIO AL POR MAYOR DE PRODUCTOS FARMACÉUTICOS, MEDICINALES, COSMÉTICOS Y DE TOCADOR </t>
  </si>
  <si>
    <t>EMPRESAS DEDICADAS AL COMERCIO AL POR MAYOR DE EQUIPOS MÉDICOS Y QUIRÚRGICOS Y DE APARATOS ORTESICOS Y PROTÉSICOS</t>
  </si>
  <si>
    <t xml:space="preserve">EMPRESAS DEDICADAS AL COMERCIO AL POR MAYOR DE PINTURAS Y PRODUCTOS CONEXOS </t>
  </si>
  <si>
    <t xml:space="preserve">EMPRESAS DEDICADAS AL COMERCIO AL POR MAYOR DE COMBUSTIBLES SÓLIDOS, LÍQUIDOS, GASEOSOS Y PRODUCTOS CONEXOS" </t>
  </si>
  <si>
    <t xml:space="preserve">EMPRESAS DEDICADAS AL COMERCIO AL POR MAYOR DE PRODUCTOS QUÍMICOS BÁSICOS, PLÁSTICOS Y CAUCHO EN FORMAS PRIMARIAS Y PRODUCTOS QUÍMICOS DE USO AGROPECUARIO </t>
  </si>
  <si>
    <t xml:space="preserve">EMPRESAS DEDICADAS AL COMERCIO AL POR MAYOR DE FIBRAS TEXTILES </t>
  </si>
  <si>
    <t xml:space="preserve">EMPRESAS DEDICADAS AL COMERCIO AL POR MAYOR DE OTROS PRODUCTOS INTERMEDIOS NCP </t>
  </si>
  <si>
    <t>EMPRESAS DEDICADAS AL COMERCIO AL POR MAYOR DE MAQUINARIA PARA OFICINA, CONTABILIDAD E INFORMÁTICA.</t>
  </si>
  <si>
    <t>EMPRESAS DEDICADAS AL COMERCIO AL POR MENOR, EN ESTABLECIMIENTOS NO ESPECIALIZADOS, CON SURTIDO COMPUESTO PRINCIPALMENTE DE ALIMENTOS (VÍVERES EN GENERAL), BEBIDAS Y TABACO INCLUYE LA VENTA DE MERCANCÍAS</t>
  </si>
  <si>
    <t>EMPRESAS DEDICADAS AL COMERCIO AL POR MENOR EN ESTABLECIMIENTOS NO ESPECIALIZADOS CON SURTIDO COMPUESTO PRINCIPALMENTE POR PRODUCTOS DIFERENTES DE ALIMENTOS (VÍVERES EN GENERAL), BEBIDAS Y TABACOS HACE REFERENCIA A EMPRESAS DEDICADAS A LA VENTA AL MENUDEO EN MISCELÁNEAS</t>
  </si>
  <si>
    <t xml:space="preserve">EMPRESAS DEDICADAS AL COMERCIO AL POR MENOR DE FRUTAS Y VERDURAS, EN ESTABLECIMIENTOS ESPECIALIZADOS </t>
  </si>
  <si>
    <t>EMPRESAS DEDICADAS AL COMERCIO AL POR MENOR DE LECHE, PRODUCTOS LÁCTEOS Y HUEVOS EN ESTABLECIMIENTOS ESPECIALIZADOS INCLUYE LA VENTA SIN AUTO TRANSPORTE DE LECHE</t>
  </si>
  <si>
    <t xml:space="preserve">EMPRESAS DEDICADAS AL COMERCIO AL POR MENOR DE CARNES, PRODUCTOS CARNICOS, PESCADOS Y PRODUCTOS DE MAR, </t>
  </si>
  <si>
    <t xml:space="preserve">EMPRESAS DEDICADAS AL COMERCIO AL POR MENOR DE PRODUCTOS DE CONFITERÍA EN ESTABLECIMIENTOS ESPECIALIZADOS INCLUYE LA VENTA DE DULCES, CHOCOLATES Y SIMILARES </t>
  </si>
  <si>
    <t xml:space="preserve">EMPRESAS DEDICADAS AL COMERCIO AL POR MENOR DE BEBIDAS Y PRODUCTOS DEL TABACO EN ESTABLECIMIENTOS ESPECIALIZADOS INCLUYE CIGARRERÍAS </t>
  </si>
  <si>
    <t>EMPRESAS DEDICADAS AL COMERCIO AL POR MENOR DE OTROS PRODUCTOS ALIMENTICIOS NCP, EN ESTABLECIMIENTOS ESPECIALIZADOS INCLUYE LA VENTA DE ACEITES Y MANTECAS EN GENERAL, VENTA DE PAN Y PASTELES</t>
  </si>
  <si>
    <t xml:space="preserve">EMPRESAS DEDICADAS AL COMERCIO AL POR MENOR DE PRODUCTOS FARMACÉUTICOS, MEDICINALES, Y ODONTOLÓGICOS; ARTÍCULOS DE PERFUMERÍA, COSMÉTICOS Y DE TOCADOR EN ESTABLECIMIENTOS ESPECIALIZADOS HACE REFERENCIA A EMPRESAS DEDICADAS A LA VENTA EN FARMACIAS, DROGUERÍAS Y BOTICAS, VENTA DE JABÓN Y DETERGENTES </t>
  </si>
  <si>
    <t xml:space="preserve">EMPRESAS DEDICADAS AL COMERCIO AL POR MENOR DE PRODUCTOS TEXTILES EN ESTABLECIMIENTOS ESPECIALIZADOS INCLUYE PRODUCTOS TEXTILES ELABORADAS CON FIBRAS NATURALES, ARTIFICIALES Y SINTÉTICAS, LOS HILOS, LANAS ETC. </t>
  </si>
  <si>
    <t xml:space="preserve">EMPRESAS DEDICADAS AL COMERCIO AL POR MENOR DE PRENDAS DE VESTIR Y SUS ACCESORIOS </t>
  </si>
  <si>
    <t>EMPRESAS DEDICADAS AL COMERCIO AL POR MENOR DE TODO TIPO DE CALZADO, ARTÍCULOS DE CUERO Y SUCEDÁNEOS DEL CUERO, EN ESTABLECIMIENTOS ESPECIALIZADOS INCLUYE LA VENTA DE ARTÍCULOS PARA ZAPATERÍA</t>
  </si>
  <si>
    <t>EMPRESAS DEDICADAS AL COMERCIO AL POR MENOR DE ELECTRODOMÉSTICOS EN ESTABLECIMIENTOS ESPECIALIZADOS INCLUYE ARTÍCULOS ELÉCTRICOS, MATERIALES, RECEPTORES DE RADIO Y/O TELEVISIÓN, REFRIGERADORES, LAVADORAS, ESTUFAS Y SIMILARES</t>
  </si>
  <si>
    <t xml:space="preserve">EMPRESAS DEDICADAS AL COMERCIO AL POR MENOR DE MUEBLES PARA EL HOGAR EN ESTABLECIMIENTOS ESPECIALIZADOS </t>
  </si>
  <si>
    <t xml:space="preserve">EMPRESAS DEDICADAS AL COMERCIO AL POR MENOR DE EQUIPO Y ARTÍCULOS DE USO DOMESTICO DIFERENTES DE ELECTRODOMÉSTICOS Y MUEBLES PARA EL HOGAR INCLUYE LA VENTA DE LOZA, CERÁMICA, ALFARERÍA, ARTÍCULOS EN MIMBRE, VARA Y/O PALMA, VENTA DE TAPETES, LINÓLEO, COLCHONES Y COLCHONETAS, VENTA DE APARATOS YO REPUESTOS CINEMATOGRÁFICOS </t>
  </si>
  <si>
    <t xml:space="preserve">EMPRESAS DEDICADAS AL COMERCIO AL POR MENOR DE PRODUCTOS DIVERSOS NCP, EN ESTABLECIMIENTOS ESPECIALIZADOS TALES COMO: ANTIGÜEDADES Y CURIOSIDADES, ARMAS DE FUEGO, PARQUE, ARTESANÍAS NO CONTEMPLADAS EN OTRAS ACTIVIDADES, ARTÍCULOS DE PROTECCIÓN PERSONAL CONTROL DE RIEGOS PROFESIONALES, ARTÍCULOS ORTOPÉDICOS, ARTÍCULOS PARA DEPORTE, ARTÍCULOS RELIGIOSOS ,REPUESTOS PARA AUTOMOTORES, DE BASCULAS, DE ARTÍCULOS PARA BILLARES ,DE CARTÓN ,DE CORSÉS, FAJAS Y SIMILARES, ARTÍCULOS PARA REGALO, DE FLORES NATURALES Y LA FLORICULTURA, SOMBREROS Y ARTÍCULOS PARA SOMBRERERÍAS ,DE MATERIAS PRIMAS Y/O REPUESTOS PARA INDUSTRIA DE HILADOS Y/O TEJIDOS , DE ARTÍCULOS DE HULE, VENTA Y/O ALQUILER DE INSTRUMENTOS, APARATOS Y/O ARTÍCULOS MUSICALES, MÚSICA IMPRESA Y/O GRABACIONES, VENTA DE INSTRUMENTOS Y/O APARATOS CIENTÍFICOS Y/O PRECISIÓN, DE JOYAS, RELOJES, ARTÍCULOS PARA JOYEROS Y/O RELOJEROS, DE INSTRUMENTOS Y/O EQUIPOS DE MÉDICOS, QUIRÚRGICOS, DENTALES , DE JUGUETES, DE ARTÍCULOS PARA PELUQUERÍA, DE ROPA, TELAS, BOTINERÍAS EN ALMACENES, ABONOS, INSECTICIDAS Y SIMILARES </t>
  </si>
  <si>
    <t xml:space="preserve">EMPRESAS DEDICADAS AL COMERCIO AL POR MENOR DE ARTÍCULOS DE FERRETERÍA, CERRAJERÍA Y PRODUCTOS DE VIDRIO, EXCEPTO PINTURAS EN ESTABLECIMIENTOS ESPECIALIZADOS INCLUYE LA VENTA DE MAQUINARIA LIGERA E IMPLEMENTOS PARA LA INDUSTRIA EN GENERAL </t>
  </si>
  <si>
    <t xml:space="preserve">EMPRESAS DEDICADAS AL COMERCIO AL POR MENOR DE PINTURAS EN ESTABLECIMIENTOS ESPECIALIZADOS </t>
  </si>
  <si>
    <t xml:space="preserve">EMPRESAS DEDICADAS AL COMERCIO AL POR MENOR DE MUEBLES PARA OFICINA, MAQUINARIA Y EQUIPO DE OFICINA, COMPUTADORES Y PROGRAMAS DE COMPUTADOR, EN ESTABLECIMIENTOS ESPECIALIZADOS INCLUYE LA VENTA DE MÁQUINAS DE ESCRIBIR, COSER, CALCULAR </t>
  </si>
  <si>
    <t xml:space="preserve">EMPRESAS DEDICADAS AL COMERCIO AL POR MENOR DE LIBROS, PERIÓDICOS, MATERIALES Y ARTÍCULOS DE PAPELERÍA Y ESCRITORIO, EN ESTABLECIMIENTOS ESPECIALIZADOS" INCLUYE LA VENTA DE ARTÍCULOS PARA FILATELIA , VENTA DE PAPEL, ENVASES DE CARTÓN, A OFICINAS DE VENTA DE REVISTAS </t>
  </si>
  <si>
    <t xml:space="preserve">EMPRESAS DEDICADAS AL COMERCIO AL POR MENOR DE EQUIPO FOTOGRÁFICO EN ESTABLECIMIENTOS ESPECIALIZADOS INCLUYE LA VENTA DE ARTÍCULOS FOTOGRÁFICOS Y/O CINEMATOGRÁFICOS, FOTOGRAFÍA </t>
  </si>
  <si>
    <t xml:space="preserve">EMPRESAS DEDICADAS AL COMERCIO AL POR MENOR DE EQUIPO ÓPTICO Y DE PRECISIÓN EN ESTABLECIMIENTOS ESPECIALIZADOS INCLUYE LA VENTA DE ARTÍCULOS DE ÓPTICA </t>
  </si>
  <si>
    <t>EMPRESAS DEDICADAS AL COMERCIO AL POR MENOR DE ARTÍCULOS USADOS EN ESTABLECIMIENTOS ESPECIALIZADOS INCLUYE PRENDAS DE VESTIR, CALZADO, ELECTRODOMÉSTICOS, MUEBLES. LIBROS ETC.</t>
  </si>
  <si>
    <t xml:space="preserve">EMPRESAS DEDICADAS A ACTIVIDADES COMERCIALES DE LAS CASAS DE EMPEÑO O COMPRAVENTAS </t>
  </si>
  <si>
    <t xml:space="preserve">EMPRESAS DEDICADAS AL COMERCIO AL POR MENOR A TRAVÉS DE CASAS DE VENTA POR CORREO INCLUYE A REVENTA DE ARTÍCULOS DE TODO TIPO, MEDIANTE CATÁLOGOS PEDIDOS POR CORREO; LOS ARTÍCULOS SE ENVÍAN AL COMPRADOR QUE HA HECHO SU PEDIDO, MEDIANTE CATÁLOGOS U OTROS TIPOS DE OFERTAS. </t>
  </si>
  <si>
    <t xml:space="preserve">EMPRESAS DEDICADAS AL COMERCIO AL POR MENOR EN PUESTOS MÓVILES </t>
  </si>
  <si>
    <t xml:space="preserve">OTROS TIPOS DE EMPRESAS DEDICADAS AL COMERCIO AL POR MENOR NO REALIZADO EN ESTABLECIMIENTOS INCLUYE LA VENTA DE PRODUCTOS DE TODO TIPO REALIZADOS POR VENDEDORES A DOMICILIO, MEDIANTE MÁQUINAS EXPENDEDORAS ETC. </t>
  </si>
  <si>
    <t>EMPRESAS DEDICADAS A LA REPARACIÓN DE EFECTOS PERSONALES INCLUYE EL REMALLADO DE MEDIAS, LA REPARACIÓN Y/O VENTA DE PLUMAS FUENTE, LAPICEROS.</t>
  </si>
  <si>
    <t>EMPRESAS DEDICADAS A LA REPARACIÓN DE ENSERES DOMÉSTICOS INCLUYE TAPICERÍAS</t>
  </si>
  <si>
    <t xml:space="preserve">EXPENDIO A LA MESA DE COMIDAS PREPARADAS, EN RESTAURANTES </t>
  </si>
  <si>
    <t>EXPENDIO, A LA MESA, DE COMIDAS PREPARADAS EN CAFETERÍAS, REFRESCOS Y HELADOS, SALONES DE TÉ</t>
  </si>
  <si>
    <t>Expendio  de  comidas  preparadas  en  cafeterias,  incluye  la  preparacion  y  el expendio de alimentos para su consumo inmediato, mediante el servicio a la mesa Por lo general, estos establecimientos expenden alimentos ligeros (que no constituyen comidas completas) que pueden ser o no, preparados dentro del establecimiento  No  presentan  una  decoracion  estandarizada  y  pueden  o  no suministrar bebidas alcoholicas y no alcoholicas</t>
  </si>
  <si>
    <t>Edicion de programas de informatica (software), incluye la edicion  de programas informaticos comerciales (no personalizados), sistemas operativos, aplicaciones comerciales y otras aplicaciones, Juegos informaticos para todas las plataformas</t>
  </si>
  <si>
    <t>Actividades de desarrollo de sistemas informaticos (planificacion, analisis, diseño, programacion, pruebas), incluye analisis, diseño de la estructura, el contenido y/o escritura del codigo informatico, programas de sistemas operativos, aplicaciones de  programas  informaticos,  bases  de  datos,  desarrollo  de  soluciones  web, personalizacion de programas informaticos</t>
  </si>
  <si>
    <t>Actividades  de  consultoria  informatica  y  actividades  de  administracion  de instalaciones  informaticas,  incluye  servicios  de  consultoria  en  el  diseño  de sistemas de administracion de informacion y en equipos de informatica, servicios de  gerencia  y  operacion  en  sitio  de  sistemas  informaticos  y/o  instalaciones informaticas de procesamiento de datos</t>
  </si>
  <si>
    <t>Actividades  de  consultoria  informatica  y  actividades  de  administracion  de instalaciones informaticas, incluye los servicios de consultoria para sistemas de ingenieria y fabricacion asistida por computador y analisis de requerimientos para la instalacion de equipos informaticos, la planificacion y el diseño de los sistemas informaticos que integran el equipo (hardware), programas informaticos (software) y tecnologias de las comunicaciones (incluye redes de area local [LAN], red de area extensa [WAN], entre otras)</t>
  </si>
  <si>
    <t>Otras actividades de las tecnologias de informacion y las actividades relacionadas con informatica no clasificadas en otras partes, incluye la recuperacion de la informacion de los ordenadores en casos de desastre informatico, configuracion, instalacion de software o programas informaticos.</t>
  </si>
  <si>
    <t>Procesamiento de datos, alojamiento (hosting) y actividades relacionadas, incluye suministro   de   infraestructura   para   servicios   de   hosting,   servicios   de procesamiento de datos y actividades conexas relacionadas, alojamiento de sitios web, servicios de transmision de secuencias de video por internet (streaming), aplicaciones, suministro a los clientes de acceso en tiempo compartido a servicios centrales</t>
  </si>
  <si>
    <t>Procesamiento de datos, alojamiento (hosting) y actividades relacionadas, incluye el   funcionamiento   de   oficinas   de   servicio   de   informatica   dedicadas   al procesamiento de datos y alojamiento web, el suministro de servicio de registro, tabulacion, digitacion de datos, escaneo optico de datos y de documentos</t>
  </si>
  <si>
    <t>Portales web, incluye la explotacion de los sitios web para generar y mantener extensas bases de datos y de contenido en un formato de facil busqueda, portales de internet y que funcionan como portales de internet, tales como sitios de medios de difusion que proporcionan los contenidos que se actualizan de forma periodica.</t>
  </si>
  <si>
    <t>EMPRESAS DEDICADAS A ACTIVIDADES DE AGENCIAS DE VIAJES Y ORGANIZADORES DE VIAJES; INCLUYE ASISTENCIA A TURISTAS NCP</t>
  </si>
  <si>
    <t>EMPRESAS DEDICADAS A ACTIVIDADES DE OTRAS AGENCIAS DE TRANSPORTE INCLUYE AGENCIAS DE TRANSPORTES MARÍTIMOS, AÉREOS, TERRESTRES</t>
  </si>
  <si>
    <t>Otras actividades de servicio de informacion n.c.p., incluye otras actividades de servicio de informacion no clasificadas en otra parte, tales como: servicios de informacion telefonica; servicios de busqueda de informacion, a cambio de una retribucion o por contrata; servicios de seleccion de noticias, servicios de recorte de noticias, servicio de elaboracion de hojas de vida, servicio de escritura de discursos, traduccion y transcripcion de textos.</t>
  </si>
  <si>
    <t>Banco  Central,  incluye  actuar  como  autoridad  monetaria,  cambiaria  y  como agente fiscal en la contratacion de creditos internos y externos, recepcion de depositos   usados   en   operaciones   de   compensacion   entre   instituciones financieras, la inversion, el deposito en custodia y la disposicion de las reservas internacionales  de  divisas,  emision  y  administracion  de  la  moneda  nacional; ejercer la funcion de banco del Gobierno y ser banquero y prestamista de ultima instancia de los establecimientos de credito publicos y privados; otorgamiento de creditos o garantias a favor del Estado y la recepcion en deposito de fondos de la nacion y de las entidades publicas; servir como agente del Gobierno en la edicion, colocacion y administracion en el mercado de los titulos de deuda publica</t>
  </si>
  <si>
    <t>Bancos  comerciales,  incluye  la  captacion  de  recursos  en  cuenta  corriente bancaria, captacion de otros depositos a la vista o a termino (cuentas de ahorro, certificados de deposito a termino [CDT], entre otros), transferibles por cheque o medio electronico, con el objeto de realizar operaciones activas de credito</t>
  </si>
  <si>
    <t>Actividades de las corporaciones financieras, incluye la captacion de recursos a termino, a traves de depositos o de instrumentos de deuda a plazo.</t>
  </si>
  <si>
    <t>Actividades de las compañias de financiamiento, incluye la captacion de recursos mediante depositos a termino, con el objeto primordial de realizar operaciones activas de credito para facilitar la comercializacion de bienes y servicios y realizar operaciones de arrendamiento financiero o leasing.</t>
  </si>
  <si>
    <t>Banca de segundo piso, incluye instituciones de otorgamiento de credito a largo plazo  en  forma  de  credito  de  fomento  a  los  diferentes  sectores  productivos prioritarios de la economia nacional y a los segmentos empresariales, a traves de mecanismos de redescuento, mediante intermediarios financieros autorizados; se incluyen  entidades  como  Bancoldex  y  Findeter,  que  emiten  certificados  de deposito a termino</t>
  </si>
  <si>
    <t>Actividades de las cooperativas financieras, incluye captacion de depositos, a la vista o a termino de asociados o de terceros para colocarlos nuevamente a traves de operaciones activas de credito y, en general, el aprovechamiento o la inversion.</t>
  </si>
  <si>
    <t>Fideicomisos, fondos y entidades financieras similares, incluye los fideicomisos, legados o cuentas de agencia, administrados en nombre de los beneficiarios en virtud de un contrato de fiducia, un testamento o un contrato de representacion, actividades de personas juridicas organizadas para la mancomunion de valores u otros activos financieros, sin gestion, en nombre de accionistas o beneficiarios; actividades de carteras colectivas.</t>
  </si>
  <si>
    <t>Fondos de cesantias, incluye los fondos constituidos con patrimonio autonomo, conformados por los aportes de cesantias de los trabajadores que se encuentren afiliados al mismo</t>
  </si>
  <si>
    <t>Leasing financiero (arrendamiento financiero), incluye actividades de financiacion y arrendamiento, en las que el termino del contrato cubre aproximadamente la duracion de la vida util prevista de un activo.</t>
  </si>
  <si>
    <t>Actividades financieras de fondos de empleados y otras formas asociativas del sector solidario, incluye   cooperativas de ahorro y credito, cuya funcion principal consiste en adelantar actividad financiera exclusivamente con sus asociados; cooperativas multiactivas o integrales con seccion de ahorro y credito, fondos de empleados, fondos mutuos de inversion</t>
  </si>
  <si>
    <t>Actividades de compra de cartera o factoring, incluye compra de los creditos originados por la venta de mercancias a corto plazo</t>
  </si>
  <si>
    <t>Otras actividades de distribucion de fondos, incluye compañias de convenios de liquidacion por adelantado, inversion por cuenta propia, tales como empresas de capital de riesgo, clubes de inversion, suscripcion de creditos reciprocos, opciones y otras operaciones financieras de cobertura.</t>
  </si>
  <si>
    <t>Instituciones  especiales  oficiales,  incluye  servicio  financiero  realizado  por instituciones que no practican la intermediacion monetaria y cuya funcion principal es ofrecer creditos, prestamos, hipotecas, transacciones con tarjetas de credito, entre otros</t>
  </si>
  <si>
    <t>Otras actividades de servicio financiero, excepto las de seguros y pensiones n.c.p., incluye las actividades de las casas de empeño, concesion de credito a los consumidores, al igual que las actividades de los prestamistas.</t>
  </si>
  <si>
    <t>Otras actividades de servicio financiero, excepto las de seguros y pensiones ncp, incluye el otorgamiento de credito para la adquisicion de vivienda por instituciones financieras especializadas que no reciben depositos como la caja de vivienda  militar  y  las  actividades  financieras  de  las  cajas  de  compensacion familiar</t>
  </si>
  <si>
    <t>Otras actividades de servicio financiero, excepto las de seguros y pensiones ncp, incluye las actividades de giro postal y cajas de ahorro postal, entre otros</t>
  </si>
  <si>
    <t>Seguros generales, incluye  servicios de seguros distintos de los de seguro de vida; ademas incluye los planes de medicina prepagada, servicios de seguros distintos de los de seguro de vida, como los seguros de accidentes personales, de  automoviles,    agricolas,  viaje,  de  aviacion  y  navegacion,  cumplimiento, educativo,   hogar,   contra   Incendio,     terremotos,   de   minas   y  petroleros; relacionados con montaje y rotura de maquinarias; de responsabilidad civil; de semovientes;  contra  sustraccion;  contra  todo  riesgo  para  contratistas;  de transporte por carretera, maritimo y aereo; de credito; de manejo y cumplimiento; de desempleo entre otros</t>
  </si>
  <si>
    <t>Seguros de vida, incluye seguros de vida individual, seguros colectivos de vida y seguros de exequias entre otros</t>
  </si>
  <si>
    <t>Reaseguros, incluye el aseguramiento a compañias de seguros por parte de otra compañia aseguradora, mediante contratos entre el asegurador y un tercero para ceder parte del riesgo.</t>
  </si>
  <si>
    <t>Capitalizacion,  incluye  la  constitucion  de  capitales  determinados  a  traves  del ahorro, a cambio de desembolsos unicos o periodicos, con posibilidad o sin ella de reembolsos anticipados por medio de sorteos</t>
  </si>
  <si>
    <t>ACTIVIDADES DE LAS COMPAÑÍAS DE FINANCIAMIENTO COMERCIAL HACE REFERENCIA A EMPRESAS DEDICADAS A LA CAPTACIÓN DE RECURSOS MEDIANTE DEPÓSITOS A TÉRMINO PARA FACILITAR LA COMERCIALIZACIÓN DE BIENES Y SERVICIOS Y ACTIVIDADES CONEXAS TALES COMO LAS COMPAÑÍAS DE FINANCIAMIENTO COMERCIAL ESPECIALIZADAS DE LEASING</t>
  </si>
  <si>
    <t>ACTIVIDADES DE LAS COOPERATIVAS DE GRADO SUPERIOR DE CARÁCTER FINANCIERO HACE REFERENCIA A EMPRESAS DEDICADAS A LA CAPTACIÓN DE RECURSO PÚBLICO Y LA REALIZACIÓN DE OPERACIONES ACTIVAS DE CRÉDITO, ASÍ COMO LA INTERMEDIACIÓN ENTRE LAS COOPERATIVAS AFILIADAS Y EL BANCO CENTRAL PARA LA CANALIZACIÓN DE LOS RECURSOS DE DESCUENTO.</t>
  </si>
  <si>
    <t>OTROS TIPOS DE INTERMEDIACIÓN MONETARIA NCP HACE REFERENCIA A EMPRESAS DEDICADAS AL SERVICIO DE GIRO Y AHORRO POSTAL Y OTRAS ACTIVIDADES FINANCIERAS REALIZADAS EN COMBINACIÓN CON LAS ACTIVIDADES POSTALES.</t>
  </si>
  <si>
    <t>ARRENDAMIENTO FINANCIERO (LEASING) HACE REFERENCIA A EMPRESAS DEDICADAS A LAS ACTIVIDADES DE FINANCIAMIENTO Y ARRENDAMIENTO, EN LAS QUE EL TÉRMINO DEL CONTRATO CUBRE APROXIMADAMENTE LA DURACIÓN DE LA VIDA ÚTIL PREVISTA PARA EL BIEN.</t>
  </si>
  <si>
    <t>ACTIVIDADES DE LAS SOCIEDADES DE FIDUCIA HACE REFERENCIA A EMPRESAS DEDICADAS A LOS ENCARGOS FIDUCIARIOS CON FINES DE INVERSIÓN, ADMINISTRACIÓN Y VIGILANCIA DE LOS BIENES SOBRE LOS QUE RECAEN LAS GARANTÍAS.</t>
  </si>
  <si>
    <t>ACTIVIDADES DE LAS COOPERATIVAS FINANCIERAS Y FONDOS DE EMPLEADOS HACE REFERENCIA A EMPRESAS DEDICADAS A LA DISTRIBUCIÓN DE FONDOS SIN FINES DE LUCRO, ENTRE SUS ASOCIADOS PARA LA COMPRA DE BIENES Y SERVICIOS, ASÍ COMO LAS ACTIVIDADES DE LOS FONDOS DE EMPLEADOS, FONDOS MUTUOS DE INVERSIÓN Y SOCIEDADES MUTUALES.</t>
  </si>
  <si>
    <t>ACTIVIDADES DE LAS SOCIEDADES DE CAPITALIZACIÓN HACE REFERENCIA A EMPRESAS DEDICADAS A EL AHORRO EN CUALQUIER FORMA, DE CAPITALES DETERMINADOS A CAMBIO DE DESEMBOLSOS ÚNICOS O PERIÓDICOS CON POSIBILIDAD O SIN ELLA DE REEMBOLSOS ANTICIPADOS POR MEDIO DE SORTEOS ASÍ COMO LA EMISIÓN DE CÉDULAS Y TÍTULOS DE CAPITALIZACIÓN.</t>
  </si>
  <si>
    <t>ACTIVIDADES DE COMPRA DE CARTERA (FACTORING) HACE REFERENCIA A EMPRESAS DEDICADAS A LA COMPRA Y VENTA DE CARTERA Y LA PRESTACIÓN DE SERVICIOS, COMO ASISTENCIA TÉCNICA Y ADMINISTRATIVA.</t>
  </si>
  <si>
    <t xml:space="preserve">OTROS TIPOS DE CRÉDITO HACE REFERENCIA A EMPRESAS DEDICADAS A LA INTERMEDIACIÓN FINANCIERA POR INSTITUCIONES QUE NO PRACTICAN LA INTERMEDIACIÓN MONETARIA Y CUYA FUNCIÓN PRINCIPAL ES CONCEDER PRESTAMOS PARA LA COMPRA DE BIENES Y SERVICIOS, VIVIENDA ETC. LA CONCESIÓN DE CRÉDITO MEDIANTE TARJETAS DE CRÉDITO. </t>
  </si>
  <si>
    <t>OTROS TIPOS DE INTERMEDIACIÓN FINANCIERA NCP HACE REFERENCIA A EMPRESAS DEDICADAS A LAS TRANSACCIONES POR CUENTA PROPIA DE CORREDORES DE BOLSA, LAS INVERSIONES EN BIENES INMUEBLES EFECTUADAS PRIMORDIALMENTE POR CUENTA DE OTROS INTERMEDIARIOS FINANCIEROS Y LA SUSCRIPCIÓN DE CRÉDITOS RECÍPROCOS, OPCIONES Y OTRAS OPERACIONES FINANCIERAS DE COBERTURA, ASÍ COMO LAS ACTIVIDADES DE LOS PRESTAMISTAS.</t>
  </si>
  <si>
    <t>PLANES DE SEGUROS GENERALES HACE REFERENCIA A EMPRESAS DEDICADAS A LOS SEGUROS INCLUSO EL REASEGURO DISTINTOS DE LOS SEGUROS DE VIDA EJEMPLO SEGUROS CONTRA ACCIDENTES Y CONTRA INCENDIOS ETC, ASÍ COMO LOS PLANES DE MEDICINA PREPAGADA</t>
  </si>
  <si>
    <t>PLANES DE SEGUROS DE VIDA HACE REFERENCIA A EMPRESAS DEDICADAS A LOS SEGUROS DE VIDA INCLUSO EL REASEGURO Y OTROS TIPOS DE SEGURO A LARGO PLAZO, CONTENGA O NO UN ELEMENTO IMPORTANTE DE AHORRO INVOLUCRANDO LA CAPTACIÓN Y LA INVERSIÓN DE LOS FONDOS.</t>
  </si>
  <si>
    <t>PLANES DE REASEGUROS CUANDO LAS ACTIVIDADES DE REASEGURAMIENTO SE REALIZAN INDEPENDIENTEMENTE DE LA DE LOS SEGUROS HACE REFERENCIA A EMPRESAS DEDICADAS AL ASEGURAMIENTO A CAMPAÑAS DE SEGUROS POR PARTE DE OTRA COMPAÑÍA ASEGURADORA, MEDIANTE CONTRATOS ENTRE EL ASEGURADOR CON UN TERCERO PARA CEDER PARTE DEL RIESGO.</t>
  </si>
  <si>
    <t xml:space="preserve">PLANES DE PENSIONES Y CESANTÍAS HACE REFERENCIA A EMPRESAS DEDICADAS A LOS PLANES DE PAGO DE PENSIONES JUBILATORIOS Y CESANTÍAS ASÍ COMO LA CAPTACIÓN E INVERSIÓN DE LOS FONDOS. </t>
  </si>
  <si>
    <t>Administracion de mercados financieros, incluye la administracion y supervision de los mercados financieros por corporaciones independientes de las autoridades publicas, tales como: bolsas de contratos de productos basicos, bolsas de futuros, mercados  bursatiles,  bolsas  de  opciones  sobre  acciones  o  sobre  productos basicos</t>
  </si>
  <si>
    <t>Administracion de mercados financieros, incluye actividades de las bolsas de valores,  transacciones  en  titulos  valores;  control  operativo  y  tecnico  del funcionamiento del mercado bursatil, al igual que la canalizacion de los recursos del publico hacia la inversion en empresas (sociedades anonimas), mediante su capitalizacion</t>
  </si>
  <si>
    <t>Corretaje de valores y de contratos de productos basicos, incluye operaciones de agentes que intervienen en los mercados financieros en nombre de terceros, comisionistas de bolsa e independientes, corretaje de valores y de contratos de productos basicos y actividades conexas La constitucion y administracion de los fondos de valores como tambien las actividades de las sociedades comisionistas de bolsa</t>
  </si>
  <si>
    <t>Otras actividades relacionadas con el mercado de valores, incluye actividades de las sociedades calificadoras de valores, depositos centralizados de valores y actividades conexas.</t>
  </si>
  <si>
    <t>Actividades de las casas de cambio, incluye operaciones de cambio relacionadas con el envio o recepcion de giros y remesas en moneda extranjera; compra y venta  de  divisas  tanto  a  los  intermediarios  del  mercado  cambiario  como  las destinadas al proceso de importacion y de exportacion de bienes e inversiones de capital e inversiones de capital en el exterior</t>
  </si>
  <si>
    <t>Actividades de los profesionales de compra y venta de divisas, incluye la compra y  venta  de  manera  profesional  de  divisas  en  efectivo  y  cheques  de  viajero desarrollado exclusivamente por residentes en el pais, en un establecimiento de comercio con jurisdiccion en la zona donde va a prestar el servicio, el cual debe tener una ventanilla para atencion al publico</t>
  </si>
  <si>
    <t>Otras actividades auxiliares de las actividades de servicios financieros ncp, incluye  las  actividades  de  servicios  financieros  no  clasificadas  en  otra  parte, incluso las actividades de tramitacion y liquidacion de transacciones financieras, asesoramiento financiero en inversiones, actividades de asesores y corredores hipotecarios; mesas de dinero, evaluadores de riesgo financiero, entre otros</t>
  </si>
  <si>
    <t>Actividades  de  administracion  de  fondos,  incluye  servicios  de  administracion fiduciaria y de custodia a cambio de una retribucion o por contrata, administracion de fondos de pensiones y fondos de cesantias; administracion de fondos mutuos de inversion y otros fondos de inversion</t>
  </si>
  <si>
    <t>ADMINISTRACIÓN DE MERCADOS FINANCIEROS HACE REFERENCIA A EMPRESAS DEDICADAS A LA FINANCIACIÓN Y SUPERVISIÓN DE LOS MERCADOS FINANCIEROS POR CORPORACIONES INDEPENDIENTES DE LAS AUTORIDADES PÚBLICAS, LAS ACTIVIDADES DE OTRAS ENTIDADES QUE REGULAN Y SUPERVISAN LAS OPERACIONES DE LOS MERCADOS FINANCIEROS, ASÍ COMO LAS BOLSAS DE CONCERTACIÓN DE CONTRATOS A TÉRMINO DE PRODUCTOS BÁSICOS.</t>
  </si>
  <si>
    <t>EMPRESAS DEDICADAS A ACTIVIDADES DE LAS BOLSAS DE VALORES</t>
  </si>
  <si>
    <t xml:space="preserve">ACTIVIDADES DE COMISIONISTAS Y CORREDORES DE VALORES HACE REFERENCIA A EMPRESAS DEDICADAS A LAS TRANSACCIONES BURSÁTILES EFECTUADAS EN NOMBRE DE TERCEROS, LA OPERACIONALIZACIÓN, LA COMPRA Y VENTA DE TÍTULOS VALORES Y EL CONTROL OPERATIVO Y TÉCNICO DEL FUNCIONAMIENTO DEL MERCADO BURSÁTIL, LA CONSTITUCIÓN Y ADMINISTRACIÓN DE LOS FONDOS DE VALORES E INTERMEDIACIÓN EN LA COLOCACIÓN DE TÍTULOS Y ADMINISTRACIÓN DE PORTAFOLIOS, ASÍ COMO LAS ACTIVIDADES DE LAS SOCIEDADES ADMINISTRADORAS DE LOS FONDOS DE VALORES. </t>
  </si>
  <si>
    <t>OTRAS ACTIVIDADES RELACIONADAS CON EL MERCADO DE VALORES HACE REFERENCIA A EMPRESAS DEDICADAS A LAS ACTIVIDADES DE LAS SOCIEDADES CALIFICADORAS DE VALORES, DEPÓSITOS CENTRALIZADOS DE VALORES, INVERSIONISTAS FINANCIEROS (HOLDING) Y ACTIVIDADES CONEXAS.</t>
  </si>
  <si>
    <t xml:space="preserve">ACTIVIDADES DE LAS CASAS DE CAMBIO HACE REFERENCIA A EMPRESAS DEDICADAS A LA COMPRA Y VENTA DE DIVISAS POR UNIDADES QUE INTERVIENEN EN LOS MERCADOS FINANCIEROS. </t>
  </si>
  <si>
    <t xml:space="preserve">ACTIVIDADES AUXILIARES DE LA ADMINISTRACIÓN FINANCIERA NCP HACE REFERENCIA A EMPRESAS DEDICADAS A TODAS LAS ACTIVIDADES AUXILIARES DE LA INTERMEDIACIÓN FINANCIERA NO CLASIFICADA EN OTRA PARTE ASÍ COMO EL SERVICIO DE ASESORES FINANCIEROS, ASESORES Y CORREDORES HIPOTECARIOS, FONDOS DE GARANTÍAS, MESAS DE DINERO ETC. </t>
  </si>
  <si>
    <t>EMPRESAS DEDICADAS A ACTIVIDADES AUXILIARES DE LOS FONDOS DE PENSIONES Y CESANTÍAS</t>
  </si>
  <si>
    <t>Actividades inmobiliarias realizadas con bienes propios o  arrendados, incluye compra, venta, administracion, alquiler y/o arrendamiento de bienes inmuebles amoblados  o   no,   tales   como:   inmuebles   residenciales   e   inmuebles   no residenciales   e   incluso   salas   de   exposiciones,   salas   cinematograficas, instalaciones para almacenamiento, centros comerciales y terrenos; el suministro de espacio solo para albergue de animales; promocion y comercializacion de proyectos inmobiliarios</t>
  </si>
  <si>
    <t>Actividades inmobiliarias realizadas a cambio de una retribucion o por contrata, incluye  compra,  venta,  administracion,  alquiler  y/o  arrendamiento  de  bienes inmuebles,  valuacion  inmobiliaria,  promocion  y  comercializacion  de  proyectos inmobiliarios, consultoria inmobiliaria, consultoria, administracion de condominios, conjuntos residenciales, centros comerciales y plazas de mercado, zonas francas, entre otros</t>
  </si>
  <si>
    <t>Actividades juridicas, incluye el de representacion de los intereses de las partes, sea o no ante tribunales u otros organos judiciales, realizadas por abogados o bajo   la   supervision   de   abogados:   asesoramiento   y   representacion   en procedimientos   civiles,       penales,   conflictos   comerciales   y   laborales, asesoramiento en preparacion de documentos juridicos que comprende escrituras de constitucion, contratos de sociedad y documentos similares para la formacion de  sociedades,  tramites  de  patentes  y  derechos  de  autor,  fideicomisos, actividades  de  notarios  publicos,  ejecutores  judiciales,  arbitros  y  curadores urbanos</t>
  </si>
  <si>
    <t>Actividades de contabilidad, teneduria de libros, auditoria financiera y asesoria tributaria, incluye el registro contable de transacciones comerciales de empresas y  otras  entidades,  auditoria  de  los  estados  financieros,  el  procesamiento  y liquidacion  de  nomina,  certificacion  de  los  estados  financieros,  declaraciones tributarias y de impuestos de personas naturales y juridicas, asesoramiento y representacion de clientes ante las autoridades tributarias</t>
  </si>
  <si>
    <t>Actividades de administracion empresarial, incluye la supervision, la gestion de otras unidades de la misma compañia o empresa; la planificacion estrategica u organizativa, la toma de decisiones y el control operativo y la gestion de las operaciones  corrientes,  en  sedes  administrativas  principales  y/o  centrales, oficinas regionales, oficinas subsidiarias de gestion</t>
  </si>
  <si>
    <t>Actividades de consultoria de gestion, incluye asesoria, orientacion y asistencia operacional a empresas y otras  organizaciones sobre cuestiones de gestion, como la planificacion estrategica y organizacional; temas de decision de caracter financiero; objetivos y politicas de comercializacion; planificacion de la produccion; politicas,  practicas  y  planificacion  de  derechos  humanos  Asesoramiento, orientacion y asistencia operativa a las empresas y a la administracion publica en materia  de:  relaciones  publicas  y  comunicaciones,  actividades  de  lobby, procedimientos contables, programas de contabilidad de costos, procedimientos de control presupuestario Las zonas francas, es decir, las unidades economicas que se dedican a la promocion, creacion, desarrollo y administracion del proceso de   industrializacion   de   bienes   y   la   prestacion   de   servicios   destinados prioritariamente a los mercados externos</t>
  </si>
  <si>
    <t>Actividades  de  arquitectura  e  ingenieria  y  otras  actividades  conexas  de consultoria tecnica, incluye  actividades de consultoria de arquitectura: diseño de edificios y dibujo de planos de construccion, planificacion urbana y arquitectura paisajista,  diseño de ingenieria consultoria relativas a: maquinaria, procesos y plantas  industriales,  ingenieria  civil,  hidraulica  y  de  trafico,  proyectos  de ordenacion  hidrica,  proyectos  de  ingenieria  electrica  sin  presencia  en  las instalaciones  donde se desarrolla el proyecto (sin intervencion directa en obras)</t>
  </si>
  <si>
    <t>Actividades de ingeniería y otras actividades conexas de consultoría técnica, incluye  actividades de consultoría de arquitectura: diseño de edificios y dibujo de planos de construcción, planificación urbana y arquitectura paisajista,  diseño de ingeniería consultoría relativas a: maquinaria, procesos y plantas industriales, ingeniería civil, hidráulica y de tráfico, proyectos de ordenación hídrica, proyectos de ingeniería eléctrica sin presencia en las instalaciones  donde se desarrolla el proyecto (sin intervención directa en obras).</t>
  </si>
  <si>
    <t>EMPRESAS DEDICADAS AL ALQUILER DE EFECTOS PERSONALES Y ENSERES DOMÉSTICOS NCP INCLUYE EL ALQUILER Y LA VENTA DE VESTIDOS, DISFRACES Y SIMILARES, ALQUILER DE VIDEOS.</t>
  </si>
  <si>
    <t>Investigaciones y desarrollo experimental en el campo de las ciencias naturales y la  ingenieria,  incluye  investigacion  en  la  ingenieria  en  ciencias  naturales, ingenieria y tecnologia y aquellas de caracter interdisciplinario,</t>
  </si>
  <si>
    <t>EMPRESAS DEDICADAS A CONSULTORÍA EN PROGRAMAS DE INFORMÁTICA Y SUMINISTRO DE PROGRAMAS DE INFORMÁTICA INCLUYE. EDICIÓN DE SOFTWARE, LAS ACTIVIDADES RELACIONADAS CON EL ANÁLISIS, EL DISEÑO Y LA PROGRAMACIÓN DE SISTEMAS LISTOS PARA SER UTILIZADOS, ELABORACIÓN DE PROGRAMAS CON ARREGLO A LAS INSTRUCCIONES DE LOS USUARIOS, EL DESARROLLO DE SISTEMAS DE COMPUTADORA LISTOS PARA SER UTILIZADOS</t>
  </si>
  <si>
    <t>PROCESAMIENTO DE DATOS EL PROCESAMIENTO Y LA TABULACIÓN DE TODO TIPO DE DATOS Y ACTIVIDADES ESPECIALIZADAS COMO TECLEADO Y OTROS TIPOS DE ENTRADA DE DATOS, CONVERSIÓN, RECONOCIMIENTO ÓPTICO DE CARACTERES PRESTADOS DIRECTAMENTE Y POR INTERMEDIO DE TERMINALES DE ACCESO A LARGA DISTANCIA Y PUEDEN UTILIZAR PROGRAMAS DE PROPIEDAD DEL CLIENTE Y PROGRAMAS PATENTADOS. HACE REFERENCIA A EMPRESAS DEDICADAS A LA ADMINISTRACIÓN Y EL MANEJO OPERACIONAL DEL EQUIPO DE PROCESAMIENTO DE DATOS INSTALADO POR LOS USUARIOS BAJO UN CONTRATO PERMANENTE.</t>
  </si>
  <si>
    <t>EMPRESAS DEDICADAS A LAS ACTIVIDADES RELACIONADAS CON BASES DE DATOS INCLUYE LA PREPARACIÓN DE BASES DE DATOS, EL ALMACENAMIENTO DE DATOS, LA FACILITACIÓN DE LA INFORMACIÓN ALMACENADA EN LA BASE DE DATOS</t>
  </si>
  <si>
    <t>EMPRESAS DEDICADAS A OTRAS ACTIVIDADES DE INFORMÁTICA LAS ACTIVIDADES DE INFORMÁTICA NO CLASIFICADAS EN OTRA PARTE.</t>
  </si>
  <si>
    <t>Publicidad,  incluye  servicios  de  asesoria,  servicios  creativos,  produccion  de material publicitario y utilizacion de los medios de difusion, creacion y realizacion de campañas de publicidad; creacion y colocacion de anuncios en periodicos, revistas, programas de radio, television, internet y otros medios de difusion, de anuncios de publicidad exterior y publicidad aerea Representacion de medios de difusion, a saber, venta de tiempo y espacio en diversos medios de difusion interesados  en  la  obtencion  de  anuncios,  distribucion  y  entrega  de  material publicitario o muestras, alquiler de espacios publicitarios en vallas publicitarias, etcetera, creacion de stands y otras estructuras y sitios de exhibicion, manejo de campañas de mercadeo promocion de productos, comercializacion en puntos de venta, publicidad directa via correo, consultoria en comercializacion</t>
  </si>
  <si>
    <t>Estudios  de  mercado  y  realizacion  de  encuestas  de  opinion  publica,  incluye estudios sobre posibilidades de comercializacion, de aceptacion y el grado de conocimiento de los productos y habitos de compra de los consumidores, con el fin de promover las ventas y desarrollar nuevos productos, incluyendo el analisis estadistico de los resultados, encuestas de opinion publica, acerca de temas politicos, economicos y sociales y el analisis estadistico de los resultados de estas encuestas</t>
  </si>
  <si>
    <t>EMPRESAS DEDICADAS A ACTIVIDADES JURÍDICAS INCLUYE LAS OFICINAS Y/O DESPACHOS PROFESIONALES QUE DESARROLLAN ACTIVIDADES DE TIPO JURÍDICO</t>
  </si>
  <si>
    <t xml:space="preserve">EMPRESAS DEDICADAS A ACTIVIDADES DE CONTABILIDAD, TENEDURÍA DE LIBROS Y AUDITORIA; ASESORAMIENTO EN MATERIA DE IMPUESTOS" RELACIONADO CON DESPACHOS PÚBLICOS CUYA ACTIVIDAD ADMINISTRATIVA NO ESTÉ INCLUIDA EN OTRA ACTIVIDAD ECONÓMICA, ACTIVIDADES DE REGISTRO DE TRANSACCIONES COMERCIALES PARA EMPRESAS Y OTRAS ENTIDADES, ACTIVIDADES DE ASESORAMIENTO Y REPRESENTACIÓN CONEXAS REALIZADAS EN EL NOMBRE DE CLIENTES ANTE AUTORIDADES TRIBUTARIAS </t>
  </si>
  <si>
    <t xml:space="preserve">EMPRESAS DEDICADAS A LA INVESTIGACIÓN DE MERCADOS Y REALIZACIÓN DE ENCUESTAS DE OPINIÓN PUBLICA </t>
  </si>
  <si>
    <t>EMPRESAS DEDICADAS A ACTIVIDADES DE ASESORAMIENTO EMPRESARIAL Y EN MATERIA DE GESTIÓN INCLUYE LAS ZONAS FRANCAS DEDICADAS A PROMOCIÓN, CREACIÓN, DESARROLLO Y ADMINISTRACIÓN DEL PROCESO DE INDUSTRIALIZACIÓN DE BIENES Y LA PRESTACIÓN DE SERVICIOS DESTINADOS PRIORITARIAMENTE A LOS MERCADOS EXTERNOS, ASÍ COMO LOS SERVICIOS DE AGRÓNOMOS, ECONOMISTAS, INGENIEROS ETC.</t>
  </si>
  <si>
    <t>EMPRESAS DEDICADAS A ACTIVIDADES DE ARQUITECTURA E INGENIERÍA Y ACTIVIDADES CONEXAS DE ASESORAMIENTO TÉCNICO INCLUYE ACTIVIDADES DE DIRECCIÓN DE OBRAS DE CONSTRUCCIÓN, AGRIMENSURA Y DE EXPLOTACIÓN Y PROSPECCIÓN GEOLÓGICAS ASÍ COMO LA PRESTACIÓN DE ASESORAMIENTO TÉCNICO CONEXO, EL DISEÑO INDUSTRIAL Y DE MÁQUINAS (SIN INTERVENCIÓN DIRECTA EN LAS OBRAS)</t>
  </si>
  <si>
    <t xml:space="preserve">EMPRESAS DEDICADAS A LA PUBLICIDAD </t>
  </si>
  <si>
    <t>Otras actividades profesionales, cientificas y tecnicas ncp, incluye actividades de traduccion e interpretacion, intermediacion en materia de patentes, consultoria y  asesoramiento  tecnico  sin  presencia  en  areas  o  instalaciones  operativas; actividades de traduccion e interpretacion; actividades realizadas por agencias en nombre de particulares para obtener contratos de actuacion en peliculas, obras de  teatro  y  otros  espectaculos  culturales  y  deportivos,  y  para  ofertar  libros, guiones, obras de arte, fotografias, etc, a editores, productores, etcetera</t>
  </si>
  <si>
    <t xml:space="preserve">EMPRESAS DEDICADAS A LA OBTENCIÓN Y SUMINISTRO DE PERSONAL INCLUYE AGENCIAS DE EMPLEO </t>
  </si>
  <si>
    <t>EMPRESAS DEDICADAS A OTRAS ACTIVIDADES EMPRESARIALES NCP INCLUYE OFICINAS DE NEGOCIOS VARIOS TALES COMO COBRANZAS DE CUENTAS, ACTIVIDADES DE EVALUACIÓN EXCEPTO LAS RELACIONADAS CON BIENES RAÍCES Y NEGOCIOS, ACTIVIDADES DE INTERMEDIACIÓN Y PROMOCIÓN COMERCIAL, SUBASTAS, TRAMITACIÓN DE DOCUMENTOS, ACTIVIDADES DE REDACCIÓN, TRADUCCIÓN E INTERPRETACIÓN, ACTIVIDADES DE MICROFILMACIÓN, ACTIVIDADES DE DEMOSTRACIÓN Y EXHIBICIÓN INCLUSO LA PRESTACIÓN DE SERVICIOS PROFESIONALES, ACTIVIDADES DE AGENCIAS, DISEÑO DE TELAS PRENDAS DE VESTIR ETC</t>
  </si>
  <si>
    <t>EMPRESAS DEDICADAS A ACTIVIDADES LEGISLATIVAS DE LA ADMINISTRACIÓN PUBLICA EN GENERAL INCLUYE AL CONGRESO DE LA REPÚBLICA</t>
  </si>
  <si>
    <t xml:space="preserve">EMPRESAS DEDICADAS A ACTIVIDADES EJECUTIVAS DE LA ADMINISTRACIÓN PUBLICA EN GENERAL INCLUYE MINISTERIOS, ÓRGANOS, ORGANISMOS Y DEPENDENCIAS ADMINISTRATIVAS EN LOS NIVELES CENTRAL, REGIONAL Y LOCAL. </t>
  </si>
  <si>
    <t>EMPRESAS DEDICADAS A LA REGULACIÓN DE LAS ACTIVIDADES DE ORGANISMOS QUE PRESTAN SERVICIOS DE SALUD, EDUCATIVOS, CULTURALES Y OTROS SERVICIOS SOCIALES, EXCEPTO SERVICIOS DE SEGURIDAD SOCIAL</t>
  </si>
  <si>
    <t>EMPRESAS DEDICADAS A ACTIVIDADES REGULADORAS Y FACILITADORAS DE LA ACTIVIDAD ECONÓMICA TALES COMO: ACTIVIDADES GUBERNAMENTALES RELACIONADAS CON EL MANEJO DE INFRAESTRUCTURA, EL ORDENAMIENTO DE TIERRAS DE USO AGROPECUARIO, LA REFORMA AGRARIA Y LA COLONIZACIÓN, LA COMERCIALIZACIÓN DE PRODUCTOS AGROPECUARIOS Y CONCESIÓN DE SUBVENCIONES, LA REGULACIÓN DE PLAGAS, INSPECCIÓN DE CULTIVOS Y CLASIFICACIÓN DE PRODUCTOS, LA ADMINISTRACIÓN DE ACTIVIDADES FORESTALES Y VETERINARIAS DE CAZA Y PESCA; ASUNTOS DE COMBUSTIBLES Y ENERGÍA ELECTICA, ACTIVIDADES MANUFACTURERAS Y DE LA CONSTRUCCIÓN, DE EMPRESAS DEDICADAS AL COMERCIO, DE LA HOTELERÍA, DEL TRANSPORTE, LAS COMUNICACIONES SIN EMBARGO ES IMPORTANTE ESTABLECER QUE NO INVOLUCRA LAS LABORES DE CAMPO O INTERVENCIÓN DIRECTA YA QUE QUIEN DESARROLLE DICHA ACTIVIDAD DEBERÁ CLASIFICARSE POR LA ACTIVIDAD ECONÓMICA DE DICHO CENTRO DE TRABAJO</t>
  </si>
  <si>
    <t xml:space="preserve">EMPRESAS DEDICADAS A ACTIVIDADES AUXILIARES DE SERVICIOS PARA LA ADMINISTRACIÓN PUBLICA EN GENERAL </t>
  </si>
  <si>
    <t>EMPRESAS DEDICADAS A RELACIONES EXTERIORES HACE REFERENCIA INCLUYE MINISTERIO DE RELACIONES EXTERIORES Y DE LAS MISIONES DIPLOMÁTICAS Y CONSULARES EN EL EXTRANJERO O ANTE ORGANIZACIONES INTERNACIONALES.</t>
  </si>
  <si>
    <t>Alquiler y arrendamiento de otros efectos personales y enseres domesticos n.c.p., incluye alquiler de muebles, utensilios de cocina, vajillas, aparatos electricos, joyas, instrumentos musicales, material de escenografia, vestuario, herramienta para reparaciones domesticas, libros, periodicos y revistas.</t>
  </si>
  <si>
    <t>Alquiler y arrendamiento de otros efectos personales y enseres domesticos n.c.p., incluye: alquiler de maquinaria y equipo de bricolaje, flores artificiales y plantas, equipo electronico.</t>
  </si>
  <si>
    <t>Arrendamiento  de  propiedad  intelectual  y  productos  similares,  excepto  obras protegidas  por  derechos  de  autor,  incluye  el  arrendamiento  de  productos  de propiedad intelectual (excepto obras protegidas por derechos de autor, como libros o software), percepcion de regalias o derechos de licencias, entidades patentadas, marca de fabricas o de comercio o marcas de servicio, nombres comerciales, exploracion y evaluacion de recursos minerales, franquicias</t>
  </si>
  <si>
    <t>Actividades de agencias de empleo, incluye busqueda, seleccion, ubicacion de personal, incluyendo personal ejecutivo, actualizacion de listas de vacantes y la remision o colocacion de candidatos a empleos, cuando las personas remitidas o colocadas no son empleados de las agencias de empleo, oficinas de casting.</t>
  </si>
  <si>
    <t>Actividades de agencias de empleo, incluye agencias de ubicacion de empleos por internet</t>
  </si>
  <si>
    <t>Actividades de las agencias de viaje, incluye agencias de viajes, principalmente encargadas de la venta de viajes, paquetes turisticos; transporte y servicios de alojamiento  al  por  mayor  o  al  por  menor  al  publico  en  general  y  a  clientes comerciales</t>
  </si>
  <si>
    <t>Actividades de operadores turisticos, incluye  la  organizacion  de paquetes de servicios de viajes para su venta a traves de agencias de viajes o por los propios operadores turisticos Esos viajes organizados pueden incluir uno o varios de los elementos  siguientes:  Transporte,  Alojamiento,  Comidas,  Visitas  a  museos, lugares historicos o culturales y asistencia a espectaculos teatrales, musicales o deportivos</t>
  </si>
  <si>
    <t>Otros  servicios  de  reserva  y  actividades  relacionadas,  incluye  servicios  de reservas   relacionados   con   los   viajes:   reservas   de   transporte,   hoteles, restaurantes, alquiler de automoviles, entretenimiento y deporte y otras reservas conexas de agencias de transporte y la prestacion de servicios de asistencia a los visitantes: suministro a los clientes de informacion sobre los viajes, actividades de guias de turismo, actividades de promocion turistica</t>
  </si>
  <si>
    <t>Otros  servicios  de  reserva  y  actividades  relacionadas,  incluye  prestacion  de servicios  de  intercambio  en  regimen  de  tiempo  compartido  o  multipropiedad, actividades de venta de tiquetes para actividades de diversion y entretenimiento</t>
  </si>
  <si>
    <t>ESTABLECIMIENTOS DE EDUCACIÓN PREESCOLAR QUE SUELE IMPARTIRSE EN ESCUELAS DE PÁRVULOS O EN JARDINES INFANTILES INCLUYE GUARDERÍAS</t>
  </si>
  <si>
    <t>ESTABLECIMIENTOS DE EDUCACIÓN BÁSICA PRIMARIA INCLUYE AQUELLOS DONDE SE DICTAN LOS PROGRAMAS DE ALFABETIZACIÓN PARA NIÑOS QUE NO ASISTEN A UN CENTRO EDUCATIVO, LA EDUCACIÓN ESPECIAL DIRIGIDA A NIÑOS Y JÓVENES CON LIMITACIONES O CAPACIDADES EXCEPCIONALES.</t>
  </si>
  <si>
    <t xml:space="preserve">ESTABLECIMIENTOS DE EDUCACIÓN BÁSICA SECUNDARIA </t>
  </si>
  <si>
    <t xml:space="preserve">ESTABLECIMIENTOS DE EDUCACIÓN MEDIA </t>
  </si>
  <si>
    <t xml:space="preserve">ESTABLECIMIENTOS QUE PRESTAN EL SERVICIO DE EDUCACIÓN PREESCOLAR Y BÁSICA PRIMARIA EN LA MISMA UNIDAD FÍSICA </t>
  </si>
  <si>
    <t>ESTABLECIMIENTOS QUE PRESTAN EL SERVICIO DE EDUCACIÓN PREESCOLAR Y BÁSICA PRIMARIA Y BÁSICA SECUNDARIA EN LA MISMA UNIDAD FÍSICA</t>
  </si>
  <si>
    <t>ESTABLECIMIENTOS QUE PRESTAN EL SERVICIO DE EDUCACIÓN PREESCOLAR, BÁSICA PRIMARIA - BÁSICA SECUNDARIA Y MEDIA DE CARÁCTER ACADÉMICO O TÉCNICO EN LA MISMA UNIDAD FÍSICA</t>
  </si>
  <si>
    <t>ESTABLECIMIENTOS QUE PRESTAN EL SERVICIO DE EDUCACIÓN BÁSICA PRIMARIA Y BÁSICA SECUNDARIA EN LA MISMA UNIDAD FÍSICA</t>
  </si>
  <si>
    <t>ESTABLECIMIENTOS QUE PRESTAN EL SERVICIO DE EDUCACIÓN BÁSICA PRIMARIA - BÁSICA SECUNDARIA Y MEDIA DE CARÁCTER ACADÉMICO Y/ O TÉCNICO EN LA MISMA UNIDAD FÍSICA</t>
  </si>
  <si>
    <t>ESTABLECIMIENTOS QUE PRESTAN EL SERVICIO DE EDUCACIÓN BÁSICA SECUNDARIA Y MEDIA DE CARÁCTER ACADÉMICO Y/O TÉCNICO EN LA MISMA UNIDAD FÍSICA</t>
  </si>
  <si>
    <t>EDUCACIÓN SUPERIOR HACE REFERENCIA A EMPRESAS DEDICADAS A ESPECIALIZACIONES Y POSTGRADOS CUANDO SE REALICEN ACTIVIDADES PRÁCTICAS SE ASIMILARAN AL RIESGO DEL CENTRO DE TRABAJO.</t>
  </si>
  <si>
    <t>ESTABLECIMIENTOS DE EDUCACIÓN NO FORMAL INCLUYE PROGRAMAS DE ALFABETIZACIÓN PARA ADULTOS ETC.</t>
  </si>
  <si>
    <t>Actividades de centros de llamadas (Call center) incluye las actividades de centros que atienden a llamadas de clientes utilizando operadores humanos, sistemas de distribucion  automatica  de  llamadas,  sistemas  informatizados  de  telefonia, sistemas  interactivos  de  respuesta  de  voz,  recibir  pedidos,  proporcionar informacion sobre productos, responder a solicitudes de asistencia de los clientes o atender reclamaciones</t>
  </si>
  <si>
    <t>Organizacion  de  convenciones  y  eventos  comerciales,  incluye  organizacion, promocion y/o gestion acontecimientos tales como exposiciones empresariales o comerciales, convenciones, conferencias y reuniones, esten incluidas o no la gestion  de  esas  instalaciones  y  la  dotacion  de  personal  necesario  para  su funcionamiento</t>
  </si>
  <si>
    <t>Actividades de agencias de cobranza y oficinas de calificacion crediticia, incluye cobro de cartera; el cobro de cantidades adeudadas y la entrega de esos fondos a los clientes, como servicios de cobro de facturas o de deudas</t>
  </si>
  <si>
    <t>Otras  actividades  de  servicio  de  apoyo  a  las  empresas  ncp,  incluye  la presentacion   de   informes   textuales   y     grabaciones   con   estenotipo   en procedimientos legales y la trascripcion posterior de los materiales grabados como reportes de corte (judiciales) o servicios de grabacion de estenotipia y servicios publicos de estenografia, subtitulacion en tiempo real (es decir, simultaneo) de reuniones y conferencias por television en vivo y actividades de subastadores independientes;  administracion de programas de fidelidad</t>
  </si>
  <si>
    <t>Otras actividades de soporte tipicamente provistas a los negocios no clasificados en otra parte.</t>
  </si>
  <si>
    <t>Actividades legislativas de la administracion publica, incluye el desempeño de las funciones  gubernamentales  de  caracter  legislativo,  que  son  realizadas  por unidades administrativas que forman parte del Congreso de la Republica o de los organismos centrales, regionales y locales encargados de las funciones Estas actividades   estan   relacionadas   con   la   facultad   expresa   de   reformar   la Constitucion, la formulacion, interpretacion, reforma, aprobacion y derogacion de las leyes, acuerdos, ordenanzas y otros, ademas del ejercicio del control politico sobre el gobierno y la administracion, gubernamentales de caracter legislativo La rama legislativa tiene, entre otras, tres grandes funciones: La expedicion de las leyes o funcion legislativa, el control politico sobre el gobierno y la administracion, la funcion constituyente El Congreso tiene otras funciones: La funcion judicial, la funcion electoral, la funcion administrativa, la funcion de protocolo</t>
  </si>
  <si>
    <t>Actividades ejecutivas de la administracion publica, incluye el desempeño de las funciones gubernamentales de caracter ejecutivo, desarrolladas por los organos y organismos centrales, regionales y locales</t>
  </si>
  <si>
    <t>Actividades  ejecutivas  de  la  administracion  publica,  incluye  las  actividades administrativas de los organismos de defensa y seguridad</t>
  </si>
  <si>
    <t>Actividades ejecutivas de la administracion publica, incluye la administracion y supervision de asuntos financieros y fiscales, tales como: aplicacion de sistemas de impuestos, recaudo, fiscalizacion, liquidacion, cobro, devolucion y sancion de impuestos  sobre  bienes,  investigacion  de  casos  de  evasion  de  impuestos, administracion  de  los  derechos  de  aduana  y  demas  impuestos  al  comercio exterior; la ejecucion presupuestal y administracion de la hacienda y la deuda publica;  obtencion y recepcion de fondos y la fiscalizacion de su desembolso</t>
  </si>
  <si>
    <t>Actividades ejecutivas de la administracion publica, incluye la administracion y funcionamiento de servicios de planificacion economica y social; la produccion y difusion  de  las  estadisticas  generales;  la  coordinacion  e  integracion  de  los servicios estadisticos nacionales y territoriales; la aplicacion de la politica general de investigacion y desarrollo (de caracter civil) y la administracion de los fondos pertinentes</t>
  </si>
  <si>
    <t>Actividades  ejecutivas  de  la  administracion  publica,  incluye  los  servicios  de personal y otras actividades de servicios generales: administracion de servicios de personal en general, esten o no relacionados con una funcion concreta; la formulacion y aplicacion de normas y procedimientos generales de personal en materia  de  metodos  de  seleccion,  calificacion  y  ascenso,  descripcion  de funciones, evaluacion y clasificacion, aplicacion de reglamentos de personal, entre otros; la administracion, la direccion y el respaldo de servicios generales: servicios de suministro y compra centralizados; conservacion y custodia de registros y archivos publicos; la administracion de edificios de propiedad publica u ocupados por la administracion publica</t>
  </si>
  <si>
    <t>Regulacion de las actividades de organismos que prestan servicios de salud, educativos, culturales y otros servicios sociales, excepto servicios de seguridad social, incluye la administracion publica de programas destinados a aumentar el bienestar  social  de  la  comunidad  en  materia  de:  salud,  educacion,  cultura, deporte,  servicios  recreativos,  medio  ambiente,  vivienda  y  servicios  sociales, administracion    de    programas    de    vivienda,    tales    como    Ministerios, Superintendencias y comision de regulacion entre otros</t>
  </si>
  <si>
    <t>Actividades  reguladoras  y  facilitadoras  de  la  actividad  economica,  incluye  la administracion y regulacion publica, incluyendo la concesion de subvenciones de los   diferentes   sectores   economicos,   administracion   de   las   politicas   de investigacion y desarrollo destinadas a mejorar los resultados economicos y de los  fondos  correspondientes;  la  administracion  de  las  actividades  laborales generales   y  la  ejecucion  de  medidas  de  politica  de  desarrollo  regional;  la ejecucion de medidas de politica de desarrollo regional;</t>
  </si>
  <si>
    <t>Actividades de otros organos de control, incluye los organos de control que son instituciones del Estado que no pertenecen a ninguna rama del poder publico y cuentan con autonomia administrativa y presupuestal para adelantar las funciones que la Constitucion les asigna tales como: la Contraloria, la Procuraduria, la Defensoria  del  Pueblo,  la  Organizacion  Electoral  Incluye  las  actividades realizadas por los organos independientes que se encargan de cumplir funciones del  Estado  diferentes  a  las  realizadas  por  las  ramas  del  Poder  Publico,  La proteccion y promocion de los derechos humanos, la proteccion del interes publico y la vigilancia de la conducta oficial de quienes desempeñan funciones publicas; La  vigilancia  de  la  gestion  fiscal  realizada  por  la  administracion  y  de  los particulares  o  entidades  que  manejen  fondos  o  bienes  de  la  nacion;  La organizacion de las elecciones, su direccion y vigilancia, asi como lo relativo a la identidad de las personas</t>
  </si>
  <si>
    <t>Relaciones exteriores, incluye la administracion y el funcionamiento del Ministerio de Relaciones Exteriores y las misiones diplomaticas y consulares en el extranjero ante organizaciones  internacionales; La administracion, la direccion y el respaldo de servicios informativos y culturales que se prestan en el extranjero; el suministro de ayuda a otros paises, sea efectuado o no por conducto de organizaciones internacionales;  la  prestacion  de  ayuda  militar  a  otros  paises;  la  gestion  de asuntos relacionados con  el comercio exterior, la financiacion internacional y cuestiones de caracter tecnico; la asistencia internacional como programas de socorro a refugiados y de lucha contra el hambre La entidad que se incluye en esta clase: Ministerio de Relaciones Exteriores</t>
  </si>
  <si>
    <t>EMPRESAS DEDICADAS A ACTIVIDADES DE LA PRACTICA MEDICA INCLUYE CONSULTORIOS MÉDICOS Y/O ODONTOLÓGICOS CUYAS UNIDADES RADIOLÓGICAS CUMPLAN CON LAS NORMAS DE RADIOPROTECCIÓN VIGENTES.</t>
  </si>
  <si>
    <t>Educacion basica primaria, incluye los grados 1, 2, 3, 4 y 5; la educacion especial para  niños  y  jovenes  con  discapacidad  o  con  capacidades  excepcionales; educacion impartida en escuelas y academias militares, grupos etnicos, poblacion campesina y rural, los programas de alfabetizacion para adultos</t>
  </si>
  <si>
    <t>Educacion basica secundaria, incluye los grados 6, 7, 8 y 9, que constituyen el segundo ciclo de la educacion basica la educacion especial para estudiantes con discapacidad  de  este  nivel;  educacion  impartida  en  escuelas  y  academias militares,  grupos  etnicos,  poblacion  campesina  y  rural;  la  educacion  para  la rehabilitacion social, como por ejemplo, la impartida en las escuelas de prisiones; la educacion de adultos homologable con grados escolares correspondientes a este nivel, los modelos flexibles de educacion como el Sistema de Aprendizaje Tutorial (SAT), el Servicio Educativo Rural (SER), la metodologia CAFAM, entre otros</t>
  </si>
  <si>
    <t>Educacion  media  academica,  comprende  los  grados  10  y  11,  de  caracter academico Al culminar este nivel de educacion, se obtiene el titulo de bachiller, que habilita al estudiante para ingresar a la educacion superior y al trabajo; Incluye la educacion especial para estudiantes con discapacidad de este nivel; educacion impartida  en  escuelas  y  academias  militares,  grupos  etnicos,  poblacion campesina y rural, la educacion para la rehabilitacion social, como por ejemplo, la impartida en las escuelas de prisiones y modelos flexibles de educacion como el Sistema de Aprendizaje Tutorial (SAT), el Servicio Educativo Rural (SER), la metodologia CAFAM, entre otros</t>
  </si>
  <si>
    <t>Educacion  media  tecnica  y  de  formacion  laboral  incluye  la  educacion  media tecnica  y  de  la  instruccion  para   chef,  hoteleros  y  dueños  de  restaurante, cosmetologia y peluqueria, reparacion de computadores, auxiliar de enfermeria, contabilidad, secretariado,  mecanica automotriz, escuelas normales superiores entre otros; la educacion para grupos etnicos; la educacion dirigida a poblacion campesina y rural; la educacion especial para estudiantes con discapacidad de este  nivel;  la  educacion  impartida  en  escuelas;  la  educacion  de  adultos homologable en grados correspondientes a este nivel</t>
  </si>
  <si>
    <t>EMPRESAS DEDICADAS A SERVICIOS SOCIALES CON ALOJAMIENTO INCLUYE ESTABLECIMIENTOS DE DESVALIDOS ASILOS, A LAS CASAS DE LA TERCERA EDAD</t>
  </si>
  <si>
    <t>EMPRESAS DE SERVICIOS SOCIALES SIN ALOJAMIENTO INCLUYE ACTIVIDADES SOCIALES DE ASESORAMIENTO, BIENESTAR, ALBERGUE, ORIENTACIÓN Y ACTIVIDADES SIMILARES PRESTADAS A PERSONAS Y FAMILIAS EN SUS HOGARES Y EN OTROS LUGARES, LA PRESTACIÓN DIRECTA DE BIENESTAR SOCIAL Y DE ÍNDOLE CONEXA, LAS ACTIVIDADES DE LAS GUARDERÍAS INFANTILES, ACTIVIDADES RELACIONADAS CON LA ADOPCIÓN, ACTIVIDADES RELATIVAS AL ALBERGUE DE VICTIMAS DE DESASTRES ETC.</t>
  </si>
  <si>
    <t>Educacion tecnica profesional, incluye  formacion que capacita para trabajos que requieran conocimientos tecnicos y competencias en areas especificas de los sectores de la produccion, el requisito de haber culminado el noveno grado de la educacion basica o tener el titulo de bachiller y la prueba Icfes; La formacion en instituciones   tecnicas   profesionales,   impartida   en   instituciones   facultadas legalmente para ofrecer programas de formacion en ocupaciones de caracter operativo e instrumental y de especializacion en su respectivo campo de accion</t>
  </si>
  <si>
    <t>Educacion  tecnologica,  incluye  la  formacion  que  capacita  en  conocimientos tecnologicos y fundamentacion cientifica de un oficio y desarrolla la capacidad de innovacion,  decision  y  gestion;  La  formacion  en  instituciones  tecnologicas, impartida  en  instituciones  de  educacion  superior  facultadas  legalmente  para ofrecer  programas  de  formacion  en  ocupaciones,  programas  de  formacion academica, y programas de especializacion en sus respectivos campos de accion</t>
  </si>
  <si>
    <t>Educacion de instituciones universitarias o de escuelas tecnologicas, instituciones universitarias o escuelas tecnologicas las facultadas para ofrecer programas de formacion en ocupaciones, programas de formacion academica en profesiones o disciplinas y programas de especializacion hasta el nivel de formacion maestria; incluye la enseñanza que ofrece fundamentacion teorica y metodologica de una profesion y una amplia formacion para la direccion, el diseño y la gestion.</t>
  </si>
  <si>
    <t>Educacion de universidades, incluye la enseñanza que ofrece fundamentacion teorica y metodologica de una profesion y una amplia formacion para la direccion, el diseño y la gestion; La formacion en instituciones legalmente reconocidas para desarrollar  programas  en  el  campo  de  investigacion  cientifica,  produccion, desarrollo y transmision del conocimiento y de la cultura Debido a su caracter investigativo, este tipo de instituciones son las unicas autorizadas para ofrecer todos  los  niveles  de  formacion:  tecnico  profesional,  tecnologico,  profesional, especializacion, maestria y doctorado</t>
  </si>
  <si>
    <t>Formacion academica no formal, incluye la educacion que se ofrece con el objeto de complementar, actualizar, suplir conocimientos y formar academicamente a traves de cursos con programas que tienen un caracter organizado y continuo, aunque  no  esten  sujetos  al  sistema  de  niveles  y  grados  establecidos  en  la educacion formal</t>
  </si>
  <si>
    <t>Enseñanza cultural, incluye actividades de formacion artistica, teatral y musical Las  clases  de  piano  y  otras  actividades  de  formacion  musical,  artistica,  las escuelas  y  academias  de  baile,  teatro,  bellas  artes,  artes  interpretativas  y fotografia (excepto las comerciales)</t>
  </si>
  <si>
    <t>Otros tipos de educacion ncp, incluye  actividades de enseñanza e instruccion especializada como: la educacion que no puede asignarse a un nivel determinado, los servicios de tutoria academica, preparacion para el ingreso a la universidad, centros de enseñanza cursos de recuperacion academica, repaso para examenes profesionales, las enseñanzas de idiomas y clases de conversacion, cursos de repasos para  examenes profesionales,  metodos de lectura rapida, formacion religiosa,  autoescuelas,  oratoria,  la  capacitacion  informatica,  las  escuelas  de vuelo, la capacitacion de socorrismo, los cursos de supervivencia</t>
  </si>
  <si>
    <t>Actividades  de  apoyo  a  la  educacion,  incluye  la  prestacion  de  servicios  no docentes  que  apoyan  los  procesos  o  sistemas  educativos,  la  consultoria educativa, orientacion o asesoramiento educativo, auditoria de metodologias de evaluacion;  de  auditoria  educativa,  los  servicios  de  pruebas  (examenes) educativas, La organizacion de programas de intercambio de estudiantes</t>
  </si>
  <si>
    <t>Actividades  de  asistencia  social  sin  alojamiento  para  personas  mayores  y discapacitadas, incluye los servicios sociales de asesoramiento y de bienestar social  Servicios  similares  que  se  prestan   a  personas  de  la  tercera  edad  y personas con discapacidad, en sus domicilios o en otros lugares, organizaciones publicas o privadas, organizaciones nacionales o locales de ayuda y especialistas en  servicios  de  asesoramiento:  visita  a  ancianos  enfermos,  actividades  de atencion  diurna  para  ancianos  y  adultos  con  discapacidad,  actividades  de adiestramiento  y  readaptacion  profesional  para  personas  con  discapacidad, siempre que el componente de educacion sea limitado</t>
  </si>
  <si>
    <t>Otras actividades de asistencia social sin alojamiento, incluye las actividades de bienestar  social  y  de  orientacion  para  niños  y  adolescentes,  adopcion  y actividades de prevencion contra el maltrato infantil   y de otras personas, las actividades  de  asesoramiento  sobre  el  manejo  del  presupuesto  familiar, orientacion matrimonial y familiar, y de asesoramiento en cuestiones crediticias y de deuda, las actividades comunitarias, actividades de guarderias infantiles sin servicio  de  asesoria  con  atencion  diurna  para  niños,  incluidos  niños  con discapacidad, atencion diurna para grupos sociales vulnerables, actividades de beneficencia como recaudacion de fondos y de apoyo con fines de asistencia social, de atencion a victimas de desastres, refugiados, inmigrantes, etc, incluido el suministro de alojamiento a esas personas a titulo temporal o por periodos prolongados,  Las  actividades  de  rehabilitacion  y  habilitacion  profesional  para desempleados,  siempre  que  el  componente  de  educacion   sea  limitado, asesoramiento sobre el manejo del presupuesto familiar, orientacion matrimonial y  familiar, en cuestiones crediticias y de deuda, asesoramiento en establecer y hacer valer su derecho a recibir prestaciones de asistencia y seguros  sociales</t>
  </si>
  <si>
    <t>Creacion  literaria,   incluye   escritores  generadores  de  ideas  o  conceptos relacionados con obras de ficcion y literatura cientifica y tecnica,  textos para piezas de teatro y similares</t>
  </si>
  <si>
    <t>Creacion  teatral,  incluye  las  actividades  de  elaboracion  y  adaptacion  de contenidos  en  la  rama  del  arte escenico  previos  a  la  produccion  o  montaje, relacionados con la actuacion y representacion de historias frente a una audiencia usando una combinacion de discursos, gestos, escenografia, coreografia, musica, sonido, danza y espectaculo</t>
  </si>
  <si>
    <t>Creacion   audiovisual,   incluye   creacion   de   contenidos   para   medios   de comunicacion audiovisuales, especialmente para el cine, la television, la radio, animacion  digital  y  videojuegos,  entre  otros,  independientemente  del  soporte utilizado (film, video, video digital) y del genero (ficcion, documental, publicidad, entre otros)</t>
  </si>
  <si>
    <t>Actividades  de  bibliotecas  y  archivos,  Las  actividades  de  documentacion  e informacion realizadas por bibliotecas de todo tipo, salas de lectura, audio y proyeccion  y  archivos  publicos  abiertos  al  publico  en  general  o  a  usuarios especiales  como:  estudiantes,  cientificos,  empleados  o  funcionarios  de  la organizacion  a  la  que  pertenece  la  biblioteca,  y  gestion  de  archivos  de  la administracion publica Algunas actividades caracteristicas son: La organizacion de colecciones bibliograficas, sea o no especializada,  catalogo de colecciones, mantenimiento  y  prestamo  de  libros,  mapas,  revistas,  periodicos,  discos gramofonicos,  cintas  grabadas,  peliculas,  obras  de  arte,  entre  otros;    las actividades  de  busqueda  de  datos  con  el  fin  de  atender  y  cumplir  con  las solicitudes de informacion requeridas, los servicios de archivos fotograficos  y bancos  de  imagenes;  El  suministro  computarizado  de  documentacion  en bibliotecas, archivos</t>
  </si>
  <si>
    <t>Actividades  y  funcionamiento  de  museos,  conservacion  de  edificios  y  sitios historicos, incluye funcionamiento de museos de arte, orfebreria, muebles, trajes, ceramica,  plateria,  de  historia  natural  y  de  ciencias,  museos  tecnologicos, historicos, incluidos los museos militares, otros tipos de museos especializados, museos al aire libre</t>
  </si>
  <si>
    <t>EMPRESAS DEDICADAS A ACTIVIDADES DE ORGANIZACIONES EMPRESARIALES Y DE EMPLEADORES INCLUYE INSTITUCIONES DE SERVICIOS DE CÁMARAS DE EMPRESAS DEDICADAS AL COMERCIO.</t>
  </si>
  <si>
    <t>EMPRESAS DEDICADAS A ACTIVIDADES DE ORGANIZACIONES PROFESIONALES INCLUYE LAS ASOCIACIONES ACADÉMICAS Y PROFESIONALES</t>
  </si>
  <si>
    <t>EMPRESAS DEDICADAS A ACTIVIDADES DE ORGANIZACIONES RELIGIOSAS INCLUYE LOS TEMPLOS RELIGIOSOS</t>
  </si>
  <si>
    <t>EMPRESAS DEDICADAS A ACTIVIDADES DE OTRAS ORGANIZACIONES NCP INCLUYE EMPRESAS DEDICADAS A ACTIVIDADES TALES COMO ASOCIACIONES CON FINES CULTURALES, RECREATIVOS Y ARTESANALES Y SERVICIOS DE LA ORGANIZACIÓN DE EVENTOS DE CAPACITACIÓN, SOCIALES Y/O FORMACIÓN CULTURAL.</t>
  </si>
  <si>
    <t>Actividades de juegos de azar y apuestas, incluye las actividades de organizacion y prestacion de los servicios de juegos de azar y apuestas, incluidos los servicios conexos  de  distribucion:  venta  de  billetes  de  loteria  o  de  rifas,  apuestas permanentes o chance, funcionamiento (explotacion) de maquinas de juegos de azar accionados en moneda, apuestas  sobre carreras de caballos en el propio hipodromo y otros servicios de apuestas, apuestas en lineas, bingos; La operacion de casinos, incluyendo «casinos flotantes»; el funcionamiento de sitios web de juegos de azar virtuales; El funcionamiento de loteria impresa, loteria instantanea y loteria en linea; El funcionamiento (explotacion) de juegos localizados tales como bingos, video bingos y esferodromos; La venta de boletas para rifas</t>
  </si>
  <si>
    <t>EMPRESAS DEDICADAS A ACTIVIDADES TEATRALES Y MUSICALES Y OTRAS ACTIVIDADES ARTÍSTICAS INCLUYE LOS SERVICIOS DE RECREACIONISTAS, MAGOS, PAYASOS</t>
  </si>
  <si>
    <t>EMPRESAS DEDICADAS A ACTIVIDADES DE BIBLIOTECAS Y ARCHIVOS INCLUYE HEMEROTECAS, PINACOTECAS Y SIMILARES</t>
  </si>
  <si>
    <t xml:space="preserve">EMPRESAS DEDICADAS A ACTIVIDADES DE MUSEOS Y PRESERVACIÓN DE LUGARES Y EDIFICIOS HISTÓRICOS </t>
  </si>
  <si>
    <t>EMPRESAS DEDICADAS A ACTIVIDADES DEPORTIVAS Y OTRAS ACTIVIDADES DE ESPARCIMIENTO INCLUYE CENTROS Y/O CLUBES SOCIALES Y DEPORTIVOS</t>
  </si>
  <si>
    <t>EMPRESAS DEDICADAS A ACTIVIDADES DE JUEGOS DE AZAR INCLUYE LAS OFICINAS DE VENTA DE BILLETES DE LOTERÍA</t>
  </si>
  <si>
    <t>EMPRESAS DEDICADAS A LA PELUQUERÍA Y OTROS TRATAMIENTOS DE BELLEZA INCLUYE LOS SALONES DE BELLEZA</t>
  </si>
  <si>
    <t>EMPRESAS DEDICADAS A OTRAS ACTIVIDADES DE SERVICIOS NCP INCLUYE LOS BAÑOS TURCOS</t>
  </si>
  <si>
    <t>Actividades  de  asociaciones  empresariales  y  de  empleadores,  incluye,  las actividades   de   las   asociaciones   cuyos   miembros    estan   interesados principalmente  en  el  desarrollo  y  la  prosperidad  de  las  empresas  de  una determinada  rama  de  actividad  empresarial  o  comercio,  incluido  el  sector agropecuario, o en la situacion y el crecimiento economico de una determinada zona geografica o subdivision politica, independiente de la rama de actividad, federaciones   de   dichas  asociaciones,   camaras   de   comercio,   gremios   y asociaciones similares, de difusion de informacion, establecimiento y fiscalizacion del  cumplimiento  de  normas  profesionales,  representacion  ante  organismos publicos,  relaciones  publicas  y  negociaciones  laborales  de  las  asociaciones empresariales y de empleadores</t>
  </si>
  <si>
    <t>Actividades de asociaciones profesionales, incluye actividades de: asociaciones de especialistas que participan en actividades culturales, tales como asociaciones de escritores, pintores, artistas de diversos tipos, periodistas, etc, sociedades cientificas, la academia de medicina y el colegio de abogados, las asociaciones en que los intereses de los miembros se centran principalmente en una disciplina cientifica,  practica  profesional  o  campo  tecnico,  tales  como  asociaciones  de medicos,  de  juristas,  de  contadores,  de  ingenieros  y  arquitectos  entre  otros, asociaciones  de  vendedores  y  agentes  de  seguros   entre  otros,  difusion  de informacion,   establecimiento   y   fiscalizacion   del   cumplimiento   de   normas profesionales, representacion ante organismos publicos y relaciones publicas de las asociaciones profesionales,</t>
  </si>
  <si>
    <t>Actividades  de  asociaciones  religiosas,  incluye  actividades  de:  asociaciones religiosas o de particulares que proporcionan servicios directamente a los fieles en  las  iglesias,  mezquitas,  templos,  sinagogas  y  otros  lugares  de  culto, monasterios, conventos y asociaciones similares, de retiros religiosos y servicios religiosos funerarios</t>
  </si>
  <si>
    <t>Actividades de otras asociaciones ncp, incluye las actividades de asociaciones que no estan directamente afiliadas a un partido politico, que promueven una causa o tematica publica mediante campañas de educacion al publico, influencia politica,  recaudacion  de  fondos,  entre  otros  iniciativa  de  los  ciudadanos  y movimientos   de   protesta,   ambientales   y   ecologicos;   asociaciones   de consumidores, asociaciones de automovilistas, asociaciones con fines patrioticos, incluyendo asociaciones de veteranos de guerra, asociaciones para la proteccion y el mejoramiento de grupos especiales, por ejemplo, grupos etnicos y grupos minoritarios,  asociaciones  de  jovenes,  clubes  y  asociaciones  fraternales  de estudiantes; actividades de servicios para la caza ordinaria mediante trampas</t>
  </si>
  <si>
    <t>Actividades  de  otras  asociaciones  ncp,  incluye  asociaciones  de  apoyo  a servicios comunitarios y educativos ncp,</t>
  </si>
  <si>
    <t>Actividades  de  otras  asociaciones  ncp,  incluye    actividades  culturales  o recreativas, o reunen a personas que comparten una aficion (diferente a deportes o juegos), como clubes de poesia, literarios o de libros, clubes de historia, clubes de jardineria, clubes de cine y fotografia, clubes de musica y arte, clubes de artesania  y  de  coleccionistas,  entre  otros;  clubes  sociales,  aun aquellos  que combinan la parte social y la practica deportiva; clubes  rotarios, leones y logias masonicas, entre otros</t>
  </si>
  <si>
    <t>HOGARES PRIVADOS CON SERVICIO DOMESTICO</t>
  </si>
  <si>
    <t>Reparacion de muebles y accesorios para el hogar, incluye retapizado, acabado, reparacion y restauracion de muebles y accesorios domesticos; de oficina y de cuero; montaje de muebles no empotrados</t>
  </si>
  <si>
    <t>Mantenimiento y reparacion de otros efectos personales y enseres domesticos, incluye la reparacion de otros efectos personales (estilografos, lapiceros) y de otros efectos personales y enseres domesticos, el arreglo de prendas de vestir de todo tipo (tela, cuero, gamuza, etc.), accesorios y calzado., afinacion de pianos, prestacion de servicios de duplicado de llaves, reparacion de libros.</t>
  </si>
  <si>
    <t>Peluqueria y otros tratamientos de belleza, incluye el lavado, despuntado y corte, peinado,  tintura,  colorante,  ondulado,  alisado  de  cabello  y  otras  actividades similares para hombres y mujeres, La afeitada y recorte de la barba, la colocacion de uñas y pestañas postizas, entre otros, masaje facial, manicura y pedicura, maquillaje, entre otros, maquillaje permanente (tatuado)</t>
  </si>
  <si>
    <t>Otras actividades de servicios personales ncp Incluye agencias de contratacion de acompañantes, servicios de citas, y los servicios de agencias matrimoniales</t>
  </si>
  <si>
    <t>Otras  actividades  de  servicios  personales  ncp,  incluye  Las  actividades  de astrologia y espiritismo</t>
  </si>
  <si>
    <t>Otras  actividades  de  servicios  personales  ncp,  incluye  las  actividades  de asociaciones genealogicas</t>
  </si>
  <si>
    <t>Otras  actividades  de  servicios  personales  ncp,  incluye  las  actividades  de limpiabotas, porteadores de maletas, aparcadores de automoviles, entre otras</t>
  </si>
  <si>
    <t>Otras  actividades  de  servicios  personales  ncp,  incluye  la  explotacion  de maquinas  de  servicio  personal  que  funcionan  con  monedas  (foto  cabinas, maquinas para el control del peso y la presion arterial, taquillas que funcionan con monedas, etc)</t>
  </si>
  <si>
    <t>Actividades  de  los  hogares  individuales  como  empleadores  de  personal domestico, incluye las actividades de los hogares como empleadores de personal domestico,   tales   como:   empleadas   domesticas,   cocineros,   camareros, lavanderos,    institutrices,    niñeras,    instructores,    profesores    particulares, secretarias, entre otros El producto generado por esta actividad es consumido por el propio hogar empleador</t>
  </si>
  <si>
    <t>Actividades  de  los  hogares  individuales  como  empleadores  de  personal domestico, incluye Mayordomos y jardineros</t>
  </si>
  <si>
    <t>EMPRESAS DEDICADAS A LA PRODUCCIÓN ESPECIALIZADA DEL CAFÉ</t>
  </si>
  <si>
    <t>EMPRESAS DEDICADAS A LA PRODUCCIÓN ESPECIALIZADA DE BANANO</t>
  </si>
  <si>
    <t>EMPRESAS DEDICADAS A LA PRODUCCIÓN ESPECIALIZADA DE CEREALES Y OLEAGINOSAS</t>
  </si>
  <si>
    <t>EMPRESAS DEDICADAS A LA PRODUCCIÓN ESPECIALIZADA DE HORTALIZAS Y LEGUMBRES</t>
  </si>
  <si>
    <t>EMPRESAS DEDICADAS A LA PRODUCCIÓN ESPECIALIZADA DE FRUTAS, NUECES, PLANTAS BEBESTIBLES Y ESPECIAS INCLUYE EL TOSTADO Y BENEFICIO DEL CACAO</t>
  </si>
  <si>
    <t>EMPRESAS DEDICADAS A LA PRODUCCIÓN AGRÍCOLA NCP EN UNIDADES ESPECIALIZADAS INCLUYE LAS EMPRESAS DE BENEFICIO DE TABACO</t>
  </si>
  <si>
    <t>EMPRESAS DEDICADAS A LA PRODUCCIÓN AGRÍCOLA EN UNIDADES NO ESPECIALIZADAS INCLUYE LA AGRICULTURA NO MECANIZADA NI CONTEMPLADA EN OTRAS EMPRESAS DEDICADAS A ACTIVIDADES (SIEMBRA, CULTIVO Y/O RECOLECCIÓN)</t>
  </si>
  <si>
    <t xml:space="preserve">EMPRESAS DEDICADAS A LA CRÍA ESPECIALIZADA DE GANADO VACUNO INCLUYE LA IMPORTACIÓN DE LA CRÍA DE GANADO BOVINO EQUINO Y SIMILARES </t>
  </si>
  <si>
    <t>EMPRESAS DEDICADAS A LA CRÍA ESPECIALIZADA DE GANADO PORCINO</t>
  </si>
  <si>
    <t>EMPRESAS DEDICADAS A LA CRÍA ESPECIALIZADA DE AVES DE CORRAL</t>
  </si>
  <si>
    <t xml:space="preserve">EMPRESAS DEDICADAS A LA CRÍA ESPECIALIZADA DE OVEJAS, CABRAS, CABALLOS, ASNOS, MULAS Y BURDÉGANOS </t>
  </si>
  <si>
    <t>EMPRESAS DEDICADAS A LA CRÍA ESPECIALIZADA DE OTROS ANIMALES NCP Y LA OBTENCIÓN DE SUS PRODUCTOS INCLUYE LA CRÍA DE Y/O BENEFICIO DE CARACOLES, LOMBRICES, GUSANOS, LA SERICULTURA, APICULTURA</t>
  </si>
  <si>
    <t>EMPRESAS DEDICADAS A LA ACTIVIDAD PECUARIA NO ESPECIALIZADA</t>
  </si>
  <si>
    <t>EMPRESAS DEDICADAS A LA ACTIVIDAD MIXTA (AGRÍCOLA Y PECUARIA)</t>
  </si>
  <si>
    <t>EMPRESAS DEDICADAS A ACTIVIDADES DE SERVICIOS, AGRÍCOLAS Y GANADEROS, EXCEPTO LAS VETERINARIAS INCLUYE LOS ESTABLOS SIN AUTO TRANSPORTE Y LAS EMPRESAS DE JARDINERÍA Y/O ARREGLOS DE JARDINES</t>
  </si>
  <si>
    <t>EMPRESAS DEDICADAS A LA CAZA ORDINARIA Y MEDIANTE TRAMPAS Y REPOBLACIÓN DE ANIMALES DE CAZA, INCLUSO EMPRESAS DEDICADAS A ACTIVIDADES DE SERVICIOS CONEXAS INCLUYE LOS SERVICIOS DE CAZA DE ANIMALES MEDIANTE LA UTILIZACIÓN DE TRAMPAS</t>
  </si>
  <si>
    <t>EMPRESAS DEDICADAS A LA SILVICULTURA Y EXPLOTACIÓN DE LA MADERA</t>
  </si>
  <si>
    <t>EMPRESAS DEDICADAS A ACTIVIDADES DE SERVICIOS RELACIONADAS CON LA SILVICULTURA Y LA EXTRACCIÓN DE LA MADERA. INCLUYE LOS SERVICIOS DE GUARDABOSQUES</t>
  </si>
  <si>
    <t>EMPRESAS DEDICADAS AL CULTIVO DE PECES EN CRIADEROS Y GRANJAS PISCÍCOLAS INCLUYE LA PISCICULTURA EN ESTANQUES</t>
  </si>
  <si>
    <t>EMPRESAS DEDICADAS A ACTIVIDADES DE SERVICIOS RELACIONADOS CON LA PESCA INCLUYE LOS SERVICIOS DE ADMINISTRACIÓN DE GRANJAS PISCÍCOLAS Y ACUÍCOLA</t>
  </si>
  <si>
    <t>Cultivo de cereales (excepto arroz), legumbres y semillas oleaginosas, incluye el cultivo de cereales como: trigo, maiz, sorgo, cebada, centeno, avena, mijo y otros cereales n.c.p.</t>
  </si>
  <si>
    <t>Cultivo de cereales (excepto arroz), legumbres y semillas oleaginosas, incluye frijoles,   habas,   garbanzos,   caupies,   lentejas,   arvejas,   guandues   y  otras leguminosas ncp</t>
  </si>
  <si>
    <t>Cultivo de cereales (excepto arroz), legumbres y semillas oleaginosas incluye soya, cacahuates o manies, semillas de algodon, ricino, linaza, mostaza, girasol, colza, sesamo, cartamo y otras semillas oleaginosas ncp</t>
  </si>
  <si>
    <t>Cultivo de arroz, incluye el cultivo organico y el cultivo de arroz geneticamente modificado.</t>
  </si>
  <si>
    <t>Cultivo de hortalizas, raices y tuberculos, incluye el cultivo de hortalizas de hoja o de tallo como alcachofas, esparragos, repollos, lechugas, espinacas y otras; de frutos como pepinos, pepinillos, tomates, berenjenas, sandias, melones y otras hortalizas de fruto; de raiz bulbosas o tuberosas como zanahorias, nabos, ajos, cebollas, puerros y otras; de flor como el coliflor y el brocoli, remolacha azucarera; cultivo de hortalizas.</t>
  </si>
  <si>
    <t>Cultivo de hortalizas, raices y tuberculos, incluye cultivos de setas hongos y trufas, cultivo de remolacha azucarera, de raices y tuberculos como: papa, batata o camote, yuca, ñame, arracachas y otras raices y tuberculos.</t>
  </si>
  <si>
    <t>Cultivo de plantas textiles, incluye el cultivo de algodon, de yute, de kenaf, lino, cañamo, de sisal, fique, de abaca, ramio y otras plantas de fibras textiles, plantas de fibras textiles del genero agave y otras plantas de fibra.</t>
  </si>
  <si>
    <t>Otros cultivos transitorios ncp, incluye el cultivo de remolacha forrajera, raices forrajeras, trebol, alfalfa, alpiste, maiz forrajero, cultivo semillas de remolacha y cultivo  de  semillas  de  plantas  forrajeras,  de  semillas  de  flores, otras  plantas forrajeras</t>
  </si>
  <si>
    <t>Otros cultivos transitorios n.c.p., incluye cultivo transitorio de plantas aromaticas, medicinales y de especias, como: perejil, cilantro, mostaza, entre otras.</t>
  </si>
  <si>
    <t>Cultivo de frutas tropicales y subtropicales, incluye el cultivo de: uvas, aguacates, datiles,  higos,  mangos,  papayas,  piñas,  pomelos,  limones  y  limas,  naranjas, mandarinas, manzanas, albaricoques, cerezas, melocotones, duraznos, peras, ciruelas, arandanos, grosellas, kiwis, frambuesas, fresas, entre otras</t>
  </si>
  <si>
    <t>Cultivo de frutas tropicales y subtropicales, incluye cultivo de nueces comestibles como:  almendras,  anacardos,  nuez  de  macadamia,  castañas,  avellanas, pistachos, nueces de nogal y otras nueces</t>
  </si>
  <si>
    <t>Cultivo de frutas tropicales y subtropicales, incluye cultivo de semillas de frutas, cultivo de otros frutos de arboles y arbustos como las algarrobas.</t>
  </si>
  <si>
    <t>Cultivo de platano y banano incluye cultivo de platano y banano en todas sus variedades.</t>
  </si>
  <si>
    <t>Cultivo  de  cafe,  incluye  el  cultivo  de  cafe,  el  proceso  de  beneficio  del  cafe (cosecha, despulpado, fermentacion, lavado y secado) siempre y cuando este se realice dentro de la misma unidad de produccion agricola</t>
  </si>
  <si>
    <t>EMPRESAS DEDICADAS A LA PRODUCCIÓN, TRANSFORMACIÓN Y CONSERVACIÓN DE CARNE Y DE DERIVADOS CARNICOS INCLUYE EL EMPACADO DE CARNICOS Y LA PREPARACIÓN DE CARNES FRÍAS, CHORIZOS, LONGANIZAS Y SIMILARES.</t>
  </si>
  <si>
    <t>EMPRESAS DEDICADAS A LA ELABORACIÓN DE PRODUCTOS LÁCTEOS INCLUYE ELABORACIÓN DE HELADOS Y LA EMPRESAS DEDICADAS A LA FABRICACIÓN DE ARTESANAL DE PRODUCTOS Y/O DERIVADOS LÁCTEOS</t>
  </si>
  <si>
    <t>EMPRESAS DEDICADAS A LA ELABORACIÓN DE PRODUCTOS DE MOLINERÍA, DE ALMIDONES Y PRODUCTOS DERIVADOS DEL ALMIDÓN Y ALIMENTOS PREPARADOS PARA ANIMALES INCLUYE EL TOSTADO DE SEMILLAS Y/O GRANOS</t>
  </si>
  <si>
    <t>EMPRESAS DEDICADAS A LA ELABORACIÓN DE PRODUCTOS DE MOLINERÍA, DE ALMIDONES Y PRODUCTOS DERIVADOS DEL ALMIDÓN Y ALIMENTOS PREPARADOS PARA ANIMALES INCLUYE EMPRESAS DEDICADAS A LA ELABORACIÓN DE DERIVADOS DE MAÍZ</t>
  </si>
  <si>
    <t>EMPRESAS DEDICADAS A LA ELABORACIÓN DE PRODUCTOS DE PANADERÍA INCLUYE LAS EMPRESAS DEDICADAS A MANUFACTURA DE OBLEAS, CONOS PARA HELADOS</t>
  </si>
  <si>
    <t xml:space="preserve">EMPRESA DEDICADAS AL TOSTION Y MOLIENDA DEL CAFÉ INCLUYE EL BENEFICIO </t>
  </si>
  <si>
    <t>EMPRESAS DEDICADAS A LA ELABORACIÓN DE OTROS PRODUCTOS ALIMENTICIOS NCP INCLUYE LA FABRICACIÓN DE ESPECIAS Y LA FABRICACIÓN ARTESANAL DE ALIMENTOS INVOLUCRANDO EL ENVASE Y/O ENLATADO.</t>
  </si>
  <si>
    <t>EMPRESAS DEDICADAS AL ACABADO DE PRODUCTOS TEXTILES NO PRODUCIDOS EN LA MISMA UNIDAD DE PRODUCCIÓN INCLUYE EL TEÑIDO DE TELAS Y/O VESTIDOS, TINTORERÍAS</t>
  </si>
  <si>
    <t>EMPRESAS DEDICADAS A LA CONFECCIÓN DE ARTÍCULOS CON MATERIALES TEXTILES NO PRODUCIDOS EN LA MISMA UNIDAD, EXCEPTO PRENDAS DE VESTIR INCLUYE LAS CONFECCIONES EN TELA CON EXCEPCIÓN DE COLCHONES.</t>
  </si>
  <si>
    <t>EMPRESAS DEDICADAS A LA FABRICACIÓN DE TAPICES Y ALFOMBRAS PARA PISOS.</t>
  </si>
  <si>
    <t>EMPRESAS DEDICADAS A LA FABRICACIÓN DE OTROS ARTÍCULOS TEXTILES NCP INCLUYE LA MANUFACTURA DE BORDADOS, HILADOS Y TEJIDOS DE PUNTO, ASÍ COMO DE ARTÍCULOS PARA SOMBREROS.</t>
  </si>
  <si>
    <t>EMPRESAS DEDICADAS A LA FABRICACIÓN DE TEJIDOS Y ARTÍCULOS DE PUNTO Y GANCHILLO MANUAL</t>
  </si>
  <si>
    <t>EMPRESAS DEDICADAS A LA FABRICACIÓN DE PRENDAS DE VESTIR, EXCEPTO PRENDAS DE PIEL INCLUYE LA MANUFACTURA DE GUANTES DE TELA Y/O PIEL, IMPERMEABLES, LIGAS Y TIRANTES, FABRICAS Y/O GRANDES ALMACENES DE CONFECCIÓN DE ROPA Y SASTRERÍAS</t>
  </si>
  <si>
    <t>EMPRESAS DEDICADAS A LA FABRICACIÓN DE CALZADO DE CUERO Y PIEL; CON CUALQUIER TIPO DE SUELA, EXCEPTO EL CALZADO DEPORTIVO INCLUYE LA FABRICACIÓN DE Y/O REPARACIÓN DE CALZADO Y EL TRABAJO A MANO</t>
  </si>
  <si>
    <t>EMPRESAS DEDICADAS A LA FABRICACIÓN DE CALZADO DE MATERIALES TEXTILES; CON CUALQUIER TIPO DE SUELA, EXCEPTO EL CALZADO DEPORTIVO INCLUYE LA FABRICACIÓN DE Y/O REPARACIÓN DE CALZADO Y EL TRABAJO A MANO</t>
  </si>
  <si>
    <t>EMPRESAS DEDICADAS A LA FABRICACIÓN DE CALZADO DE CAUCHO, EXCEPTO EL CALZADO DEPORTIVO. INCLUYE LA FABRICACIÓN DE Y/O REPARACIÓN DE CALZADO Y EL TRABAJO A MANO</t>
  </si>
  <si>
    <t>EMPRESAS DEDICADAS A LA FABRICACIÓN DE CALZADO DE PLÁSTICO, EXCEPTO EL CALZADO DEPORTIVO INCLUYE LA FABRICACIÓN DE Y/O REPARACIÓN DE CALZADO Y EL TRABAJO A MANO</t>
  </si>
  <si>
    <t>EMPRESAS DEDICADAS A LA FABRICACIÓN DE CALZADO DEPORTIVO, INCLUSO EL MOLDEADO INCLUYE FABRICACIÓN DE Y/O REPARACIÓN DE CALZADO Y EL TRABAJO A MANO</t>
  </si>
  <si>
    <t>EMPRESAS DEDICADAS A LA FABRICACIÓN DE CALZADO NCP INCLUYE LA FABRICACIÓN DE Y/O REPARACIÓN DE CALZADO Y EL TRABAJO A MANO</t>
  </si>
  <si>
    <t xml:space="preserve">EMPRESAS DEDICADAS A LA FABRICACIÓN DE ARTÍCULOS DE VIAJE, BOLSOS DE MANO, Y ARTÍCULOS SIMILARES ELABORADOS EN CUERO; INCLUYE ARTÍCULOS DE TALABARTERÍA Y GUARNICIONERÍA </t>
  </si>
  <si>
    <t>EMPRESAS DEDICADAS A LA FABRICACIÓN DE OTROS PRODUCTOS DE MADERA, ARTÍCULOS DE CORCHO, CESTERÍA Y ESPARTERÍA HACE REFERENCIA A EMPRESAS DEDICADAS A LA MANUFACTURA DE BAÚLES, PETACAS, BOLSAS DE MANO, DE ARTÍCULOS DE MIMBRE, VARA, PALMA Y SIMILARES</t>
  </si>
  <si>
    <t>EMPRESAS DEDICADAS A LA FABRICACIÓN DE ENVASES, EMPAQUES Y DE EMBALAJES DE PAPEL Y CARTÓN INCLUYE LA MANUFACTURA DE ESTUCHES PARA JOYAS, PERFUMES Y SIMILARES</t>
  </si>
  <si>
    <t>EMPRESAS DEDICADAS A ACTIVIDADES DE IMPRESIÓN POR CONTRATA INCLUYE LA IMPRESIÓN DE AVISOS EN PLACAS METÁLICAS, ESTAMPADO, FABRICACIÓN DE CALCOMANÍAS, LA MANUFACTURA DE CUADERNOS, LIBRETAS EN BLANCO SOBRES, SIMILARES Y/O VENTA AL MAYOREO DE PAPEL</t>
  </si>
  <si>
    <t>EMPRESAS DEDICADAS A LA ENCUADERNACIÓN INCLUYE LOS TALLERES DE ENCUADERNACIÓN</t>
  </si>
  <si>
    <t>EMPRESAS DEDICADAS A LA REPRODUCCIÓN DE MATERIALES GRABADOS INCLUYE REPRODUCCIÓN DE DISCOS GRAMOFÓNICOS, CINTAS MAGNETOFONÍAS, VIDEOCINTAS, DISCOS COMPACTOS, PELICULAS, SOFTWARE, PROGRAMAS COMERCIALES.</t>
  </si>
  <si>
    <t>EMPRESAS DEDICADAS A LA FABRICACIÓN DE PLÁSTICOS EN FORMAS PRIMARIAS INCLUYE LA PREPARACIÓN DE RESINAS RECOLECCIÓN</t>
  </si>
  <si>
    <t>EMPRESAS DEDICADAS A LA FABRICACIÓN DE JABONES Y DETERGENTES, PREPARADOS PARA LIMPIAR Y PULIR; PERFUMES Y PREPARADOS DE TOCADOR INCLUYE LA FABRICACIÓN DE ARTÍCULOS PARA TOCADOR</t>
  </si>
  <si>
    <t xml:space="preserve">EMPRESAS DEDICADAS A LA FABRICACIÓN DE OTROS PRODUCTOS QUÍMICOS NCP INCLUYE LA FABRICACIÓN DE ESENCIAS </t>
  </si>
  <si>
    <t>EMPRESAS DEDICADAS A LA FABRICACIÓN DE OTROS PRODUCTOS DE CAUCHO NCP INCLUYE LA MANUFACTURA DE SELLOS DE CAUCHO.</t>
  </si>
  <si>
    <t>EMPRESAS DEDICADAS A LA FABRICACIÓN DE OTROS PRODUCTOS ELABORADOS DE METAL NCP INCLUYE LA FABRICACIÓN DE RELIEVES, PLACAS METÁLICAS.</t>
  </si>
  <si>
    <t>EMPRESAS DEDICADAS A LA FABRICACIÓN DE ARMAS Y MUNICIONES INCLUYE LOS TALLERES DE REPARACIÓN DE LAS ARMAS</t>
  </si>
  <si>
    <t>EMPRESAS DEDICADAS A LA FABRICACIÓN DE MUEBLES PARA EL HOGAR INCLUYE CARPINTERÍAS Y EBANISTERÍAS (FABRICACIÓN DE ARTESANAL)</t>
  </si>
  <si>
    <t>EMPRESAS DEDICADAS A LA FABRICACIÓN DE MUEBLES PARA OFICINA INCLUYE CARPINTERÍAS Y EBANISTERÍAS (FABRICACIÓN DE ARTESANAL)</t>
  </si>
  <si>
    <t>EMPRESAS DEDICADAS A LA FABRICACIÓN DE MUEBLES PARA EMPRESAS COMERCIO Y SERVICIOS INCLUYE CARPINTERÍAS Y EBANISTERÍAS (FABRICACIÓN DE ARTESANAL)</t>
  </si>
  <si>
    <t>EMPRESAS DEDICADAS A LA FABRICACIÓN DE COLCHONES Y SOMIERES INCLUYE LA FABRICACIÓN DE COLCHONES RESORTADOS SIN UTILIZACIÓN DE BORRA.</t>
  </si>
  <si>
    <t>EMPRESAS DEDICADAS A LA FABRICACIÓN DE OTROS MUEBLES NCP INCLUYE CARPINTERÍAS Y EBANISTERÍAS ARTESANALES</t>
  </si>
  <si>
    <t>EMPRESAS DEDICADAS A LA FABRICACIÓN DE INSTRUMENTOS MUSICALES INCLUYE LOS TALLERES DE MANUFACTURA Y/O REPARACIÓN DE INSTRUMENTOS MUSICALES</t>
  </si>
  <si>
    <t xml:space="preserve">EMPRESAS DEDICADAS A LA FABRICACIÓN DE ARTÍCULOS DEPORTIVOS </t>
  </si>
  <si>
    <t>EMPRESAS DEDICADAS A OTRAS INDUSTRIAS MANUFACTURERAS NCP INCLUYE LA FABRICACIÓN DE ARTÍCULOS EN CAREY, CUERNO, HUESO, CONCHA, TAGUA, PLUMAS, ESTAÑO, MANUFACTURA DE ESCOBAS, PLUMEROS, FLORES ARTIFICIALES, MÁSCARAS, PELUCAS, TALLERES DE FORRADO DE BOTONES Y HEBILLAS.</t>
  </si>
  <si>
    <t>EMPRESAS DEDICADAS A TRABAJOS DE PINTURA Y TERMINACIÓN DE MUROS Y PISOS INCLUYE LOS TALLERES DE PINTURA AL DUCO</t>
  </si>
  <si>
    <t>EMPRESAS DEDICADAS AL COMERCIO DE VEHÍCULOS AUTOMOTORES NUEVOS INCLUYE LA VENTA, ALQUILER DE AUTOMOTORES</t>
  </si>
  <si>
    <t>EMPRESAS DEDICADAS AL COMERCIO DE VEHÍCULOS AUTOMOTORES USADOS INCLUYE VENTA, ALQUILER, ESTACIONAMIENTO Y/O GARAJES DE AUTOMOTORES</t>
  </si>
  <si>
    <t>EMPRESAS DEDICADAS AL COMERCIO AL POR MAYOR A CAMBIO DE UNA RETRIBUCIÓN O POR CONTRATA DE PRODUCTOS AGRÍCOLAS (EXCEPTO CAFÉ), SILVÍCOLA Y DE ANIMALES VIVOS Y SUS PRODUCTOS INCLUYE SOLAMENTE LOS EXPENDIOS DE PESCADOS Y MARISCOS</t>
  </si>
  <si>
    <t>EMPRESAS DEDICADAS AL COMERCIO AL POR MAYOR A CAMBIO DE UNA RETRIBUCIÓN O POR CONTRATA DE PRODUCTOS MANUFACTURADOS INCLUYE SOLAMENTE LA VENTA DE MERCANCÍAS EN GENERAL CON AUTO TRANSPORTE</t>
  </si>
  <si>
    <t>EMPRESAS DEDICADAS AL COMERCIO AL POR MAYOR DE MATERIAS PRIMAS PRODUCTOS AGRÍCOLAS, EXCEPTO CAFÉ Y FLORES HACE REFERENCIA SOLAMENTE AL ALMACENAMIENTO Y/O VENTA AL MAYOREO DE SEMILLAS FORRAJES.</t>
  </si>
  <si>
    <t>EMPRESAS DEDICADAS AL COMERCIO AL POR MAYOR DE BEBIDAS Y PRODUCTOS DEL TABACO HACE REFERENCIA A EMPRESAS DEDICADAS A BEBIDAS EMBOTELLADAS EN GENERAL, DEPOSITO Y/O VENTA AL MAYOREO.</t>
  </si>
  <si>
    <t>EMPRESAS DEDICADAS AL COMERCIO AL POR MAYOR DE MATERIALES DE CONSTRUCCION, FERRETERÍA Y VIDRIO DISTRIBUCIÓN SIN AUTO TRANSPORTE</t>
  </si>
  <si>
    <t>EMPRESAS DEDICADAS AL COMERCIO AL POR MAYOR DE MAQUINARIA Y EQUIPO PARA LA AGRICULTURA, MINERÍA, CONSTRUCCION Y LA INDUSTRIA INCLUYE SOLAMENTE EMPRESAS DEDICADAS A LA VENTA DE MAQUINARIA PESADA</t>
  </si>
  <si>
    <t>EMPRESAS DEDICADAS AL COMERCIO AL POR MAYOR DE EQUIPO DE TRANSPORTE, EXCEPTO VEHÍCULOS AUTOMOTORES Y MOTOCICLETAS.</t>
  </si>
  <si>
    <t>EMPRESAS DEDICADAS AL MANTENIMIENTO Y REPARACIÓN DE MAQUINARIA Y EQUIPO INCLUYE LA CARGA DE EXTINTORES DE INCENDIO, REPARACIÓN DE INSTRUMENTOS DE PRECISIÓN, MAQUINAS DE ESCRIBIR, CALCULAR, COSER, INSTRUMENTOS CIENTÍFICOS, EL TRABAJO EN PLANTAS DE REFRIGERACIÓN Y/O CONGELACIÓN.</t>
  </si>
  <si>
    <t>EMPRESAS DEDICADAS AL COMERCIO AL POR MAYOR DE PRODUCTOS DIVERSOS NCP INCLUYE SOLAMENTE LA VENTA AL POR MAYOR DE EXTINTORES DE INCENDIO</t>
  </si>
  <si>
    <t>EMPRESAS DEDICADAS AL COMERCIO AL POR MENOR EN ESTABLECIMIENTOS NO ESPECIALIZADOS CON SURTIDO COMPUESTO PRINCIPALMENTE POR PRODUCTOS DIFERENTES DE ALIMENTOS (VÍVERES EN GENERAL), BEBIDAS Y TABACOS INCLUYE SOLAMENTE LOS GRANDES ALMACENES - MISCELÁNEAS, ALMACENES DE ROPA Y/O NOVEDADES</t>
  </si>
  <si>
    <t>EMPRESAS DEDICADAS AL COMERCIO AL POR MENOR DE CARNES (HACE REFERENCIA A EMPRESAS DEDICADAS A AVES DE CORRAL), PRODUCTOS CARNICOS, PESCADOS Y PRODUCTOS DE MAR, EN ESTABLECIMIENTOS ESPECIALIZADOS INCLUYE SOLAMENTE CARNICERÍAS, EXPENDIOS DE PESCADOS Y MARISCOS</t>
  </si>
  <si>
    <t>EMPRESAS DEDICADAS AL COMERCIO AL POR MENOR DE PRODUCTOS DIVERSOS NCP, EN ESTABLECIMIENTOS ESPECIALIZADOS INCLUYE SOLAMENTE LOS ALMACENES Y/O MERCADOS POR DEPARTAMENTOS CON VENTA AL DETAL, VENTA DE EXTINTORES DE INCENDIO, VENTA DE CARBONERÍAS SIN AUTO TRANSPORTE</t>
  </si>
  <si>
    <t>EMPRESAS DEDICADAS AL COMERCIO AL POR MENOR DE ARTÍCULOS DE FERRETERÍA, CERRAJERÍA Y PRODUCTOS DE VIDRIO, EXCEPTO PINTURAS EN ESTABLECIMIENTOS ESPECIALIZADOS INCLUYE SOLAMENTE MARQUETERÍAS ARTESANALES, VENTA Y/O DEPOSITO DE VIDRIOS, LA VENTA DE MOSAICOS, AZULEJOS Y SIMILARES</t>
  </si>
  <si>
    <t>EMPRESAS DEDICADAS A LA REPARACIÓN DE EFECTOS PERSONALES INCLUYE LA REPARACIÓN DE JOYAS, RELOJES, APARATOS CIENTÍFICOS DE PRECISIÓN, JUGUETES, SOMBREROS</t>
  </si>
  <si>
    <t>EMPRESAS DEDICADAS A LA REPARACIÓN DE ENSERES DOMÉSTICOS INCLUYE LA REPARACIÓN DE RADIOS Y TELEVISORES, MÁQUINAS DE COSER.</t>
  </si>
  <si>
    <t>EXPENDIO, POR AUTOSERVICIO, DE COMIDAS PREPARADAS EN CAFETERÍAS</t>
  </si>
  <si>
    <t xml:space="preserve">OTROS TIPOS DE EXPENDIO NCP DE ALIMENTOS PREPARADOS </t>
  </si>
  <si>
    <t>EMPRESAS DEDICADAS AL ALMACENAMIENTO Y DEPOSITO INCLUYE BODEGAS Y ALMACENES DE DEPOSITO ASÍ COMO ALMACENAMIENTO DE SEMILLAS Y FORRAJES.</t>
  </si>
  <si>
    <t>EMPRESAS DEDICADAS A PRESTAR SERVICIOS DE TRASMISIÓN DE PROGRAMAS DE RADIO Y TELEVISIÓN INCLUYE LAS ESTACIONES REPETIDORAS DE SEÑALES DE TELEVISIÓN, RADIO Y SIMILARES</t>
  </si>
  <si>
    <t>EMPRESAS DEDICADAS A LOS SERVICIOS DE TRASMISIÓN POR CABLE INCLUYE CABLEGRAFÍAS, ESTACIONES</t>
  </si>
  <si>
    <t xml:space="preserve">EMPRESAS DEDICADAS A PRESTAR OTROS SERVICIOS DE TELECOMUNICACIONES </t>
  </si>
  <si>
    <t>EMPRESAS DEDICADAS A ACTIVIDADES AUXILIARES DE LOS SEGUROS INCLUYE LOS SERVICIOS DE AJUSTADORES DE SEGUROS</t>
  </si>
  <si>
    <t>EMPRESAS DEDICADAS AL ALQUILER DE EQUIPO DE TRANSPORTE TERRESTRE INCLUYE ALQUILER Y LA VENTA DE BICICLETAS Y MOTOCICLETAS, ALQUILER DE AUTOMOTORES</t>
  </si>
  <si>
    <t xml:space="preserve">EMPRESAS DEDICADAS AL ALQUILER DE EQUIPO DE TRANSPORTE ACUÁTICO </t>
  </si>
  <si>
    <t xml:space="preserve">EMPRESAS DEDICADAS AL ALQUILER DE EQUIPO DE TRANSPORTE AÉREO </t>
  </si>
  <si>
    <t xml:space="preserve">EMPRESAS DEDICADAS AL ALQUILER DE MAQUINARIA Y EQUIPO AGROPECUARIO </t>
  </si>
  <si>
    <t xml:space="preserve">EMPRESAS DEDICADAS AL ALQUILER DE MAQUINARIA Y EQUIPO DE CONSTRUCCION Y DE INGENIERÍA CIVIL </t>
  </si>
  <si>
    <t xml:space="preserve">EMPRESAS DEDICADAS AL ALQUILER DE MAQUINARIA Y EQUIPO DE OFICINA (INCLUSO COMPUTADORAS) </t>
  </si>
  <si>
    <t xml:space="preserve">EMPRESAS DEDICADAS AL MANTENIMIENTO Y REPARACIÓN DE MAQUINARIA DE OFICINA, CONTABILIDAD E INFORMÁTICA </t>
  </si>
  <si>
    <t>EMPRESAS O ENTIDADES DEDICADAS A LA INVESTIGACIÓN Y DESARROLLO EXPERIMENTAL EN EL CAMPO DE LAS CIENCIAS NATURALES Y LA INGENIERÍA INCLUYE LABORATORIOS DE HIDROLOGÍA Y/O METEREOLÓGIA Y LOS CENTROS DE INVESTIGACIÓN CIENTÍFICA BÁSICA</t>
  </si>
  <si>
    <t>EMPRESAS DEDICADAS A ACTIVIDADES DE ARQUITECTURA E INGENIERÍA Y ACTIVIDADES CONEXAS DE ASESORAMIENTO TÉCNICO INCLUYE DECORACIÓN DE INTERIORES</t>
  </si>
  <si>
    <t>EMPRESAS DEDICADAS A ACTIVIDADES DE INVESTIGACIÓN Y SEGURIDAD INCLUYE LOS SERVICIOS DE CONSERJERÍA.</t>
  </si>
  <si>
    <t>EMPRESAS DEDICADAS A ACTIVIDADES DE LIMPIEZA DE EDIFICIOS INCLUYE LAS EMPRESAS DE LIMPIEZA CON EXCEPCIÓN DE LIMPIEZA EXTERIOR DE FACHADA DE EDIFICIOS.</t>
  </si>
  <si>
    <t>EMPRESAS DEDICADAS A ACTIVIDADES DE FOTOGRAFÍA INCLUYE LOS LABORATORIOS</t>
  </si>
  <si>
    <t>EMPRESAS DEDICADAS A ACTIVIDADES DE ENVASE Y EMPAQUE INCLUYE EL ENVASE, EMPAQUE DE DROGAS Y DE ARTÍCULOS DE TOCADOR ASÍ COMO EL ENVASE Y ENLATADO DE PRODUCTOS ALIMENTICIOS</t>
  </si>
  <si>
    <t>OTRAS EMPRESAS DEDICADAS A ACTIVIDADES EMPRESARIALES NCP INCLUYE LA ELABORACIÓN DE COPIAS FOTOSTÁTICAS, HELIOGRAFÍAS</t>
  </si>
  <si>
    <t>EMPRESAS DEDICADAS A ACTIVIDADES DE SEGURIDAD SOCIAL DE AFILIACIÓN OBLIGATORIA INCLUYE LOS SERVICIOS DE PREVENCIÓN DE RIESGOS PROFESIONALES Y/O AMBIENTALES</t>
  </si>
  <si>
    <t>EMPRESAS DEDICADAS A ACTIVIDADES DE LA PRACTICA MEDICA INCLUYE LOS SERVICIOS MÉDICOS Y/O PARAMÉDICOS ASISTENCIALES DOMICILIARIOS EXCEPTO SERVICIOS DE PREVENCIÓN Y/O PROMOCIÓN</t>
  </si>
  <si>
    <t>EMPRESAS DEDICADAS A ACTIVIDADES DE LA PRACTICA ODONTOLÓGICA INCLUYE LABORATORIOS DE MECÁNICA DENTAL</t>
  </si>
  <si>
    <t>EMPRESAS DEDICADAS A ACTIVIDADES VETERINARIAS INCLUYE LA ZOOTECNIA, CRÍA DE ANIMALES DOMÉSTICOS, Y EMPRESAS DEDICADAS A ACTIVIDADES PECUARIAS Y/O VETERINARIA EN GENERAL</t>
  </si>
  <si>
    <t>EMPRESAS DEDICADAS A LA PRODUCCIÓN Y DISTRIBUCIÓN DE FILMES Y VIDEOCINTAS INCLUYE LA DISTRIBUCIÓN DE PELICULAS CINEMATOGRÁFICAS Y LA VENTA Y ALQUILER DE VIDEO CON AUTO TRANSPORTE</t>
  </si>
  <si>
    <t>EMPRESAS DEDICADAS A LA EXHIBICIÓN DE FILMES Y VIDEOCINTAS INCLUYE LOS TRABAJO EN CINES Y TEATROS</t>
  </si>
  <si>
    <t>EMPRESAS DEDICADAS A ACTIVIDADES DE RADIO Y TELEVISIÓN</t>
  </si>
  <si>
    <t>EMPRESAS DEDICADAS A ACTIVIDADES TEATRALES Y MUSICALES Y OTRAS EMPRESAS DEDICADAS A ACTIVIDADES ARTÍSTICAS INCLUYE LOS GRUPOS DE MÚSICA Y TEATRO</t>
  </si>
  <si>
    <t>EMPRESAS DEDICADAS A ACTIVIDADES DEPORTIVAS Y OTRAS EMPRESAS DEDICADAS A ACTIVIDADES DE ESPARCIMIENTO INCLUYE LOS SALONES DE BILLARES, JUEGOS DE BOLOS, SALONES DE PATINAJE, CENTROS DE ENSEÑANZA Y/O ENTRETENIMIENTO DEPORTIVO, LOS TRABAJOS EN ESPECTÁCULOS DEPORTIVOS ASÍ COMO LAS EMPRESAS DEDICADAS A ACTIVIDADES DEPORTIVAS PROFESIONALES NO INCLUIDAS EN OTRAS EMPRESAS DEDICADAS A ACTIVIDADES ECONÓMICAS.</t>
  </si>
  <si>
    <t>OTRAS EMPRESAS DEDICADAS A ACTIVIDADES DE ESPARCIMIENTO. REPRODUCCIÓN DE MATERIALES GRABADOS POR CONTRATA INCLUYE MANUFACTURA Y REPRODUCCIÓN DE DISCOS DE SONIDO</t>
  </si>
  <si>
    <t>EMPRESAS DEDICADAS A POMPAS FÚNEBRES Y EMPRESAS DEDICADAS A ACTIVIDADES CONEXAS INCLUYE A LOS EMPLEADOS DE LOS CEMENTERIOS Y SERVICIOS FUNERARIOS</t>
  </si>
  <si>
    <t>OTRAS EMPRESAS DEDICADAS A ACTIVIDADES DE SERVICIOS NCP INCLUYE LAS EMPRESAS DE SERVICIOS PÚBLICOS DE SANITARIOS, ESTACIONAMIENTOS Y/O GARAJES DE AUTOMOTORES</t>
  </si>
  <si>
    <t>Cultivo de plantas con las que se preparan bebidas, incluye te, mate, cacao y otras plantas para preparar bebidas.</t>
  </si>
  <si>
    <t>Cultivo de especias y de plantas aromaticas y medicinales, incluye cardamomo, achiote o bija, cimarron, azafran, laurel, pimienta, tomillo, achicoria, ruscos, sabila, anis,  badian,  hinojo,  canela,  clavos,  jengibre,  vainilla,  lupulo,  nuez  moscada, albahaca,  ajies  y  pimientos,  flor  de  jamaica  y  de  otras  especias  y  plantas aromaticas, medicinales y narcoticas</t>
  </si>
  <si>
    <t>Cultivo de especias y de plantas aromaticas y medicinales, incluye el cultivo de plantas utilizadas principalmente en perfumeria, en farmacia o para la preparacion de insecticidas, fungicidas o propositos similares</t>
  </si>
  <si>
    <t>Otros cultivos permanentes n.c.p., incluye el cultivo de arboles de caucho, arboles para la extraccion de savia y materiales vegetales de las especies utilizadas principalmente en cesteria.</t>
  </si>
  <si>
    <t>Propagacion de plantas (actividades de los viveros, excepto viveros forestales), incluye el cultivo de plantas para plantacion, con fines ornamentales, plantas vivas para utilizar sus bulbos, tuberculos y raices, esquejes e injertos, viveros, cultivo de semillas de hongos.</t>
  </si>
  <si>
    <t>Propagacion de plantas (actividades de los viveros, excepto viveros forestales), incluye la explotacion de viveros, excepto viveros forestales</t>
  </si>
  <si>
    <t>Cria de ganado bovino y bufalino, incluye la cria, engorde y reproduccion de ganado bovino y bufalino.</t>
  </si>
  <si>
    <t>Cria de ganado bovino y bufalino, incluye la produccion de leche cruda de vaca y de bufala.</t>
  </si>
  <si>
    <t>Cria de ganado  bovino  y bufalino, incluye  la produccion de  semen bovino y bufalino</t>
  </si>
  <si>
    <t>Cria de caballos y otros equinos, incluye la cria y reproduccion de caballos, asnos, mulas y burdeganos.</t>
  </si>
  <si>
    <t>Cria de ovejas y cabras, incluye la cria, reproduccion y engorde de ovejas y cabras, produccion de lana cruda o en bruto.</t>
  </si>
  <si>
    <t>Cria de ovejas y cabras, incluye la produccion de leche cruda de oveja y de cabra.</t>
  </si>
  <si>
    <t>Cria de ganado porcino, incluye la cria, reproduccion y engorde de ganado porcino (cerdos).</t>
  </si>
  <si>
    <t>Cria de aves de corral, incluye la cria y reproduccion de aves de corral como: pollos, gallinas, pavos, patos, gansos, codornices entre otros y la explotacion criaderos de polluelos.</t>
  </si>
  <si>
    <t>Cria de aves de corral, incluye la produccion de huevos.</t>
  </si>
  <si>
    <t>Cria de otros animales ncp, incluye la cria y reproduccion de otros animales vivos  como:  insectos,  conejos,  la  cria  de  gusanos  de  seda,  explotacion  de criaderos de gusanos, moluscos terrestres, caracoles, la cria y reproduccion de animales domesticos (excepto peces) como: perros, gatos, pajaros, hamsteres, etcetera y la cria de diversos animales ncp</t>
  </si>
  <si>
    <t>Cria de otros animales n.c.p., incluye la apicultura y produccion de miel y cera de abeja.</t>
  </si>
  <si>
    <t>Explotacion mixta (agricola y pecuaria), incluye la explotacion mixta de cultivos y animales sin especializacion en ninguna de las actividades.</t>
  </si>
  <si>
    <t>Actividades de apoyo a la agricultura, incluye al almacenamiento y deposito de cafe.</t>
  </si>
  <si>
    <t>Actividades de apoyo a la agricultura, las actividades agricolas a cambio de una retribucion   o   por   contrata,   incluye   las   actividades   agricolas   como: acondicionamiento de terrenos, tratamiento de cultivos, plantacion o siembra de cultivos, transplante de arroz, cosecha, poda de arboles frutales y viñas</t>
  </si>
  <si>
    <t>Actividades de apoyo a la agricultura, incluye el mantenimiento de tierras para usos agricolas, explotacion de equipo de riego agricola, control de plagas en relacion con la agricultura, fumigacion de cultivos.</t>
  </si>
  <si>
    <t>Actividades  de  apoyo  a  la  ganaderia,  incluye  actividades  para  mejorar  la reproduccion, el crecimiento y el rendimiento de los animales; albergue y cuidado de animales de granja</t>
  </si>
  <si>
    <t>Actividades de apoyo a la ganaderia, incluye inspeccion sanitaria, castracion de aves de corral, servicios de sementales, inseminacion artificial.</t>
  </si>
  <si>
    <t>Actividades de apoyo a la ganaderia, incluye servicios de arreo y pastoreo de ganado, limpieza de gallineros, etcetera, esquilado de ovejas, actividades de herradores.</t>
  </si>
  <si>
    <t>Actividades posteriores a la cosecha, incluye el proceso de beneficio del cafe cuando se realiza por fuera de la unidad de produccion agricola.</t>
  </si>
  <si>
    <t>Actividades  posteriores  a  la  cosecha,  incluye  limpieza,  recorte,  clasificacion, desinsectacion y beneficio en general, para su comercializacion en los mercados primarios</t>
  </si>
  <si>
    <t>Actividades  posteriores  a  la  cosecha,  incluye  el  desmotado  del  algodon,  la preparacion preliminar de las hojas de tabaco, la preparacion de cacao en grano, el encerado de frutas, el secado al sol de frutas y hortalizas</t>
  </si>
  <si>
    <t>Tratamiento  de  semillas  para  propagacion,  incluye  todas  las  actividades posteriores  a  la  cosecha  dirigidas  a  mejorar  la  calidad  de  las  semillas  para propagacion, mediante la remocion de los materiales diferentes de las semillas y de las semillas demasiado pequeñas, inmaduras o dañadas mecanicamente o por los insectos, asi como la eliminacion de la humedad de las semillas hasta un nivel que  permita  su  almacenamiento  seguro  La  actividad  abarca  el  secado,  la limpieza, la clasificacion y el tratamiento de las semillas hasta su comercializacion Se incluye asimismo el tratamiento de las semillas geneticamente modificadas</t>
  </si>
  <si>
    <t>Caza ordinaria y mediante trampas y actividades de servicios conexas, incluye la caza de animales mediante la utilizacion de trampas con fines comerciales.</t>
  </si>
  <si>
    <t>Caza ordinaria y mediante trampas y actividades de servicios conexas, incluye la captura de animales (vivos o muertos) para alimento, por sus pieles y cueros, o para utilizarlos en actividades de investigacion, en zoologicos o como mascotas.</t>
  </si>
  <si>
    <t>Caza ordinaria y mediante trampas y actividades de servicios conexas, incluye la produccion de pieles finas, cueros de reptiles o plumas de aves como resultado de actividades de caza ordinaria y mediante trampas.</t>
  </si>
  <si>
    <t>Silvicultura  y  otras  actividades  forestales,  incluye  la  explotacion  de  madera: plantacion,  replante,  trasplante,  aclareo  y  conservacion  de  bosques  y  zonas forestadas, el cultivo de monte bajo y de madera para pulpa (pasta) y para leña</t>
  </si>
  <si>
    <t>Silvicultura  y  otras  actividades  forestales,  incluye  la  explotacion  de  viveros forestales</t>
  </si>
  <si>
    <t>Extraccion de madera, incluye la extraccion y transformacion de madera en (bruto descortezada y simplemente escuadrada).</t>
  </si>
  <si>
    <t>Extraccion  de  madera,  incluye  la  produccion  de  madera  para  industrias manufactureras;  de  troncos  de  madera  para  su  utilizacion  en  bruto,  como puntales, estacas, cercas y postes</t>
  </si>
  <si>
    <t>Extraccion de madera, incluye la recoleccion y produccion de leña y produccion artesanal de carbon vegetal en bosques.</t>
  </si>
  <si>
    <t>Recoleccion de productos forestales diferentes a la madera, incluye recoleccion y cosecha de materiales silvestres como: setas (hongos), trufas, nueces, balata, savia, gomas, corcho, laca; balsamos, ceras vegetales, crin vegetal, musgos y liquenes.</t>
  </si>
  <si>
    <t>Recoleccion de productos forestales diferentes a la madera, incluye la recoleccion de materiales silvestres como: resinas y otras plantas silvestres</t>
  </si>
  <si>
    <t>Servicios de apoyo a la silvicultura, incluye las actividades de servicios forestales, Inventarios forestales, servicios de consultoria de gestion forestal, evaluacion de existencias maderables, lucha contra las plagas forestales.</t>
  </si>
  <si>
    <t>Servicios de apoyo a la silvicultura, incluye las actividades de servicios para la extraccion de madera como el transporte de troncos dentro del bosque</t>
  </si>
  <si>
    <t>Servicios de apoyo a la silvicultura, incluye el suministro o alquiler de maquinaria o equipo silvicola con operadores y personal.</t>
  </si>
  <si>
    <t>Servicios  de  apoyo  a  la  silvicultura,  incluye  las  actividades  de  extincion  y prevencion de incendios forestales</t>
  </si>
  <si>
    <t>Acuicultura maritima, incluye la cria de peces en agua de mar, incluida la cria de peces ornamentales marinos.</t>
  </si>
  <si>
    <t>Acuicultura  maritima,  incluye  la  produccion  de  larvas  de  bivalvos  (ostras, mejillones,  etcetera),  crias  de  bogavante,  camarones  en  estado  poslarval, alevines y jaramugos, cultivo de algas comestibles, cultivo y cria en agua de mar</t>
  </si>
  <si>
    <t>Acuicultura maritima, incluye las actividades de acuicultura en aguas salobres y la explotacion de criaderos de peces (marinos); la explotacion de criaderos de gusanos marino; las actividades de acuicultura en tanques o depositos llenos de agua salada</t>
  </si>
  <si>
    <t>Acuicultura de agua dulce, incluye la cria de peces en agua dulce y la cria de peces ornamentales de agua dulce. Incluye la explotacion de criaderos de peces.</t>
  </si>
  <si>
    <t>Acuicultura de agua dulce, incluye la cria de crustaceos y bivalvos de agua dulce, otros moluscos de agua dulce y otros animales acuaticos.</t>
  </si>
  <si>
    <t>Acuicultura de agua dulce, incluye la cria de ranas.</t>
  </si>
  <si>
    <t>Procesamiento  y  conservacion  de  carne  y  productos  carnicos,  incluye  la produccion de carne fresca, refrigerada o congelada</t>
  </si>
  <si>
    <t>Procesamiento  y  conservacion  de  carne  y  productos  carnicos,  incluye  la produccion de carnicos: salchichas, salchichon, morcillas, mortadela, longaniza, butifarra y otros embutidos; pates, jamon, tocineta</t>
  </si>
  <si>
    <t>Procesamiento  y  conservacion  de  carne  y  productos  carnicos,  incluye  la produccion de carne seca, salada o ahumada</t>
  </si>
  <si>
    <t>Procesamiento  y  conservacion  de  frutas,  legumbres,  hortalizas  y  tuberculos, incluye la elaboracion y conservacion de alimentos compuestos principalmente de frutas, legumbres u hortalizas, nueces, congelacion, en forma artesanal</t>
  </si>
  <si>
    <t>Procesamiento  y  conservacion  de  frutas,  legumbres,  hortalizas  y  tuberculos, incluye la elaboracion de helados a base de frutas y jugos naturales de frutas u hortalizas</t>
  </si>
  <si>
    <t>Procesamiento  y  conservacion  de  frutas,  legumbres,  hortalizas  y  tuberculos, incluye el tostado y preparacion de nueces</t>
  </si>
  <si>
    <t>Procesamiento  y  conservacion  de  frutas,  legumbres,  hortalizas  y  tuberculos, incluye la produccion de concentrados a partir de frutas y hortalizas frescas</t>
  </si>
  <si>
    <t>Procesamiento  y  conservacion  de  frutas,  legumbres,  hortalizas  y  tuberculos, incluye la elaboracion de productos perecederos de frutas, legumbres y hortalizas como: ensaladas, hortalizas peladas o cortadas, tofu (cuajada de soja), entre otros</t>
  </si>
  <si>
    <t>Elaboracion de productos lacteos, incluye la elaboracion artesanal de productos lacteos o leche, fresca liquida o bebidas a base de leche.</t>
  </si>
  <si>
    <t>Elaboracion de productos lacteos, incluye la elaboracion de crema a partir de leche fresca liquida, pasteurizada, esterilizada u homogenizada, la elaboracion de leche o crema en forma solida, suero de leche.</t>
  </si>
  <si>
    <t>Elaboracion de productos lacteos, incluye la elaboracion de helados, sorbetes y postres a base de leche.</t>
  </si>
  <si>
    <t>Elaboracion de productos de molineria, elaboracion de alimentos mediante el tostado,  soplado,  macerado,  perlado,  hojaldrado,  pulimento  o  expansion  de granos de cereales</t>
  </si>
  <si>
    <t>Elaboracion  de  almidones  y  productos  derivados  del  almidon,  incluye  la elaboracion de almidones a partir de arroz, papas, maiz, humedo de maiz, yuca (tapioca) y sucedaneos de tapioca a partir de almidones; gluten, etcetera</t>
  </si>
  <si>
    <t>Elaboracion  de  almidones  y  productos  derivados  del  almidon  incluye  la elaboracion de glucosa, jarabe de glucosa, maltosa, inulina, etc</t>
  </si>
  <si>
    <t>Elaboracion de productos de panaderia, incluye la elaboracion de productos de panqueques, waffles, rollos, obleas, conos, aperitivos dulces o salados.</t>
  </si>
  <si>
    <t>Elaboracion de productos de panaderia, incluye la elaboracion de pasteles, tortas, pasteles de frutas, tartas, tortillas de maiz o trigo, buñuelos y arepas, etcetera</t>
  </si>
  <si>
    <t>Elaboracion  de  otros  productos  alimenticios  ncp,  incluye  la  elaboracion  de especias, condimentos, infusiones, extractos y preparados a base de hierbas y fabricacion artesanal de alimentos</t>
  </si>
  <si>
    <t>Elaboracion de otros productos alimenticios n.c.p., incluye la mezcla de te y mate, la elaboracion de extractos y preparados a base de te o mate y el tostado de achicoria; elaboracion de sucedaneos del cafe.</t>
  </si>
  <si>
    <t>Elaboracion  de  otros  productos  alimenticios  ncp,  incluye  la  preparacion  y expendio de comidas preparadas tales como: empanadas, bolis, buñuelos, perros calientes, arepas, chorizos, etcetera, de forma artesanal, siempre que estos sean vendidos a un agente comercial o un tercero</t>
  </si>
  <si>
    <t>Fabricacion de tejidos de punto y ganchillo, incluye la fabricacion y/o elaboracion a mano o mediante maquinas, incluyendo la transformacion de material textil de tejidos de punto y ganchillo, y los procesos de acabado integrados</t>
  </si>
  <si>
    <t>Fabricacion de tejidos de punto y ganchillo, incluye la fabricacion de tejidos de punto de urdimbre y de trama, circulares y otros, con o sin hilados elasticos, asi como los tejidos aterciopelados, afelpados y de rizo; de tejidos de red y del tipo que se utiliza para la confeccion de visillos tricotados en maquinas, la fabricacion de pieles de imitacion mediante tejido de punto y ganchillo; fabricacion de otros tejidos de punto o ganchillo.</t>
  </si>
  <si>
    <t>Confeccion de articulos con materiales textiles, excepto prendas de vestir, incluye la confeccion en tela, frazadas, mantas, lenceria de cama, de mesa, de baño, de cocina, cortinas, cenefas y fundas entre otros.</t>
  </si>
  <si>
    <t>Confeccion de articulos con materiales textiles, excepto prendas de vestir, incluye la confeccion de banderas, gallardetes, estandartes y articulos similares mediante el bordado.</t>
  </si>
  <si>
    <t>Confeccion de articulos con materiales textiles, excepto prendas de vestir, incluye la fabricacion de gobelinos, cañamazo y tapiceria de aguja de punto de cruz o tejidos a mano.</t>
  </si>
  <si>
    <t>Fabricacion de tapetes y alfombras para pisos, incluye la fabricacion de productos textiles,  para el cubrimiento de pisos, producidos mediante el tejido, afelpado, trenzado, tundido, punzado, entre otros,  utilizando materiales textiles tales como hilados de lana, de algodon, de fibras artificiales o sinteticas, de yute, de fique, de fibras  de  coco  (bonote),  de  sisal  y  de  fibras  similares:  tales  como:  tapices, alfombras, esteras, tapetes y recuadros de moqueta con la utilizacion de equipos o maquinaria</t>
  </si>
  <si>
    <t>Fabricacion de otros articulos textiles ncp, incluye manufactura de articulos tejidos y accesorios textiles para sombreros Fabricacion de tules y otros tejidos de  mallas  anudadas,  de  encajes  y  bordados,  en  piezas,  tiras  y  motivos decorativos; fabricacion de guata utilizada en acolchados y prendas de vestir</t>
  </si>
  <si>
    <t>Fabricacion de otros articulos textiles n.c.p., incluye La fabricacion de tejidos de red y del tipo que se utiliza para la confeccion de visillos de encaje tricotado en maquinas.</t>
  </si>
  <si>
    <t>Confeccion de prendas de vestir, excepto prendas de piel, incluye la manufactura y  confeccion  de  guantes  de  tela  o  piel,  chales,  ligas,  sujetadores,  tirantas, encauchados,  fabricas  y/o  grandes  almacenes  de  confeccion  de  ropas  y sastrerias, ropa de trabajo y confeccion de partes de los productos mencionados</t>
  </si>
  <si>
    <t>Confeccion de prendas de vestir, excepto prendas de piel, incluye la confeccion mecanizada de ropa interior y ropa de dormir para hombres, mujeres, niños y bebes, de prendas de vestir adornadas con piel y confeccion de partes de los productos mencionados.</t>
  </si>
  <si>
    <t>Confeccion de prendas de vestir, excepto prendas de piel, incluye la confeccion de otros accesorios de vestir, guantes cinturones, chales, corbatas, corbatines, redecillas para el cabello, articulos de tocado de peleteria (cuero), entre otros y confeccion de partes de los productos mencionados.</t>
  </si>
  <si>
    <t>Confeccion de prendas de vestir, excepto prendas de piel, incluye la confeccion de ropa interior y ropa de dormir de telas tejidas, de punto y ganchillo, de encaje, entre  otros,  para  hombres,  mujeres  y  niños:  camisas,  camisetas,  calzones, calzoncillos,  pijamas,  camisones,  batas,  blusas,  combinaciones,  sujetadores, entre otros; confeccion de ropa de bebe y confeccion de partes de los productos mencionados</t>
  </si>
  <si>
    <t>Fabricacion de articulos de piel, incluye la fabricacion de articulos confeccionados con piel: prendas de vestir y accesorios de piel (excepto gorros, sombreros, entre otros);  articulos  de  piel  confeccionados  con  pieles  alargadas,  planchas, cuadrados,  tiras,  hojas  que  contienen  cuero  o  fibras  de  cuero,  entre  otros; articulos diversos de piel: alfombras, pufes sin relleno y paños para pulimento industrial; pieles artificiales y de articulos confeccionados con estas pieles</t>
  </si>
  <si>
    <t>Fabricacion de articulos de punto y ganchillo, incluye la fabricacion de jerseis, sueteres, chalecos y articulos analogos de punto y ganchillo.</t>
  </si>
  <si>
    <t>Fabricacion de articulos de viaje, bolsos de mano y articulos similares elaborados en cuero y fabricacion de articulos de talabarteria y guarnicioneria, incluye la fabricacion  de  articulos   de  cuero  natural  y/o  regenerado,  la  elaboracion  de articulos de talabarteria (articulos en cuero) y guarnicioneria de forma artesanal, como  articulos de viaje, maletas, morrales, bolsos de mano, carteras y similares; la fabricacion de maletines, maletas escolares, confeccionados en cuero natural o recuperado, o combinaciones de estos con otros materiales, siempre que la materia constitutiva basica sea el cuero</t>
  </si>
  <si>
    <t>Fabricacion de calzado de cuero y piel, con cualquier tipo de suela, incluye la fabricacion, reparacion y trabajo a mano de calzado de cuero y piel con cualquier tipo de suela</t>
  </si>
  <si>
    <t>Fabricacion de otros tipos de calzado, excepto calzado de cuero y piel, incluye la fabricacion,  reparacion  de  calzado  para  todo  uso  (excepto  ortopedico),  de cualquier material, excepto de cuero y piel, de asbesto y de otro material textil sin aplicacion  de  suelas  y  la  fabricacion  de  calzado  deportivo  o  casual  y  el especializado para la practica de deportes, elaborado en otros materiales textiles</t>
  </si>
  <si>
    <t>Fabricacion de otros productos de madera; fabricacion de articulos de corcho, cesteria  y  esparteria,  incluye  empresas  manufactureras  de  baules,  estuches, utensilios de cocina y para uso domestico, articulos de marqueteria (ej: marcos de madera para espejos y fotos), esterillas o persianas de materiales trenzables, articulos de mimbre, palma y otros articulos de materiales trenzables o con cintas, ramales o trenzas</t>
  </si>
  <si>
    <t>Fabricacion  de  papel  y  carton  ondulado  (corrugado);  incluye  fabricacion  de cajones, cajas y estuches armados o plegados, de papel o carton no ondulado; sacos y bolsas de papel para empaque</t>
  </si>
  <si>
    <t xml:space="preserve">Fabricacion  de  otros  articulos  de  papel  y  carton,  incluye  la  manufactura  de cuadernos,  agendas  para  listas  de  telefonos,  albumes,  carpetas,  libros   de registros, libros de contabilidad; cubiertas para libros y libretas en blanco,  sobres para  correspondencia  (sobres-carta),  aerogramas,  esquelas  o  postales  no ilustradas; talonarios, para facturas, recibos y similares, y demas articulos de papeleria de uso educativo o comercial;  fabricacion de cajas de sobres, carpetas y otros productos  analogos  (de papel y  carton) que  contienen  un surtido  de articulos para correspondencia </t>
  </si>
  <si>
    <t>Fabricacion de otros articulos de papel y carton, incluye la  fabricacion de papel de regalo y articulos de fantasia de papel y carton (confetis, serpentinas, articulos decorativos para tarjetas, sobres y regalos y articulos similares); la fabricacion de papeles y cartones con presentacion acondicionada para la venta al por menor y la fabricacion de articulos de papel y carton: fabricacion de papel para imprimir y escribir listo para su uso, fabricacion de papel para impresoras de computadores listo para su uso, fabricacion de papel de autocopiado listo para su uso, fabricacion de papel estencil o para plantillas y papel carbon listos para su uso, etc</t>
  </si>
  <si>
    <t>Actividades de impresion, incluye la impresion directa de avisos sobre productos de madera, plastico, metal, papel, vidrio y ceramica</t>
  </si>
  <si>
    <t>Actividades de servicios relacionados con la impresion, incluye la encuadernacion de hojas impresas para confeccionar libros, folletos, revistas, catalogos, etc, mediante  los  procedimientos  de  colado,  ensamblado,  cosido,  engomado, encolado,  basteado,  encuadernacion  con  adhesivo,  recortado,  estampado  en oro, grapar o fijar varias hojas  sueltas,   incorporacion de datos antes de la impresion, incluso mediante escaneo y entrada de datos incluyendo la exploracion y el reconocimiento optico de caracteres; La produccion de pruebas de impresion; La produccion de productos de reprografia, el diseño de productos impresos; por ejemplo, bocetos, diagramas, patrones, etc</t>
  </si>
  <si>
    <t>Produccion de copias a partir de grabaciones originales, incluye la produccion de copias de musica y otros sonidos en discos gramofonicos, discos compactos y cintas magnetofonicas a partir de grabaciones originales, la produccion de copias de discos flexibles, duros o compactos, de programas de informatica, software, programas comerciales y peliculas cinematograficas a partir de originales.</t>
  </si>
  <si>
    <t>Fabricacion de plasticos en formas primarias, incluye la preparacion de resina, la fabricacion de resinas de intercambio ionico a base de polimeros</t>
  </si>
  <si>
    <t>Fabricacion de jabones y detergentes, preparados para limpiar y pulir; perfumes y preparados de tocador, incluye la fabricacion de otros preparados de perfumeria, cosmeticos y aromaticos de tocador; productos de tocador, obtencion de glicerina cruda</t>
  </si>
  <si>
    <t>Fabricacion de jabones y detergentes, preparados para limpiar y pulir; perfumes y preparados de tocador, incluye la fabricacion de preparados para perfumar o desodorizar ambientes</t>
  </si>
  <si>
    <t>Fabricacion de otros productos quimicos n.c.p., incluye la fabricacion de esencias y extractos de productos aromaticos naturales.</t>
  </si>
  <si>
    <t>Fabricacion de otros productos quimicos ncp, incluye la fabricacion de aguas destiladas aromaticas (agua floral), mezclas de productos odoriferos</t>
  </si>
  <si>
    <t>Fabricacion de formas basicas de caucho y otros productos de caucho, n.c.p., incluye la manufactura de arandelas, conectores y sellos de caucho.</t>
  </si>
  <si>
    <t>Fabricacion de otros productos elaborados de metal n.c.p., incluye la fabricacion de pequeños articulos de metal para oficina, avisos, relieves, placas y similares de metal, chapas de metal e insignias militares de metal.</t>
  </si>
  <si>
    <t>Fabricacion de instrumentos opticos y equipo fotografico, incluye la fabricacion de elementos  opticos  de  vidrio,  cuarzo,  excepto  el  fundido,  de  espatofluor,  de plastico, de cristales cultivados, prismas y lentes, espejos con configuracion de elementos  opticos,  filtros  selectivos  de  colores  para  aparatos  fotograficos principalmente, elementos polarizadores, entre otros; fibras opticas las cuales estan  formadas  por  capas  concentricas  (figuras  geometricas)  de  vidrio  o  de plastico con diversos indices de refraccion</t>
  </si>
  <si>
    <t>Fabricacion de medios magneticos y opticos para el almacenamiento de datos, incluye la fabricacion de medios magneticos y opticos para el almacenamiento de datos  tales  como  cintas  magneticas,  de  audio  y  video  en  blanco  (casetes), disquetes en blanco, discos opticos en blanco, discos duros, tarjetas con banda magnetica incorporada, entre otros soportes</t>
  </si>
  <si>
    <t>Fabricacion de muebles, incluye la fabricacion artesanal o manual de muebles y gabinetes utilizados en el hogar y oficina.</t>
  </si>
  <si>
    <t>Fabricacion de muebles, incluye la fabricacion artesanal o manual de muebles para  locales  comerciales,  autoservicios,  bares,  restaurantes,  hoteles,  teatros, colegios, iglesias y sitios similares</t>
  </si>
  <si>
    <t>Fabricacion  de  instrumentos  musicales,  incluye  la  fabricacion  artesanal  de instrumentos de cuerda, teclado, viento, sonido, percusion y otros, incluidas la fabricacion de partes, piezas y accesorios de instrumentos</t>
  </si>
  <si>
    <t>Fabricacion de instrumentos musicales, incluye solamente estuches, bolsas o cajas para guardar instrumentos musicales.</t>
  </si>
  <si>
    <t>Fabricacion  de  articulos  y  equipo  para  la  practica  del  deporte,  incluye  la fabricacion de articulos deportivos y de atletismo (excepto prendas de vestir y calzado), articulos y equipo de cualquier material para la practica de deportes y juegos al aire libre y bajo techo:   pelotas de caucho, bolas y balones duros, blandos e inflables (para la practica de deportes como beisbol, basquetbol, futbol, golf, tenis, polo y bolos); raquetas, bates, mazos, palos de golf, entre otros; esquis para la nieve, fijaciones y/o botas, bastones y demas articulos para la practica del esqui en nieve; esquis nauticos,  tablas de vela, tablas de surf y demas articulos para la practica de deportes nauticos</t>
  </si>
  <si>
    <t>Fabricacion  de  articulos  y  equipo  para  la  practica  del  deporte,  incluye  la fabricacion de articulos para la practica de deportes acuaticos (buceo, natacion, entre otros); articulos para la pesca deportiva: anzuelos, aparejos y arpones, incluso redes de mano (salabres) y sus partes; articulos para la caza, el alpinismo y otras actividades deportivas</t>
  </si>
  <si>
    <t>Fabricacion  de  articulos  y  equipo  para  la  practica  del  deporte,  incluye  la fabricacion de guantes y gorros de cuero, cascos, cinturones y demas accesorios especiales, incluso articulos de proteccion (rodilleras, musieras, etcetera), para la practica de deportes; patines para hielo y patines de ruedas, incluido el calzado con patines fijos y patinetas;  blancos de arqueria y tiro, arcos, ballestas, flechas, incluso blancos para rifles; equipo para gimnasio (bicicletas estaticas, trotadoras, escaladoras y demas maquinas de ejercicio fisico y de atletismo); articulos para la  practica  de  pilates,  ballet  y  yoga;  articulos  para  la  practica  de  deportes extremos; equipo para gimnasio (bicicletas estaticas, trotadoras, escaladoras y demas maquinas de ejercicio fisico y de atletismo); articulos para la practica de pilates, ballet y yoga; articulos para la practica de deportes extremos; articulos para la practica de deportes nacionales como: tejo, bolo criollo y rana</t>
  </si>
  <si>
    <t>Fabricacion  de  articulos  y  equipo  para  la  practica  del  deporte,  incluye  la fabricacion de los equipos o sets completos para la practica de los deportes, que incluyan estuches, cestas, bolsas, soportes, bases, redes, carnadas, entre otros</t>
  </si>
  <si>
    <t>Otras  industrias  manufactureras  ncp,  incluye  la  fabricacion   de  escobas,  y cepillos  (aspiradoras  y  otras  maquinas  con  dispositivos  rotatorios),  incluidos cepillos  que  forman  parte  de  maquinas,  escobillas,  barredoras,  limpiones, traperos, plumeros mecanicos y manuales, brochas, almohadillas, rodillos para pintar, escurridores, mopas, escobillas de goma, entre otros; flores artificiales; mascaras, articulos confeccionados con cabello (pelucas, extensiones) barbas, cejas postizas, entre otros), fabricacion de distintivos de la Cruz Roja, bomberos, sindicatos e insignias militares metalicas, que no sean de metales preciosos ni de metales comunes revestidos con metales preciosos; fabricacion de cepillos de dientes,  cepillos  para  calzado  y  ropa,  incluso  kits  de  costura  y  arreglo  de calceteria</t>
  </si>
  <si>
    <t xml:space="preserve"> incluye  reparacion  y  mantenimiento  de  armas  de  fuego  (incluso  de  armas deportivas y recreacionales)</t>
  </si>
  <si>
    <t>Mantenimiento y reparacion especializada de maquinaria y equipo, incluye el mantenimiento   y   reparacion    de   calculadoras,   maquinas   de   escribir, fotocopiadoras, cajas registradoras, maquinas de confeccion</t>
  </si>
  <si>
    <t>Mantenimiento y reparacion especializado de equipo electronico y optico, incluye el  mantenimiento,  reparacion  y  calibracion  especializado  a  cambio  de  una retribucion o por contrata de: equipos de medicion, ensayo y control; aparatos de control del tiempo y contadores de tiempo, instrumentos de aeronaves; equipo de prueba de emisiones de automotores; instrumentos meteorologicos; equipos de inspeccion y ensayo de propiedades fisicas, electricas y quimicas; equipos de investigacion; instrumentos de monitoreo y deteccion de radiacion; instrumentos de prospeccion</t>
  </si>
  <si>
    <t>Mantenimiento y reparacion realizado a cambio de una retribucion o por contrato, de maquinaria y equipo no cubierto en los otros grupos que conforman la division 33, tales como: reparacion de mallas de pescar; cuerdas, aparejos nauticos, eslingas, tiendas, carpas y lonas; bolsas de almacenamiento de fertilizantes y quimicos  (bolsas  de  polietileno  plegado  de  tres  capas  que  cuentan  con estabilizacion ultravioleta, tienen un diametro de 5 a 6 pies y una longitud de 60 a 75 metros); reparacion o reacondicionamiento de estibas de madera, barriles de transporte y articulos similares; reparacion de maquinas operadas con monedas (dispensadores, juegos electronicos, tragamonedas y similares), restauracion de instrumentos  musicales  antiguos  (organos,  clavicordios,  etc),  reparacion  de esterilizadores y de equipos de destilacion del tipo usado en laboratorios, entre otros</t>
  </si>
  <si>
    <t>Instalacion especializada de maquinaria y equipo industrial, incluye instalacion de equipos, maquinaria de oficina y contabilidad (diferente de los computadores y equipo periferico); maquinaria de uso general, equipos de bolos</t>
  </si>
  <si>
    <t>Terminacion y acabado de edificios y obras de ingenieria civil, incluye talleres de pintura al duco</t>
  </si>
  <si>
    <t>Comercio de vehiculos automotores nuevos, incluye el comercio al por mayor y al por menor de vehiculos automotores nuevos para pasajeros, incluso vehiculos especiales (ambulancias, casas  rodantes, microbuses, vehiculos de camping, caravanas, entre otros), vehiculos con traccion tipo campero (todo terreno), y otros vehiculos automotores para pasajeros con mecanismos de conduccion similares a  los  de  los  automoviles,  asi  como  el  comercio  de  camiones,  remolques  y semirremolques,  venta  de  vehiculos  por  consignacion,  la  compra  y  venta  de contenedores para su uso en uno o mas medios de transporte</t>
  </si>
  <si>
    <t>Comercio de vehiculos automotores usados, incluye el comercio al por mayor y al por menor de vehiculos automotores usados para pasajeros, incluso vehiculos especiales (ambulancias, casas  rodantes, microbuses, vehiculos de camping, caravanas, entre otros), los vehiculos con traccion tipo campero (todo terreno), y otros  vehiculos  automotores  para  pasajeros  con  mecanismos  de  conduccion similares a los de los automoviles, asi como el comercio de camiones, remolques y  semirremolques  Incluye  las  actividades  de  venta  de  vehiculos  usados  por consignacion,  por  comision  o  por  contrata  (intermediarios),  como  tambien  la compraventa de contenedores especialmente diseñados y equipados para su uso en uno o mas medios de transporte; subasta de vehiculos automotores usados</t>
  </si>
  <si>
    <t>Comercio al por mayor a cambio de una retribucion o por contrata, incluye la venta de pescados y mariscos</t>
  </si>
  <si>
    <t>Comercio al por mayor a cambio de una retribucion o por contrata, incluye venta de mercancias en general, con autotransporte.</t>
  </si>
  <si>
    <t>Comercio al por mayor de bebidas y tabaco, incluye el comercio al por mayor de todo tipo de bebidas alcoholicas  y no alcoholicas o refrescantes,  el embotellado y etiquetado de todo tipo de bebidas, si estas operaciones se efectuan dentro del contexto de las actividades de compraventa, como por ejemplo, la compra de vino a granel y envasado del mismo sin transformacion, el comercio al por mayor de productos del tabaco en todas sus variedades (cigarros, cigarrillos, picadura, rape, tabaco para mascar, entre otros)</t>
  </si>
  <si>
    <t>Comercio  al  por  mayor  de  equipo,  partes  y  piezas,  electronicas  y  de telecomunicaciones,   incluye   valvulas,   tubos   electronicos,   dispositivos   de semiconductores, microchips, circuitos integrados y estampados, partes y piezas de computadores, equipo telefonico, partes y accesorios, conmutadores y equipo de telecomunicaciones</t>
  </si>
  <si>
    <t>Comercio  al  por  mayor  de  maquinaria  y  equipos  agropecuarios,  incluye  el comercio al por mayor de maquinaria y equipos agropecuarios, sus partes, piezas y accesorios como: arados, sembradoras, cosechadoras, trilladoras, maquinas de ordeñar, maquinas utilizadas en avicultura y apicultura, y tractores utilizados en actividades agropecuarias y silvicolas El comercio al por mayor de segadoras de cesped de todo tipo y de sus partes, piezas y accesorios</t>
  </si>
  <si>
    <t>Comercio al por mayor de otros tipos de maquinaria y equipo n.c.p., incluye el comercio al por mayor de equipo de transporte, sus partes, piezas y accesorios excepto vehiculos automotores, motocicletas y bicicletas.</t>
  </si>
  <si>
    <t>Comercio al por mayor de otros tipos de maquinaria y equipo n.c.p., incluye el comercio al por mayor de maquinaria para uso en la industria, la mineria y la construccion, el comercio y la navegacion y otros servicios, en general venta de maquinaria pesada, robots para cadenas de montaje, y de sus partes, piezas y accesorios. Maquinas herramienta, sus partes, piezas y accesorios, de todo tipo y para cualquier material, y las controladas por computador.</t>
  </si>
  <si>
    <t>Comercio al por mayor de otros tipos de maquinaria y equipo ncp, incluye el comercio al por mayor de cables, cables de fibra optica y conmutadores y de otros tipos de equipo de instalacion de uso industrial, el comercio al por mayor de cables, cables de fibra optica y conmutadores y de otros tipos de equipo de instalacion de uso industrial, maquina herramienta, otros tipos de equipo electrico, sus  partes  piezas  y  accesorios,  como  motores  y  transformadores  electricos, maquinas de coser y telares para tejidos de punto controlados por computador</t>
  </si>
  <si>
    <t>Comercio al por mayor de metales y productos metalifero, incluye el comercio al por mayor de minerales metaliferos ferrosos y no ferrosos en formas primarias, semiacabados de metales ferrosos y no ferrosos n.c.p., como por ejemplo, los herrajes diferentes de los usados en la confeccion, comercio al por mayor de oro y otros metales preciosos.</t>
  </si>
  <si>
    <t>Comercio al por mayor de materiales de construccion, articulos de  ferreteria, pinturas, productos de vidrio, equipo y materiales de fontaneria y calefaccion, incluye el comercio al por mayor de herramientas de ferreteria como martillos, sierras, destornilladores, taladros y otras herramientas de mano, madera, equipos para la instalacion de sanitarios, su venta sin autotransporte</t>
  </si>
  <si>
    <t>Comercio  al  por  menor  en  establecimientos  no  especializados,  con  surtido compuesto  principalmente  por  productos  diferentes  de  alimentos  (viveres  en general),  bebidas  y  tabaco,  incluye  establecimientos  no  especializados  de comercio al por menor con surtido compuesto principalmente de una variedad de productos nuevos, para consumo de los hogares y entre los cuales la venta de alimentos  (viveres  en  general),  bebidas  y  tabaco,  no  constituye  su  actividad predominante suelen realizar este tipo de actividad los denominados almacenes generales, miscelaneas, los almacenes o tiendas por departamento con surtido diverso  compuesto,  por  ejemplo,  de  prendas  de  vestir,  calzado,  muebles, electrodomesticos,  articulos  de  ferreteria,  cosmeticos,  joyeria,  productos  de farmacia y drogueria, articulos deportivos, entre otros</t>
  </si>
  <si>
    <t>Comercio   al   por   menor   de   productos   agricolas   para   el   consumo   en establecimientos especializados, incluye el comercio de frutas pulpa y nueces, legumbres, leguminosas frescas y secas (arveja, frijol, garbanzo, entre otros), cereales,  hortalizas,  tuberculos  y  verduras  en  general,  y  demas  productos agricolas para el consumo, frescos y refrigerados</t>
  </si>
  <si>
    <t>Comercio al por menor de carnes (incluye aves de corral), productos carnicos, pescado fresco, preparado o en conserva, mariscos y  productos de mar, en establecimientos especializados, incluye carnicerias y venta de carnes de aves de corral, pescados y productos de mar</t>
  </si>
  <si>
    <t>Comercio al por menor de articulos de ferreteria, pinturas y productos de vidrio en establecimientos especializados, incluye venta de articulos de ferreteria (incluidos articulos electricos), solventes, materiales de construccion, baldosas de corcho para pisos y vidrio plano, enmarcacion de cuadros o marqueterias y otros, sin autotransporte</t>
  </si>
  <si>
    <t>Comercio  al  por  menor  de  otros  productos  nuevos  en  establecimientos especializados, incluye tiendas de articulos sexuales (sex-shop), de articulos de esotericos</t>
  </si>
  <si>
    <t>Almacenamiento y deposito, incluye almacenamiento y deposito de productos textiles,  alimenticios,  agropecuarios,  de  mercancias,  muebles,  automoviles, semillas y forrajes Almacenes para mercancias varias, almacenes generales de deposito</t>
  </si>
  <si>
    <t>Actividades de estaciones, vias y servicios complementarios para el transporte terrestre, incluye estacionamiento para automoviles o garajes (parqueaderos) y para bicicletas.</t>
  </si>
  <si>
    <t>Alojamiento en hoteles, incluye el servicio o prestacion de servicios de alojamiento en unidades constituidas por habitaciones, suministrado mediante contrato de hospedaje  dia  a  dia  o  de  hospedaje  temporal,  hostales;  incluye  hospedaje temporal en hoteles con salas de conferencias. Esta clase excluye las actividades de alojamiento que ofrecen servicios de preparacion de alimentos.</t>
  </si>
  <si>
    <t>Alojamiento en la modalidad de apartahoteles (establecimiento en que se presta el servicio de alojamiento en apartamentos independientes, de un edificio, que integren  una  unidad  de  administracion  y  explotacion,  pudiendo  ofrecer  otros servicios complementarios) la cual es operada con un sistema de reservas de igual manera que un hotel Es un sistema similar a rentar un apartamento pero no posee un contrato fijo y los huespedes pueden hacer su «check-out» cuando lo deseen</t>
  </si>
  <si>
    <t>Alojamiento  en  centros  vacacionales,  incluye  el  servicio  de  alojamiento  en unidades constituidas por habitaciones o apartamentos, ubicadas en areas que por sus caracteristicas topograficas, climaticas o terapeuticas son consideradas de atractivo turistico</t>
  </si>
  <si>
    <t>Alojamiento  rural,  incluye  la  provision  de  alojamiento  temporal  en  unidades habitacionales privadas, ubicado en areas rurales tales como: posadas turisticas, parques nacionales para fines turisticos y fincas turisticas, entre otros</t>
  </si>
  <si>
    <t>Otros tipos de alojamientos para visitantes, incluye el alojamiento en unidades habitacionales,  cuartos  o  apartamentos  de  alquiler  ocasional  o  temporal; comprende servicios de los albergues de jovenes, hostales con servicios minimos, entre otros</t>
  </si>
  <si>
    <t>Actividades  de  zonas  de  camping  y  parques  para  vehiculos  recreacionales, incluye el servicio de alojamiento en un terreno delimitado, con un sitio para cada persona o grupo de personas al aire libre, casas rodantes, zonas de camping, campamentos,   carpas,   parques   para   remolques,   campos   recreativos, campamentos de pesca y caza para corta estadia, refugios protectores y/o talegos para dormir</t>
  </si>
  <si>
    <t>Servicio  por  horas,  incluye  moteles,  residencias  o  amoblados,  servicio  de estancias por horas o periodos de tiempo inferiores a un dia, suministrado en unidades constituidas por habitaciones mediante un pago por horas o periodos de tiempo inferiores a un dia</t>
  </si>
  <si>
    <t>Otros tipos de alojamiento ncp, incluye el alojamiento temporal o de largo plazo en cuartos individuales o compartidos o dormitorios para estudiantes, migrantes, comprende  residencias  estudiantiles,  dormitorios  escolares,  campamentos  de trabajadores</t>
  </si>
  <si>
    <t>Expendio por autoservicio de comidas preparadas, incluye la preparacion y el expendio de alimentos y bebidas que van con las comidas para el consumo inmediato,  exclusiva  o  principalmente  bajo  la  modalidad  de  autoservicio  en cafeterias</t>
  </si>
  <si>
    <t>Expendio de bebidas alcoholicas para el consumo dentro del establecimiento, incluye expendio de bebidas alcoholicas para consumo dentro del establecimiento en discotecas, tabernas, bares y cervecerias, el servicio de bar a bordo de barcos, cuando son provistos por unidades independientes</t>
  </si>
  <si>
    <t>Actividades  de  produccion  de  peliculas  cinematograficas,  videos,  programas, anuncios  y  comerciales  de  television,  incluyen  la  produccion  de  peliculas cinematograficas, videos, programas, anuncios y comerciales de television, de avisos comerciales para television y salas de cine o teatros</t>
  </si>
  <si>
    <t>Actividades de posproduccion de peliculas cinematograficas, videos, programas, anuncios y comerciales de television, incluyen las actividades de posproduccion y reproduccion de peliculas cinematograficas, videos, entre otros, tales como: edicion, titulaje, subtitulaje, creditos, subtitulado para personas con discapacidad auditiva, graficos, animacion y efectos especiales producidos por computador; transferencia de peliculas a cintas. Tambien se incluye el doblaje de sonido de peliculas cinematograficas o videos y la post-sincronizacion.</t>
  </si>
  <si>
    <t>Actividades de posproduccion de peliculas cinematograficas, videos, programas, anuncios y comerciales de television, incluyen actividades de laboratorios de revelado y procesamiento de dibujos animados y peliculas cinematograficas y television,  incluso  comerciales,  estudios  especiales  incluso  para  peliculas  de animacion, trascripcion de sonido, edicion de sonido y musicalizacion</t>
  </si>
  <si>
    <t>Actividades  de  distribucion  de  peliculas  cinematograficas,  videos,  programas, anuncios y comerciales de television, incluye las actividades de distribucion de peliculas cinematograficas y videos en sus diferentes formatos, a cines, cadenas de television, redes de estaciones y proyecciones en exhibidores o expositores La  adquisicion  de  los  derechos  de  distribucion  de  peliculas  y  videos  y  Las agencias  de  distribucion  de  peliculas  cinematograficas  para  su  respectiva reproduccion, asi como la distribucion comercial a cinematecas de cintas, videos, programas, anuncios y comerciales de television</t>
  </si>
  <si>
    <t>Actividades  de  exhibicion  de  peliculas  cinematograficas  y  videos,  incluye  las actividades de exhibicion de peliculas cinematograficas y videos en cine, teatros al aire libre o en otras instalaciones de proyeccion como exhibidores ambulantes de  peliculas  cinematograficas,  de  programas  en  diapositivas,  asi  como  los presentados en festivales cinematograficos, incluso para aerolineas, cineclubes, servicios de cinematecas, videotecas</t>
  </si>
  <si>
    <t>Actividades de grabacion de sonido y edicion de musica, incluye la produccion de programas de radio y de television, Las actividades de servicio de grabacion de sonido en estudio o en otros lugares y grabacion de libros en cinta, incluida la produccion de programas de radio pregrabados (es decir, no en directo), bandas sonoras de peliculas cinematograficas, grabaciones de sonido para programas de television, entre otras.</t>
  </si>
  <si>
    <t>Actividades  de  grabacion  de  sonido  y  edicion  de  musica,  Las  actividades relacionadas con la produccion y posproduccion de musica y sonido: Adquisicion y registro de derechos de autor de las composiciones musicales, Actividades de lanzamiento, promocion, autorizacion y uso de estas composiciones musicales en grabaciones en radio, television, peliculas cinematograficas, actuaciones en vivo y en directo, medios impresos y otros medios, Distribucion de grabaciones de sonido de copias originales a los mayoristas y minoristas, Mezcla y masterizacion de  sonido,  La  edicion  de  libros  de  musica  y  partituras  y  el  otorgamiento  de licencias de copias originales</t>
  </si>
  <si>
    <t>Actividades de programacion y transmision en el servicio de radiodifusion sonora, incluye las actividades de estudios de transmision de estaciones radiales, es decir, la reunion de programas de audio para transmitirlos a los afiliados o suscriptores a traves de las emisiones por el aire, por cable, satelitales o internet., emision de señales de audiofrecuencia a traves de estudios e instalaciones de emision de radio para la transmision de la programacion de audio al publico, a afiliados o a suscriptores,  operacion de estudios de estaciones de radio, las actividades de transmision de radio a traves de la internet (estaciones de radio por internet), la transmision de datos integrada con la transmision de radio.</t>
  </si>
  <si>
    <t>Actividades de programacion y transmision de television, incluye  la creacion  y la programacion  completa  de  canales  de  television,  a  partir  de  componentes adquiridos para el programa, componentes de produccion propia o por terceros, tales como compañias proveedoras de television por cable o satelital, de acceso libre a disposicion de los usuarios o de distribucion por suscripcion, las actividades de transmision de television a traves de la internet, la programacion de canales de  video  a  la  carta,  las  actividades  de  transmision  de  datos  integrados  con emisiones de television</t>
  </si>
  <si>
    <t>Actividades de telecomunicacion satelital, incluye la  explotacion, mantenimiento o facilitacion del acceso a los servicios para la transmision de voz, datos, texto, sonido   y  video   utilizando   infraestructura   de   telecomunicaciones   satelital; transmision a los consumidores por sistemas de comunicacion directa por satelite de  programas  visuales,  de  audio  o  de  texto  recibidos  de  redes  de  cable  o estaciones de television o cadenas de radio (las unidades clasificadas en esta clase no producen por lo general material de programacion locales), servicios de telefonia satelital,  telefonia de larga distancia de compañias de comunicacion satelital; servicios de red necesarios para la transmision de señales de radio y television, a traves de estaciones satelitales</t>
  </si>
  <si>
    <t>Otras actividades de telecomunicaciones, incluye los servicios de internet a traves de las redes que no posee ni controla el proveedor de servicios de internet, tales como acceso telefonico a internet, suministro de servicios de telefonia por internet (VOIP: voz sobre protocolo de internet), entre otras; El suministro de servicios de telefonia y acceso a Internet en instalaciones abiertas al publico: prestados por establecimientos, recarga en linea y pines, servicios prestados por las cabinas telefonicas y otros servicios similares</t>
  </si>
  <si>
    <t>Servicios de seguros sociales de salud, incluye las actividades de entidades de naturaleza publica, privada o mixta, responsables de la afiliacion y contratacion de sistemas de salud a nombre del sistema general de seguridad social en salud.</t>
  </si>
  <si>
    <t>Servicios de seguros sociales de riesgos laborales, incluye las actividades de las entidades de caracter publico o privado, destinadas a prevenir, proteger y atender a los trabajadores de los efectos de las enfermedades y los accidentes que puedan ocurrirles con ocasion o como consecuencia del trabajo que desarrollan; y Administradoras de Riesgos Laborales (ARL).</t>
  </si>
  <si>
    <t>Regimen  de  prima  media  con  prestacion  definida  (RPM):  se  incluyen  las actividades de los fondos de seguros sociales, mediante las cuales los afiliados o sus beneficiarios obtienen una pension de vejez, de invalidez o de sobrevivientes, o una indemnizacion, previamente definida; se incluyen ademas los ramos de seguros relacionados con este tipo de seguros sociales: patrimonios autonomos, Ley 100 y conmutacion pensional</t>
  </si>
  <si>
    <t>Regimen de ahorro individual (RAI): se incluyen las actividades de los fondos de seguros sociales mediante el cual los afiliados o sus beneficiarios obtienen una pension  de  vejez,  de  invalidez  o  de  sobrevivientes,  o  una  indemnizacion, previamente definida (RAI); Los ramos de seguros relacionados con este tipo de seguros sociales: Patrimonios autonomos, Ley 100 y conmutacion pensional</t>
  </si>
  <si>
    <t>Actividades de agentes y corredores de seguros, incluye corredores de seguros, agencias  de  seguros  y  agentes  de  seguros  (intermediarios  de  seguros)  que venden, negocian u ofertan contratos de anualidades y polizas de seguros y reaseguros</t>
  </si>
  <si>
    <t>Actividades  de  agentes  y  corredores  de  seguros,  incluye  las  actividades involucradas con el establecimiento, la gestion y la administracion de planes de seguros  o  estrechamente  relacionadas  con  ella,  pero  distintas  de  las  de intermediacion financiera</t>
  </si>
  <si>
    <t>Evaluacion de riesgos y daños y otras actividades de servicios auxiliares, incluye, las    actividades    involucradas    o    estrechamente    relacionadas    con    el establecimiento,  la  gestion  y  la  administracion  de  planes  de  seguros  o estrechamente  relacionadas  con  ella,  pero  distintas  de  las  de intermediacion financiera Esta clase incluye la provision de servicios de administracion de seguro tales como la evaluacion y liquidacion de reclamaciones de seguros</t>
  </si>
  <si>
    <t>Evaluacion de riesgos y daños y otras actividades de servicios auxiliares, incluye, los  servicios  actuariales,  la  administracion  de  salvamento,  la  evaluacion  de reclamos de seguros, la tasacion de solicitudes de indemnizacion, la evaluacion de riesgos y daños, la tasacion de averias, perdidas y liquidadores de siniestros, la  liquidacion  de  solicitudes  de  indemnizacion  de  seguros,  otras  actividades relacionadas con servicios de seguros y pensiones ncp</t>
  </si>
  <si>
    <t>Investigaciones y desarrollo experimental en el campo de las ciencias naturales y la ingenieria, incluye laboratorio de hidrologia y meteorologia</t>
  </si>
  <si>
    <t>Actividades especializadas de diseño, incluye las actividades de decoradores de interiores, diseño de telas, prendas de vestir, calzado, joyas, muebles y otros articulos de decoracion interior y de moda, asi como de otros articulos personales y enseres domesticos.</t>
  </si>
  <si>
    <t>Actividades  de  fotografia,  incluye  la  produccion  fotografica  comercial  y  para usuarios  no  comerciales,  retratos  fotograficos  para  pasaportes,  actividades academicas, bodas, etc, publicitaria  para: anuncios comerciales, editoriales y actividades relacionadas con la moda, los bienes raices o el turismo, filmacion en video de eventos: bodas, reuniones, etcetera; el procesamiento de  peliculas: Revelado,  impresion  y  ampliacion  de  fotografias  y  peliculas  de  los  clientes, laboratorio  de  revelado  de  peliculas  e  impresion  de  fotos,  ampliacion  de fotografias y peliculas, tiendas de revelado rapido, montaje de diapositivas, copia y restauracion y retoque de transparencias o negativos de fotografias, actividades de fotografos de prensa y microfilmacion de documentos</t>
  </si>
  <si>
    <t>Otras actividades profesionales, cientificas y tecnicas ncp, incluye actividades de corretaje empresarial, la gestion de la compra o venta de pequeñas y medianas empresas, incluidas practicas profesionales, pero sin incluir las actividades de agentes y valuadores de finca raiz consultoria ambiental, agronomia y seguridad; valuaciones   distintas  de   las   relacionadas   con   bienes   raices  y  seguros (antigüedades, joyas, etcetera), auditoria de efectos e informacion sobre fletes; otros tipos de consultoria tecnica, las actividades de consultoria distintas de las de arquitectura, ingenieria y gestion;</t>
  </si>
  <si>
    <t>Otras actividades profesionales, cientificas y tecnicas n.c.p., incluye a actividades de pronostico meteorologico.</t>
  </si>
  <si>
    <t>Actividades veterinarias, incluye las actividades de atencion medica y control de animales en establecimientos agropecuarios y control de animales domesticos, asistentes veterinarios u otro personal auxiliar veterinario, de diagnostico clinico- patologico  y  otros  diagnosticos  relacionados  con  animales,  veterinarias  que requieran la utilizacion de ambulancia para animales</t>
  </si>
  <si>
    <t>Alquiler  y  arrendamiento  de  vehiculos  automotores,  incluye  el  alquiler  y arrendamiento  con  fines  operativos  de  automoviles  de  pasajeros,  camiones, remolques y vehiculos de recreacion (sin conductor)</t>
  </si>
  <si>
    <t>Alquiler  y  arrendamiento  de  equipo  recreativo  y  deportivo,  incluye  bicicletas, hamacas de playa y sombrilla</t>
  </si>
  <si>
    <t>Alquiler y arrendamiento de otros tipos de maquinaria, equipo y bienes tangibles ncp,  incluye  el  alquiler  y  arrendamiento  con  fines  operativos  de  equipo  de transporte terrestre (excepto vehiculos automotores) sin conductor: motocicletas, casas rodantes, furgonetas camper, etcetera; vehiculos ferroviarios</t>
  </si>
  <si>
    <t>Alquiler y arrendamiento de otros tipos de maquinaria, equipo y bienes tangibles, ncp,  incluye  el  alquiler  y  arrendamiento  con  fines  operativos  de  equipo  de transporte acuatico, barcos y buques comerciales (sin operadores)</t>
  </si>
  <si>
    <t>Alquiler y arrendamiento de otros tipos de maquinaria, equipo y bienes tangibles ncp,  incluye  el  alquiler  y  arrendamiento  con  fines  operativos  de  equipo  de aeronaves, helicopteros, globos aerostaticos sin operadores</t>
  </si>
  <si>
    <t>Alquiler y arrendamiento de otros tipos de maquinaria, equipo y bienes tangibles ncp,   incluye el alquiler y arrendamiento con fines operativos de maquinaria agricola  y  forestal  (sin  operadores)  (por  ejemplo:  tractores  utilizados  en actividades agricolas, maquinas para la recoleccion, cosecha o trilla, maquinas desmotadoras de algodon, etcetera)</t>
  </si>
  <si>
    <t>Alquiler y arrendamiento de otros tipos de maquinaria, equipo y bienes tangibles ncp, incluye el alquiler y arrendamiento de maquinaria y equipo de construccion y  de  ingenieria  civil,  camiones  grua,  andamios  y  plataformas  de  trabajo  sin montaje y desmontaje (sin operadores)</t>
  </si>
  <si>
    <t>Alquiler y arrendamiento de otros tipos de maquinaria, equipo y bienes tangibles ncp, incluye el alquiler y arrendamiento con fines operativos de maquinaria y equipo  de  oficina,  computadoras  y  equipo  periferico,  maquinas  copiadoras, maquinas  de  escribir  y  procesadores  de  palabras,  maquinas  y  equipo  de contabilidad: cajas registradoras, calculadoras electronicas</t>
  </si>
  <si>
    <t>Alquiler y arrendamiento de otros tipos de maquinaria, equipo y bienes tangibles ncp, incluye el alquiler de animales (ej: rebaños, caballos de carreras)</t>
  </si>
  <si>
    <t>Alquiler y arrendamiento de otros tipos de maquinaria, equipo y bienes tangibles n.c.p., el alquiler de bandejas de carga (pallets o estibas [plataformas en tablas para almacenar y transportar mercancia).</t>
  </si>
  <si>
    <t>El alquiler y arrendamiento con fines operativos, sin operadores, de otros tipos de maquinaria y equipo operacional que suelen ser utilizados como bienes de capital por las industrias: motores y turbinas, maquinas herramienta, e quipo de mineria y   de   extraccion   de   petroleo,   equipo   profesional   de   radio,   television   y comunicaciones, equipo de produccion de peliculas cinematograficas, equipos de medicion y control, Otros tipos de maquinaria cientifica, comercial e industrial</t>
  </si>
  <si>
    <t>Actividades de seguridad privada, incluye solamente poligrafo y huellas dactilares</t>
  </si>
  <si>
    <t>Actividades combinadas de apoyo a instalaciones, incluye servicios de apoyo dentro   de   las   instalaciones   del   cliente,   limpieza   general   de   interiores, mantenimiento, eliminacion de basuras, envio de correspondencia, recepcion Servicios conexos a fin de facilitar el funcionamiento de las instalaciones Las unidades clasificadas en esta clase proporcionan personal para la realizacion de estas actividades de apoyo, pero no participan en las actividades principales de los clientes ni son responsables de ellas Incluye conserjes</t>
  </si>
  <si>
    <t>Limpieza  general  interior  de  edificios,  incluye  limpieza  general  interior  no especializada de todo tipo de edificios y establecimientos, de otros negocios y establecimientos   profesionales   y   edificios   residenciales   multiples,   Estas actividades  consisten  sobre  todo  en  la  limpieza  de  interior,  aunque  pueden abarcar la limpieza de zonas exteriores conexas como ventanas o pasillos</t>
  </si>
  <si>
    <t>Actividades  de  paisajismo  y  servicios  de  mantenimiento  conexos,  incluye  la plantacion, el cuidado y el mantenimiento parques y jardines: viviendas con jardin de uso privado o comunitario y terrenos municipales y distritales (parques, zonas verdes, cementerios, entre otros)</t>
  </si>
  <si>
    <t>Actividades combinadas de servicios administrativos de oficina, incluye oficina corriente recepcion, planificacion financiera, facturacion y  registro, personal y distribucion  fisica  (servicios  de  mensajeria)  y  logistica,  a  cambio  de  una retribucion o por contrata</t>
  </si>
  <si>
    <t>Fotocopiado, preparacion de documentos y otras actividades, servicios de apoyo de secretaria, incluye la preparacion y transcripcion de documentos, edicion y correccion de pruebas de documentos, mecanografia, procesamiento de texto, La escritura de cartas o de historiales profesionales (curriculos), alquiler de apartados de correos y otras actividades relacionadas con el correo (excepto la publicidad directa por correo), diseño de procesos (blueprinting), Otros servicios de copia de documentos no acompañados de servicios de impresion, como los de impresion en offset, impresion rapida, impresion digital o servicios de preparacion para la prensa.</t>
  </si>
  <si>
    <t>Actividades de agencias de cobranza y oficinas de calificacion crediticia, incluye la compilacion de informacion de historiales de credito y de empleo de personas e  historiales  de  credito  de  empresas,  y  suministro  de  esa  informacion  a instituciones financieras, empresas de venta al por menor y otras entidades que necesitan poder evaluar la solvencia de esas personas y empresas</t>
  </si>
  <si>
    <t>Actividades de envase y empaque, incluye envase de seguridad de preparados farmaceuticos;  etiquetado,  estampado  e  impresion;  empaque  de  paquetes  y envoltura de regalos;</t>
  </si>
  <si>
    <t>Otras actividades de servicio de apoyo a las empresas ncp, incluye grabaciones con estenotipio, recaudo en parquimetros, recaudacion de fondos, codificacion de codigos de barra, preclasificacion de correo</t>
  </si>
  <si>
    <t>Actividades de planes de seguridad social de afiliacion obligatoria, incluye la financiacion y  la administracion  por parte del Gobierno de los  programas de seguridad  social,  tales  como:  enfermedades  y  accidentes  de  trabajo,  las pensiones  de  jubilacion,  los  programas  de  incapacidad  por  maternidad,  las incapacidades temporales, viudez, entre otros</t>
  </si>
  <si>
    <t>Educacion de la primera infancia, incluye educacion primara infancia,</t>
  </si>
  <si>
    <t>Educacion preescolar incluye educacion preescolar</t>
  </si>
  <si>
    <t>Establecimientos que combinan diferentes niveles de educacion en la misma unidad  fisica,  incluye  educacion  de  la  primera  infancia  y  preescolar,  basica (primaria  y  secundaria)  y  media;  las  metodologias  flexibles  y  educacion  de adultos, entre otras</t>
  </si>
  <si>
    <t>Enseñanza deportiva y recreativa, esta clase comprende el adiestramiento en actividades  deportivas  impartido  a  grupos  o  a  personas  Abarca  tambien  las actividades de campamentos de instruccion deportiva, se pernocte en ellos o no No comprende las actividades academicas de escuelas, colegios y universidades Se trata de enseñanza estructurada que puede impartirse en diversos entornos Esta clase incluye:  el adiestramiento deportivo (futbol, baloncesto, tenis, beisbol, etc); el adiestramiento en campamentos deportivos; las clases para animadores deportivos; las clases de gimnasia: Las clases de equitacion en academias o escuelas; las clases de natacion; Las actividades de instructores, profesores y entrenadores deportivos; Las clases de artes marciales; las clases de juegos de cartas; las clases de yoga</t>
  </si>
  <si>
    <t>Actividades de la practica medica, sin internacion, incluye consulta y tratamiento medico general y especializado realizada por medicos generales, especialistas y cirujanos;  los  servicios  de  consulta  medica  a  pacientes  internos  ejercida  por medicos no vinculados a la institucion de internacion</t>
  </si>
  <si>
    <t>Actividades de la practica medica, sin internacion; incluye la practica medica realizada a pacientes externos o ambulatorios en consultorios privados, centros medicos, puestos de salud, clinicas asociadas con empresas, escuelas, hogares para ancianos, organizaciones sindicales y asociaciones profesionales, asi como en  el  domicilio  de  los  pacientes;  y  los  centros  de  planificacion  familiar  que proporcionan tratamiento medico, tales como esterilizacion y la terminacion de embarazo, sin internacion</t>
  </si>
  <si>
    <t>Actividades de la practica odontologica, incluye las actividades de consulta y tratamiento  de  tipo  general  o  especializado  realizadas  por  odontologos,  en cualquier fase de la atencion (promocion, prevencion, diagnostico, tratamiento y rehabilitacion), en las areas de endodoncia, odontologia pediatrica, patologia oral, maxilofacial, periodoncia, prostodoncia y ortodoncia</t>
  </si>
  <si>
    <t>Actividades de la practica odontologica, incluye la practica odontologica realizada a pacientes externos o ambulatorios en consultorios privados, centros medicos, puestos  de  salud,  clinicas  asociadas  con  empresas,  escuelas,  hogares  para ancianos, organizaciones sindicales y asociaciones profesionales, asi como en el domicilio de los pacientes</t>
  </si>
  <si>
    <t>Actividades  de  atencion  residencial  medicalizada  de  tipo  general,  incluye  los servicios de atencion en salud por periodos largos, suministrados por personal calificado en enfermeria, en instituciones que no cuentan con la infraestructura propia de los hospitales y clinicas, ni con la  supervision directa de personal medico Comprenden: hogares para la tercera edad y/o de reposo  con cuidado de enfermeria, casas de convalecencia, excepto para enfermos mentales</t>
  </si>
  <si>
    <t>Actividades de atencion residencial, para el cuidado de pacientes con retardo mental, enfermedad mental y consumo de sustancias psicoactivas, instalaciones para   el   tratamiento   del   alcoholismo   y   la   drogodependencia,   las   casas convalecencia psiquiatricas, los hogares residenciales colectivos para personas con perturbaciones emocionales, las instalaciones para  personas con retraso mental, los hogares de paso para enfermos mentales</t>
  </si>
  <si>
    <t>Actividades de atencion en instituciones para el cuidado de personas mayores y/o discapacitadas, esta clase comprende la provision de alojamiento y servicios de cuidado para personas mayores y/o discapacitadas, que no estan en condiciones de atenderse por si mismas y/o que no desean vivir de manera independiente El cuidado  incluye  habitacion,  comida,  supervision  y  asistencia  en  actividades cotidianas,  tales  como  los  servicios  de  cuidado  personal,  mantenimiento  y limpieza  En  algunos  casos,  estas  instituciones  proveen  atencion  minima  de enfermeria  especializada  en  instalaciones  separadas  dentro  de  la  misma institucion;  incluye  las  instalaciones  residenciales  con  asistencia  para  la  vida cotidiana,  las  comunidades  de  cuidado  y  apoyo  a  jubilados  con  atencion permanente, los hogares de ancianos con atencion minima de enfermeria, las casas de reposo con atencion minima de enfermeria</t>
  </si>
  <si>
    <t>Otras  actividades  de  atencion  en  instituciones  con  alojamiento,  incluye  las actividades destinadas a proporcionar asistencia social las 24 horas del dia a niños  y  a  determinadas  categorias  de  personas  que  no  pueden  valerse plenamente por si mismas, en las que el tratamiento medico o la enseñanza no son  componentes  importantes,  orfanatos,  hogares  y  albergues  infantiles, albergues temporales para personas vulnerables, hogares de transicion colectivos para personas con problemas sociales o personales, Instituciones que atienden a madres  solteras  y  a  sus  hijos,  esas  actividades  pueden  ser  realizadas  por organizaciones publicas o privadas</t>
  </si>
  <si>
    <t>Otras actividades de atencion en instituciones con alojamiento, incluye hogares temporales para rehabilitacion de delincuentes</t>
  </si>
  <si>
    <t>Creacion musical, incluye actividades de composicion musical, en relacion con la concepcion de una pieza musical, abarca la creacion que se estructura desde la tradicion occidental de la musica clasica hasta la creacion menos rigida como es la composicion de la musica popular.</t>
  </si>
  <si>
    <t>Artes  plasticas  y  visuales,  incluye  las  actividades  de  curaduria,  ilustracion, escultura,  pintura,  dibujo,  grabado,  caricatura,  performance,  entre  otras; restauracion de obras de arte, tales como pinturas, esculturas, obras sobre papel, documentos graficos, entre otros</t>
  </si>
  <si>
    <t>Actividades teatrales, incluye la produccion, para el publico en general, de obras teatrales relacionadas con la actuacion y representacion de historias frente a una audiencia   usando   una   combinacion   de   discursos,   gestos,   escenografia, coreografia, musica, sonido, danza y espectaculo, para una o mas funciones,  las actividades pueden ser realizadas por grupos, compañias, pero tambien pueden consistir en funciones de artistas, actores y actrices; Las actividades conexas, como las de manejo de la escenografia, los telones de fondo y el equipo de iluminacion y de sonido, y de funcionamiento de teatro, salas de teatro y otros locales, asi como el diseño de la escenografia y el montaje de la iluminacion  y actividades de productores o empresarios de eventos o espectaculos artisticos en vivo, aporten ellos o no, las instalaciones</t>
  </si>
  <si>
    <t>Otras  actividades  recreativas  y  de  esparcimiento  ncp,  las  actividades  de parques recreativos y playas, incluido el alquiler de casetas, taquillas, hamacas, entre otros, incluye el funcionamiento de discotecas y pistas de baile  en donde el expendio de bebidas alcoholicas no constituye el ingreso principal;  la operacion (explotacion)  de  juegos   operados  con  monedas,   alquiler  de  equipo  de esparcimiento y recreo como parte integral de los servicios de entretenimiento; las  actividades  de  gestion  de  transporte  recreativo;  las  operaciones  de instalaciones recreativas de transporte; por ejemplo, puertos deportivos</t>
  </si>
  <si>
    <t>Mantenimiento y reparacion de computadores y de equipo periferico, incluye el mantenimiento  y  reparacion  de  equipos  electronicos,  como  computadores, accesorios informaticos y equipos perifericos, Unidades de discos magneticos, unidades de memoria USB y otros dispositivos de almacenamiento, unidades de disco optico (CD-RW, CD-ROM, DVD-ROM, DVD-RW), impresoras, monitores, teclados, mouse, palancas de mando y accesorios,  modems de computadores internos   y   externos,   terminales   informaticas   especializadas,   servidores informaticos,  escaneres,  incluidos  lectores  de  codigo  de  barras,  lectores  de tarjetas inteligentes, cascos de realidad virtual y proyectores de computador</t>
  </si>
  <si>
    <t>Mantenimiento   y   reparacion   de   equipos   de   comunicacion,   incluye   el mantenimiento  de  telefonos  inalambricos,  telefonos   celulares,  equipo  de transmision  de  datos/modems,  maquinas  de  fax,  equipos  de  transmision  de comunicaciones  (por  ejemplo,  enrutadores,  puentes,  modems),  emisores–receptores de radio, camaras de television y video de uso comercial</t>
  </si>
  <si>
    <t>Mantenimiento  y  reparacion  de  aparatos  electronicos  de  consumo,  incluye mantenimiento y reparacion de aparatos electronicos de consumo: receptores de radio y television; reproductores de CD, DVD, camaras de video de tipo casero, grabadoras de video (VCR, DVD, etc)</t>
  </si>
  <si>
    <t>Mantenimiento y reparacion de aparatos y equipos domesticos y de jardineria, incluye mantenimiento y reparacion de los electrodomesticos como: planchas electricas,  robots  de  cocina,  licuadoras,  refrigeradores,  estufas,  lavadoras, secadoras  de  ropa,  aparatos  de  aire  acondicionado,  cortadoras  de  cesped, bordeadores, sopladores de hojas, podadoras, entre otros</t>
  </si>
  <si>
    <t>Reparacion de calzado y articulos de cuero, incluye el mantenimiento y reparacion de calzado: zapatos, botas, la colocacion de tacones y articulos de cuero: maletas y articulos similares.</t>
  </si>
  <si>
    <t>Mantenimiento y reparacion de otros efectos personales y enseres domesticos, incluye el mantenimiento y reparacion de bicicletas y otros velocipedos sin motor y  sus  partes,  piezas  y  accesorios,  sillones  de  ruedas  para  personas  con discapacidad, la reparacion y arreglo de joyas y relojes de pulsera y relojes de pared  y  sus  partes,  como  carcazas  y  bastidores  de  todos  los  materiales, mecanismos,   cronometros,   etc,   articulos   deportivos   (excepto   las   armas deportivas), instrumentos musicales</t>
  </si>
  <si>
    <t>Pompas  funebres  y  actividades  relacionadas,  incluye  administracion  de  los cementerios,  alquiler  y  venta  de  tumbas,  mantenimiento  de  las  tumbas  y mausoleo, el alquiler de espacios en funerarias y salas de velacion</t>
  </si>
  <si>
    <t>Otras actividades de servicios personales n.c.p., incluye, salones de reduccion y adelgazamiento, salones de masaje.</t>
  </si>
  <si>
    <t>Otras actividades de servicio n.c.p. incluye, servicios de cuidado de animales domesticos, como residencias y peluquerias para animales, el aseo, formacion y adiestramiento de mascotas.</t>
  </si>
  <si>
    <t>EMPRESAS DEDICADAS A LA PRODUCCION ESPECIALIZADA DE FLOR DE CORTE BAJO CUBIERTA Y AL AIRE LIBRE INCLUYE SOLAMENTE LOS INVERNADEROS, CULTIVO FLORICULTURA .</t>
  </si>
  <si>
    <t>EMPRESAS DEDICADAS A LA CRIA ESPECIALIZADA DE OTROS ANIMALES NCP Y LA OBTENCION DE SUS PRODUCTOS INCLUYE SOLAMENTE LA CRIA DE REPTILES</t>
  </si>
  <si>
    <t>EMPRESAS DEDICADAS A ACTIVIDADES DE SERVICIOS, AGRICOLAS Y GANADEROS, EXCEPTO LAS EMPRESAS DEDICADAS A ACTIVIDADES VETERINARIAS INCLUYE SOLAMENTE LOS BENEFICIOS DE ARROZ Y LAS TRILLADORAS DE GRANO, CABALLERIZAS, ESTABLOS PARA REPARTO CON AUTOTRANSPORTE</t>
  </si>
  <si>
    <t>EMPRESAS DEDICADAS A LA EXPLOTACION DE MINERALES PARA LA FABRICACIÓN DE ABONOS Y PRODUCTOS QUIMICOS</t>
  </si>
  <si>
    <t>EMPRESAS DEDICADAS A LA EXTRACCION DE HALITA (SAL) INCLUYE SOLAMENTE SALINAS MARINAS</t>
  </si>
  <si>
    <t>EMPRESAS DEDICADAS A PRODUCCION, TRANSFORMACION Y CONSERVACION DE CARNE Y DE DERIVADOS CARNICOS INCLUYE SOLAMENTE LOS MATADEROS</t>
  </si>
  <si>
    <t>ELABORACION DE PRODUCTOS LACTEOS INCLUYE SOLAMENTE LA FABRICACIÓN NO ARTESANAL DE PRODUCTOS Y/O DERIVADOS DE LACTEOS, ELABORACIÓN DE LECHE CONDENSADA Y/O EN POLVO, PLANTAS PASTEURIZADORAS</t>
  </si>
  <si>
    <t>ELABORACION DE PRODUCTOS DE MOLINERIA, DE ALMIDONES Y PRODUCTOS DERIVADOS DEL ALMIDON Y ALIMENTOS PREPARADOS PARA ANIMALES INCLUYE SOLAMENTE LA FABRICACIÓN DE ALMIDÓN, FECULA, GLUCOSAS, MOLINOS DE GRANOS</t>
  </si>
  <si>
    <t>EMPRESAS DEDICADAS A LA ELABORACION DE ALIMENTOS PREPARADOS PARA ANIMALES INCLUYE LA FABRICACIÓN DE ALIMENTOS CONCENTRADOS PARA ANIMALES</t>
  </si>
  <si>
    <t>EMPRESAS DEDICADAS A LA ELABORACION DE PRODUCTOS DE PANADERIA INCLUYE SOLAMENTE FABRICACIÓN DE GALLETAS, PASTAS ALIMENTICIAS, ELABORACIÓN DE PAN Y PASTELES</t>
  </si>
  <si>
    <t>TRILLA DE CAFÉ HACE REFERENCIA A EMPRESAS DEDICADAS A LA MOLIENDA</t>
  </si>
  <si>
    <t>DESCAFEINADO</t>
  </si>
  <si>
    <t>EMPRESAS DEDICADAS A LA FABRICACIÓN DE PANELA Y SUS SUBPRODUCTOS INCLUYE TRAPICHES, INDUSTRIA DE LA PANELA</t>
  </si>
  <si>
    <t>EMPRESAS DEDICADAS A LA ELABORACION DE CACAO, CHOCOLATE Y PRODUCTOS DE CONFITERIA INCLUYE LA MOLIENDA Y/O FABRICACIÓN DE PRODUCTOS DE CACAO, DULCES, CHOCOLATES Y SIMILARES</t>
  </si>
  <si>
    <t>ELABORACION DE OTROS PRODUCTOS ALIMENTICIOS NCP INCLUYE SOLAMENTE LAS FABRICAS DE ALIMENTOS PRECOCIDOS Y/O CONGELADOS NO ESPECIFICADOS EN OTRAS EMPRESAS DEDICADAS A ACTIVIDADES ECONÓMICAS, FABRICACIÓN DE LEVADURAS, ELABORACIÓN DE MANTECA DE CERDO, FABRICACIÓN DE VINAGRE</t>
  </si>
  <si>
    <t>DESTILACION, RECTIFICACION Y MEZCLA DE BEBIDAS ALCOHOLICAS; PRODUCCION DE ALCOHOL ETILICO A PARTIR DE SUSTANCIAS FERMENTADAS INCLUYE SOLAMENTE EMPRESAS DEDICADAS A LA FABRICACIÓN DE VINOS, ALCOHOLES, AGUARDIENTE Y/O LICORES</t>
  </si>
  <si>
    <t>EMPRESAS DEDICADAS A LAELABORACION DE BEBIDAS FERMENTADAS NO DESTILADAS</t>
  </si>
  <si>
    <t>EMPRESAS DEDICADAS A LA ELABORACION DE BEBIDAS NO ALCOHOLICAS, PRODUCCION DE AGUAS MINERALES INCLUYE LA FABRICACIÓN Y EMBOTELLADOR DE BEBIDAS NO ALCOHOLICAS, LA ELABORACIÓN Y DISTRIBUCIÓN DE HIELO</t>
  </si>
  <si>
    <t>EMPRESAS DEDICADAS A LA FABRICACIÓN DE PRODUCTOS DE TABACO INCLUYE FABRICACIÓN DE CIGAROS, CIGARRILLOS</t>
  </si>
  <si>
    <t>EMPRESAS DEDICADAS A LA PREPARACION DE FIBRAS ANIMALES Y VEGETALES Y/O ARTIFICIALES Y SUS SUBPRODUCTOS INCLUYE SOLAMENTE LA FABRICACIÓN DE ARTÍCULOS DE BORRA, ESTOPA, FABRICACIÓN DE HILADOS Y/O TEJIDOS DE FIBRA BLANDA DE ALGODÓN, LANA, LINO, SEDA Y SIMILARES ,DESFIBRADORA DE ALGODÓN, EL DESFIBRADORAS DE FIBRAS DURAS, YUTE, FIQUE Y SIMILARES.</t>
  </si>
  <si>
    <t>EMPRESAS DEDICADAS A LA TEJEDURA DE PRODUCTOS TEXTILES INCLUYE SOLAMENTE LA FABRICACIÓN DE GASAS ,VENDAS, ALGODÓN Y SIMILARES, TELAS EN GENERAL</t>
  </si>
  <si>
    <t>ACABADO DE PRODUCTOS TEXTILES NO PRODUCIDOS EN LA MISMA UNIDAD DE PRODUCCION INCLUYE SOLAMENTE EMPRESAS DEDICADAS A ACABADO, TEÑIDO Y/O ESTAMPADO DE TELAS, HILOS, TINTORERÍAS</t>
  </si>
  <si>
    <t>EMPRESAS DEDICADAS A LA CONFECCION DE ARTICULOS CON MATERIALES TEXTILES NO PRODUCIDOS EN LA MISMA UNIDAD, EXCEPTO PRENDAS DE VESTIR.</t>
  </si>
  <si>
    <t>EMPRESAS DEDICADAS A LA FABRICACIÓN DE CUERDAS, CORDELES, CABLES, BRAMANTES Y REDES</t>
  </si>
  <si>
    <t>EMPRESAS DEDICADAS A LA FABRICACIÓN DE OTROS ARTICULOS TEXTILES NCP INCLUYE SOLAMENTE LA MANUFACTURA DE COSTALES DE FIBRA, DE TELA</t>
  </si>
  <si>
    <t>EMPRESAS DEDICADAS A LA FABRICACIÓN DE TEJIDOS Y ARTICULOS DE PUNTO Y GANCHILLO INDUSTRIAL INCLUYE SOLAMENTE LA FABRICACIÓN DE MEDIAS</t>
  </si>
  <si>
    <t>EMPRESAS DEDICADAS A LA FABRICACIÓN DE PRENDAS DE VESTIR, EXCEPTO PRENDAS DE PIEL HINCLUYE SOLAMENTE FABRICACIÓN MECANIZADA DE CORSÉS, FAJAS ELÁSTICAS, SOMBREROS DE FIELTRO</t>
  </si>
  <si>
    <t>EMPRESAS DEDICADAS A LA FABRICACIÓN DE CALZADO DE CUERO Y PIEL; CON CUALQUIER TIPO DE SUELA, EXCEPTO EL CALZADO DEPORTIVO INCLUYE LA FABRICACIÓN Y/O REPARACIÓN CON MAQUINARIA</t>
  </si>
  <si>
    <t>EMPRESAS DEDICADAS A LA FABRICACIÓN DE CALZADO DE MATERIALES TEXTILES; CON CUALQUIER TIPO DE SUELA, EXCEPTO EL CALZADO DEPORTIVO INCLUYE LA FABRICACIÓN Y/O REPARACIÓN CON MAQUINARIA</t>
  </si>
  <si>
    <t>EMPRESAS DEDICADAS A LA FABRICACIÓN DE CALZADO DE CAUCHO, EXCEPTO EL CALZADO DEPORTIVO .INCLUYE LA FABRICACIÓN Y/O REPARACIÓN CON MAQUINARIA</t>
  </si>
  <si>
    <t>EMPRESAS DEDICADAS A LA FABRICACIÓN DE CALZADO DE PLASTICO, EXCEPTO EL CALZADO DEPORTIVO INCLUYE LA FABRICACIÓN Y/O REPARACIÓN CON MAQUINARIA</t>
  </si>
  <si>
    <t>EMPRESAS DEDICADAS A LA FABRICACIÓN DE CALZADO DEPORTIVO, INCLUSO EL MOLDEADO INCLUYE LA FABRICACIÓN Y/O REPARACIÓN CON MAQUINARIA</t>
  </si>
  <si>
    <t>EMPRESAS DEDICADAS A LA FABRICACIÓN DE PARTES DEL CALZADO INCLUYE LA FABRICACIÓN DE OJETES PARA ZAPATOS</t>
  </si>
  <si>
    <t>EMPRESAS DEDICADAS A LA FABRICACIÓN DE CALZADO NCP INCLUSO EL MOLDEADO INCLUYE LA FABRICACIÓN Y/O REPARACIÓN CON MAQUINARIA CON MATERIALES COMO MADERA, PAJA, SINTETICOS.</t>
  </si>
  <si>
    <t>EMPRESAS DEDICADAS A LA FABRICACIÓN DE ARTICULOS DE VIAJE, BOLSOS DE MANO, Y ARTICULOS SIMILARES ELABORADOS EN CUERO; INCLUYE SOLAMENTE FABRICACIÓN DE ARTICULOS DE TALABARTERIA Y GUARNICIONERIA, TALABARTERÍAS MECANIZADAS</t>
  </si>
  <si>
    <t>EMPRESAS DEDICADAS A LA FABRICACIÓN DE ARTICULOS DE VIAJE, BOLSOS DE MANO Y ARTICULOS SIMILARES, ELABORADOS EN MATERIALES SINTETICOS, PLASTICO E IMITACIONES DE CUERO</t>
  </si>
  <si>
    <t>EMPRESAS DEDICADAS A LA FABRICACIÓN DE ARTICULOS DE VIAJE, BOLSOS DE MANO, Y ARTICULOS SIMILARES ELABORADOS CON MATERIALES NCP</t>
  </si>
  <si>
    <t>EMPRESAS DEDICADAS AL ASERRADO, ACEPILLADO E IMPREGNACION DE LA MADERA INCLUYE SOLAMENTE EMPRESAS DEDICADAS A LAS MADERERIAS, PREPARACIÓN DE MADERA, IMPERMEABILIZACIÓN Y/O INMUNIZADO</t>
  </si>
  <si>
    <t>EMPRESAS DEDICADAS A LA FABRICACIÓN DE RECIPIENTES DE MADERA INCLUYE SOLAMENTE LA FABRICACIÓN DE ENVASES DE MADERA PARA EMPAQUE, TONELES, BARRILES</t>
  </si>
  <si>
    <t>EMPRESAS DEDICADAS A LA FABRICACIÓN DE OTROS PRODUCTOS DE MADERA; FABRICACIÓN DE ARTICULOS DE CORCHO, CESTERIA Y ESPARTERIA INCLUYE SOLAMENTE LA FABRICACIÓN DE HORMAS, TACONES Y/O CERCOS PARA CALZADO, PALILLOS, BAJALENGUAS Y SIMILARES, FABRICACIÓN DE PERSIANAS ,LAS MARQUETERIAS MECANIZADAS</t>
  </si>
  <si>
    <t>EMPRESAS DEDICADAS A LA FABRICACIÓN DE ENVASES, EMPAQUES Y DE EMBALAJES DE PAPEL Y CARTON</t>
  </si>
  <si>
    <t>EMPRESAS DEDICADAS A LA EDICION DE LIBROS, FOLLETOS, PARTITURAS Y OTRAS PUBLICACIONES</t>
  </si>
  <si>
    <t>EMPRESAS DEDICADAS A LA EDICION DE PERIODICOS, REVISTAS Y PUBLICACIONES PERIODICAS TECNICAS Y TIRAS COMICAS Y DE TODO</t>
  </si>
  <si>
    <t>EMPRESAS DEDICADAS A LA EDICION DE MATERIALES GRABADOS EN MATERIALES GRAMAFONICO</t>
  </si>
  <si>
    <t>ARTE, DISEÑO Y COMPOSICION INCLUYE SOLAMENTE EMPRESAS DEDICADAS A LA FOTOCOMPOSICIÓN</t>
  </si>
  <si>
    <t>EMPRESAS DEDICADAS A LA FOTOMECANICA Y ANALOGOS INCLUYE SOLAMENTE EL FOTOGRABADO, CINCOGRABADO, ROTOGRABADO</t>
  </si>
  <si>
    <t>EMPRESAS DEDICADAS A LA ENCUADERNACION</t>
  </si>
  <si>
    <t>EMPRESAS DEDICADAS AL ACABADO O RECUBRIMIENTO</t>
  </si>
  <si>
    <t>EMPRESAS DEDICADAS A LA FABRICACIÓN DE SUSTANCIAS QUIMICAS BASICAS, EXCEPTO ABONOS Y COMPUESTOS INORGANICOS NITROGENADOS INCLUYE LA FABRICACIÓN DE AGUARRÁS, TREMENTINA, GOMAS, LA REFINACIÓN DE AZUFRE</t>
  </si>
  <si>
    <t>EMPRESAS DEDICADAS A LA FABRICACIÓN DE CAUCHO SINTETICO EN FORMAS PRIMARIAS</t>
  </si>
  <si>
    <t>EMPRESAS DEDICADAS A LA FABRICACIÓN DE PINTURAS, BARNICES Y REVESTIMIENTOS SIMILARES, TINTAS PARA IMPRESION Y MASILLAS INCLUYE SOLAMENTE LA FABRICACIÓN DE TINTAS PARA IMPRENTA</t>
  </si>
  <si>
    <t>EMPRESAS DEDICADAS A LA FABRICACIÓN DE PRODUCTOS FARMACEUTICOS INCLUYE SOLAMENTE FABRICACIÓN DE ALGODÓN, GASAS, VENDAS Y SIMILARES, FABRICACIÓN DE PRODUCTOS FARMACEUTICOS, MEDICAMENTOS</t>
  </si>
  <si>
    <t>EMPRESAS DEDICADAS A LA FABRICACIÓN DE JABONES Y DETERGENTES, PREPARADOS PARA LIMPIAR Y PULIR; PERFUMES Y PREPARADOS DE TOCADOR INCLUYE SOLAMENTE LA FABRICACIÓN DE BETÚNES, GRASAS PARA CALZADO, CERA PARA PISOS, FABRICACIÓN Y ENVASE DE COSMÉTICOS.</t>
  </si>
  <si>
    <t>EMPRESAS DEDICADAS A LA FABRICACIÓN DE OTROS PRODUCTOS QUIMICOS NCP INCLUYE SOLAMENTE LA FABRICACIÓN DE COLA, PEGANTES Y SIMILARES, PREPARACIÓN DE COMBUSTIBLES PARA CALENTADORES, ENCENDEDORES, REFINACIÓN DE SAL</t>
  </si>
  <si>
    <t>EMPRESAS DEDICADAS A LA FABRICACIÓN DE FIBRAS SINTETICAS Y ARTIFICIALES INCLUYE SOLAMENTE LA FABRICACIÓN DE HILOS, ESTAMBRE</t>
  </si>
  <si>
    <t>EMPRESAS DEDICADAS A LA FABRICACIÓN DE OTROS PRODUCTOS DE CAUCHO NCP INCLUYE SOLAMENTE FABRICACIÓN DE BANDAS EMPAQUETADURA, FABRICACIÓN DE ARTÍCULOS DE PLÁSTICOS, BAQUELITA, LÁTEX</t>
  </si>
  <si>
    <t>EMPRESAS DEDICADAS A LA FABRICACIÓN DE FORMAS BASICAS DE PLASTICO INCLUYE SOLAMENTE EMPRESAS DEDICADAS A LA FABRICACIÓN DE LAMINAS, PELICULAS, TIRAS, ESPUMADO, PLANCHAS.</t>
  </si>
  <si>
    <t>EMPRESAS DEDICADAS A LA FABRICACIÓN DE ARTICULOS DE PLASTICO NCP INCLUYE SOLAMENTE LA FABRICACIÓN DE ARTÍCULOS PARA BAÑO, CARPINTERIA ARQUITECTONICA EN PLASTICO, PRODUCTOS DE REVESTIMIENTO PARA PISOS, PAREDES O TECHOS, ARTÍCULOS DE PROTECCIÓN Y AISLAMIENTO ELECTRICO, PRENDAS DE VESTIR EN PLASTICO.</t>
  </si>
  <si>
    <t>EMPRESAS DEDICADAS A LA FABRICACIÓN DE CEMENTO, CAL Y YESO INCLUYE SOLAMENTE FABRICACIÓN DE CAL, CALES HIDRATADAS, MOLINOS DE ARCILLA, YESO Y SIMILARES</t>
  </si>
  <si>
    <t>EMPRESAS DEDICADAS AL CORTE, TALLADO Y ACABADO DE LA PIEDRA INCLUYE LAS MARMOLERIAS</t>
  </si>
  <si>
    <t>EMPRESAS DEDICADAS A LA FABRICACIÓN DE OTROS PRODUCTOS MINERALES NO METALICOS NCP INCLUYE SOLAMENTE LA FABRICACIÓN DE LIJAS Y ESMERILES</t>
  </si>
  <si>
    <t>INDUSTRIAS BASICAS DE METALES PRECIOSOSINCLUYE SOLAMENTE EMPRESAS DEDICADAS A LA FABRICACIÓN DE ARTÍCULOS DE PLATA Y PLATERÍAS</t>
  </si>
  <si>
    <t>EMPRESAS DEDICADAS A LA FABRICACIÓN DE PRODUCTOS METALICOS PARA USO ESTRUCTURAL INCLUYE SOLAMENTE LA FABRICACIÓN DE CORTINAS, PUERTAS Y/O VENTANAS METÁLICAS.</t>
  </si>
  <si>
    <t>EMPRESAS DEDICADAS A LA FORJA, PRENSADO, ESTAMPADO Y LAMINADO DE METAL; PULVIMETALURGIA INCLUYE SOLAMENTE LA FABRICACIÓN DE ARTEFACTOS PARA TAPAS Y SIMILARES PARA EMBOTELLADORAS, LOS TRABAJOS DE HOJALATERIA NO MECANIZADA</t>
  </si>
  <si>
    <t>TRATAMIENTO Y REVESTIMIENTO DE METALES; TRABAJOS DE INGENIERIA MECANICA EN GENERAL REALIZADOS A CAMBIO DE UNA RETRIBUCION O POR CONTRATA INCLUYE SOLAMENTE EMPRESAS DEDICADAS A LAS PLANTAS PULIDORAS DE METALES</t>
  </si>
  <si>
    <t>EMPRESAS DEDICADAS A LA FABRICACIÓN DE ARTICULOS DE CUCHILLERIA, HERRAMIENTAS DE MANO Y ARTICULOS DE FERRETERIA INCLUYE LA FABRICACIÓN DE CERRADURAS, LLAVES Y SIMILARES.</t>
  </si>
  <si>
    <t>EMPRESAS DEDICADAS A LA FABRICACIÓN DE OTROS PRODUCTOS ELABORADOS DE METAL NCP INCLUYE LA FABRICACIÓN DE AGUJAS, ALFILERES, HORQUILLAS Y SIMILARES, ENVASES PARA EXTINTORES DE INCENDIO, TRABAJOS EN GRABADO EN COBRE Y/O OTROS METALES, TALLERES DE ORNAMENTACIÓN DE HIERRO, TALLERES MECÁNICOS DE HERRERÍAS, FABRICACIÓN DE ARTÍCULOS METÁLICOS, FABRICACIÓN DE ESPUELAS, FRENOS Y SIMILARES, LAS LATONERÍAS, COBRERERIAS</t>
  </si>
  <si>
    <t>EMPRESAS DEDICADAS A LA FABRICACIÓN DE OTROS TIPOS DE MAQUINARIA DE USO GENERAL NCP INCLUYE LA DISTRIBUCIÓN Y/O FABRICACIÓN DE APARATOS PARA PURIFICAR AGUA, EXTRACCIÓN Y/O PURIFICACIÓN ,LA FABRICACIÓN DE APARATOS DE CALEFACCIÓN Y/O REFIGERACIÓN, CALENTADORES PARA AGUA, ESTUFAS A GAS, LA FABRICACIÓN DE INSTRUMENTOS Y/O ARTÍCULOS DE INGENIERIA</t>
  </si>
  <si>
    <t>EMPRESAS DEDICADAS A LA FABRICACIÓN DE MAQUINARIA AGROPECUARIA Y FORESTAL INCLUYE SOLAMENTE LA FABRICACIÓN, REPARACIÓN DE MAQUINARIA E IMPLEMENTOS AGRICOLAS</t>
  </si>
  <si>
    <t>EMPRESAS DEDICADAS A LA FABRICACIÓN DE MAQUINAS HERRAMIENTA</t>
  </si>
  <si>
    <t>EMPRESAS DEDICADAS A LA FABRICACIÓN DE MAQUINARIA PARA LA ELABORACION DE PRODUCTOS TEXTILES, PRENDAS DE VESTIR Y CUEROS</t>
  </si>
  <si>
    <t>EMPRESAS DEDICADAS A LA FABRICACIÓN DE ARMAS Y MUNICIONES</t>
  </si>
  <si>
    <t>EMPRESAS DEDICADAS A LA FABRICACIÓN DE OTROS TIPOS DE MAQUINARIA DE USO ESPECIAL NCP INCLUYE SOLAMENTE LA FABRICACIÓN DE MOLDES PARA FUNCICIÓN DE MAQUINARIA, RODILLOS PARA IMPRESORA Y RECUBRIMIENTOS</t>
  </si>
  <si>
    <t>EMPRESAS DEDICADAS A LA FABRICACIÓN DE APARATOS DE USO DOMESTICO NCP INCLUYE SOLAMENTE EMPRESAS DEDICADAS A LA FABRICACIÓN DE VENTIOLADORES PARA USO DOMESTICO Y EN PIE, MÁQUINAS DE AFEIRTAR ELECTRICAS, MAQUINAS SECADORAS PAERA USO DOMESTICO.</t>
  </si>
  <si>
    <t>EMPRESAS DEDICADAS A LA FABRICACIÓN DE MAQUINARIA DE OFICINA, CONTABILIDAD E INFORMATICA</t>
  </si>
  <si>
    <t>EMPRESAS DEDICADAS A LA FABRICACIÓN DE LAMPARAS ELECTRICAS Y EQUIPO DE ILUMINACIONINCLUYE SOLAMENTE LA FABRICACIÓN DE APARATOS ELECTRICOS IMPLEMENTOS Y SIMILARES, LAMPARAS INCANDESCENTES, FLUORESCENTES, TUBOS PARA RADIOS Y SIMILARES, BOMBILLOS</t>
  </si>
  <si>
    <t>EMPRESAS DEDICADAS A LA FABRICACIÓN DE OTROS TIPOS DE EQUIPO ELECTRICO NCP INCLUYE SOLAMENTE EMPRESAS DEDICADAS A LA FABRICACIÓN DE ELECTRODOS, DISPOSITIVOS DE ILUMINACIÓN, DISPOSITIVOS DE SEÑALIZACIÓN.</t>
  </si>
  <si>
    <t>EMPRESAS DEDICADAS A LA FABRICACIÓN DE RECEPTORES DE RADIO Y TELEVISION, DE APARATOS DE GRABACION Y DE REPRODUCCION DEL SONIDO O DE LA IMAGEN, Y DE PRODUCTOS CONEXOS INCLUYE SOLAMENTE EL ARMADO Y/O FABRICACIÓN DE TELEVISORES, RADIOS, REPRODUCTORES DE SONIDO</t>
  </si>
  <si>
    <t>EMPRESAS DEDICADAS A LA FABRICACIÓN DE INSTRUMENTOS OPTICOS Y DE EQUIPO FOTOGRAFICO</t>
  </si>
  <si>
    <t>EMPRESAS DEDICADAS A LA FABRICACIÓN DE RELOJES</t>
  </si>
  <si>
    <t>EMPRESAS DEDICADAS A LA FABRICACIÓN DE VEHICULOS AUTOMOTORES Y SUS MOTORES INCLUYE ARMADO, PINTURA Y/O REPARACIÓN DE AUTOMOTORES, AUTOMOVILES, CAMIONES, LANCHAS, MOTOCICLETAS Y SIMILARES</t>
  </si>
  <si>
    <t>EMPRESAS DEDICADAS A LA FABRICACIÓN DE CARROCERIAS PARA VEHICULOS AUTOMOTORES; INCLUYE LA FABRICACIÓN DE REMOLQUES Y SEMIRREMOLQUES, FABRICACIÓN Y/O REPARACIÓN DE CARROCERÍAS</t>
  </si>
  <si>
    <t>EMPRESAS DEDICADAS A LA FABRICACIÓN DE PARTES, PIEZAS Y ACCESORIOS (AUTOPARTES) PARA VEHICULOS AUTOMOTORES Y PARA SUS MOTORES</t>
  </si>
  <si>
    <t>EMPRESAS DEDICADAS A LA FABRICACIÓN DE MOTOCICLETAS</t>
  </si>
  <si>
    <t>EMPRESAS DEDICADAS A LA FABRICACIÓN DE BICICLETAS Y DE SILLONES DE RUEDAS PARA DISCAPACITADOS</t>
  </si>
  <si>
    <t>EMPRESAS DEDICADAS A LA FABRICACIÓN DE OTROS TIPOS DE EQUIPO DE TRANSPORTE NCP</t>
  </si>
  <si>
    <t>EMPRESAS DEDICADAS A LA FABRICACIÓN DE MUEBLES PARA EL HOGAR INCLUYE LAS CARPINTERIAS Y/O EBANISTERIAS CON MAQUINARIA, FABRICACIÓN MECANIZADA DE MUEBLES DE MADERA Y EN METAL</t>
  </si>
  <si>
    <t>EMPRESAS DEDICADAS A LA FABRICACIÓN DE MUEBLES PARA OFICINA INCLUYE FABRICACIÓN MECANIZADA DE MUEBLES DE MADERA Y EN METAL</t>
  </si>
  <si>
    <t>EMPRESAS DEDICADAS A LA FABRICACIÓN DE MUEBLES PARA EMPRESAS DEDICADAS AL COMERCIO Y SERVICIOS INCLUYE CARPINTERIAS Y/O EBANISTERIAS CON MAQUINARIA FABRICACIÓN MECANIZADA DE MUEBLES DE MADERA Y EN METAL</t>
  </si>
  <si>
    <t>EMPRESAS DEDICADAS A LA FABRICACIÓN DE OTROS MUEBLES NCP INCLUYE FABRICACIÓN MECANIZADA DE MUEBLES DE MADERA</t>
  </si>
  <si>
    <t>EMPRESAS DEDICADAS A LA FABRICACIÓN DE JOYAS Y DE ARTICULOS CONEXOS</t>
  </si>
  <si>
    <t>EMPRESAS DEDICADAS A LA FABRICACIÓN DE INSTRUMENTOS MUSICALES</t>
  </si>
  <si>
    <t>EMPRESAS DEDICADAS A LA FABRICACIÓN DE JUEGOS Y JUGUETES</t>
  </si>
  <si>
    <t>OTRAS INDUSTRIAS MANUFACTURERAS NCP HACE REFERENCIA A EMPRESAS DEDICADAS SOLAMENTE A LA FABRICACIÓN DE BOTONES EN GENERAL, BROCHES, CIERRES METÁLICOS, MANIQUIES, PARAGUAS, BASTONES, PEINES, PEINETAS Y SIMILARES, PREPARACIÓN DE PELO, CERDA PARA USO INDUSTRIAL, TAPETES Y ALFOMBRAS, TAPONES, TAPAS EN GENERAL, VELAS, VELADORAS DE CERA, DE PARAFINA, DE CEBO, FABRICACIÓN DE CEPILLOS, BROCHAS, PINCELES, LA FABRICACIÓN DE LAPICES</t>
  </si>
  <si>
    <t>EMPRESAS DEDICADAS AL RECICLAJE DE DESPERDICIOS Y DESECHOS NO METALICOS</t>
  </si>
  <si>
    <t>SUMINISTRO DE VAPOR Y AGUA CALIENTE</t>
  </si>
  <si>
    <t>EMPRESAS DEDICADAS A LA CAPTACION, DEPURACION Y DISTRIBUCION DE AGUA INCLUYE LA EMPRESAS DE SERVICIOS DE ACUEDUCTO Y/O ALCANTARILLADO, LAS PLANTAS DE TRATAMIENTO DE AGUAS BLANCAS.</t>
  </si>
  <si>
    <t>INSTALACIONES HIDRAULICAS Y TRABAJOS CONEXOS HINCLUYE SOLAMENTE EMPRESAS DEDICADAS A PLOMERIAS</t>
  </si>
  <si>
    <t>EMPRESAS DEDICADAS A TRABAJOS DE ELECTRICIDAD INCLUYE SOLAMENTE EMPRESAS DEDICADAS A LAS INSTALACIONES ELECTRICAS, EN CASA DE HABITACIÓN Y/O EDIFICIOS.</t>
  </si>
  <si>
    <t>EMPRESAS DEDICADAS A TRABAJOS DE PINTURA Y TERMINACION DE MUROS Y PISOS INCLUYE SOLAMENTE EMPRESAS DEDICADAS A EL PULIDO, PINTURA Y/O ENCERADO DE PISOS</t>
  </si>
  <si>
    <t>EMPRESAS DEDICADAS AL COMERCIO DE PARTES, PIEZAS (AUTOPARTES) Y ACCESORIOS (LUJOS) PARA VEHICULOS AUTOMOTORES</t>
  </si>
  <si>
    <t>EMPRESAS DEDICADAS AL COMERCIO AL POR MENOR DE COMBUSTIBLE PARA AUTOMOTORES INCLUYE SOLAMENTE LAS ESTACIONES DE SERVICIO PARA AUTOMOTORES, LAS ESTACIONES Y/O EXPENDIOS DE GASOLINA, PETROLEO, TRACTORINA</t>
  </si>
  <si>
    <t>EMPRESAS DEDICADAS AL COMERCIO AL POR MAYOR A CAMBIO DE UNA RETRIBUCION O POR CONTRATA DE PRODUCTOS AGRICOLAS (EXCEPTO CAFE), SILVICOLAS Y DE ANIMALES VIVOS Y SUS PRODUCTOS INCLUYE SOLAMENTE EMPRESAS DEDICADAS A LA DISTRIBUCIÓN CON AUTOTRANSPORTE DE LECHE</t>
  </si>
  <si>
    <t>EMPRESAS DEDICADAS AL COMERCIO AL POR MAYOR DE COMBUSTIBLES SOLIDOS, LIQUIDOS, GASEOSOS Y PRODUCTOS CONEXOS" INCLUYE EMPRESAS DEDICADAS A LA VENTA CON AUTOTRANSPORTE DE CARBÓN MINERAL Y/O VEGETAL, LEÑA</t>
  </si>
  <si>
    <t>EMPRESAS DEDICADAS AL COMERCIO AL POR MAYOR DE DESPERDICIOS O DESECHOS INDUSTRIALES Y MATERIAL PARA RECICLAJE INCLUYE SOLAMENTE LAS EMPRESAS DEDICADAS A LA RECOLECCIÓN, SELECCIÓN Y COMPRAVENTA DE TRAPO, PAPEL, CARTÓN DE BASUREROS</t>
  </si>
  <si>
    <t>EMPRESAS DEDICADAS AL MANTENIMIENTO Y REPARACION DE MAQUINARIA Y EQUIPO. INCLUYE SOLAMENTE TALLERES ELECTROMECÁNICOS, LA REPARACIÓN DE MAQUINARIA PESADA, LA REPARACIÓN, CARGA Y/O VENTA DE ACUMULADORES</t>
  </si>
  <si>
    <t>EMPRESAS DEDICADAS AL COMERCIO AL POR MAYOR DE PRODUCTOS DIVERSOS NCP INCLUYE SOLAMENTE EMPRESAS DEDICADAS A LA VENTA DE MATERIALES PARA CONSTRUCCIÓN CON AUTOTRANSPORTE</t>
  </si>
  <si>
    <t>EMPRESAS DEDICADAS AL COMERCIO AL POR MENOR DE ARTICULOS DE FERRETERIA, CERRAJERIA Y PRODUCTOS DE VIDRIO, EXCEPTO PINTURAS EN ESTABLECIMIENTOS ESPECIALIZADOS INCLUYE SOLAMENTE LA VENTA DE HIERROS</t>
  </si>
  <si>
    <t>OTROS TIPOS DE ALOJAMIENTO NCP HACE REFERENCIA A EMPRESAS DEDICADAS A LAS EMPRESAS DE SERVICIOS DE COCHES-DORMITORIOS Y/O COMEDORES A BORDO DE FERROCARRILES</t>
  </si>
  <si>
    <t>EXPENDIO, POR AUTOSERVICIO, DE COMIDAS PREPARADAS EN RESTAURANTES INCLUYE SOLAMENTE LOS SERVICIOS DE COCHE DORMITORIOS Y/O COMEDORES A BORDO.</t>
  </si>
  <si>
    <t>TRANSPORTE MUNICIPAL DE CARGA POR CARRETERA INCLUYE SOLAMENTE EMPRESAS DEDICADAS A TRANSPORTE AUTOMOTOR DE ARTÍCULOS DIVERSOS COMO PAN, LEGUMBRES, CARNES, LECHE, DROGAS, MADERA, ETC.)</t>
  </si>
  <si>
    <t>EMPRESAS DEDICADAS A LA MANIPULACION DE CARGA INCLUYE SOLAMENTE ESTIBADORES, COTEROS, PALETIZADORES EXCEPTO CARGUE Y DESCARGUE DE EMBARCACIONES AÉREAS, MARITIMAS Y/O FLUVIALES</t>
  </si>
  <si>
    <t>EMPRESAS DEDICADAS AL ALMACENAMIENTO Y DEPOSITO INCLUYE SOLAMENTE DEPOSITO DE CARBÓN MINERAL Y/O VEGETAL, LEÑA, DEPÓSITOS Y DISTRIBUCIÓN DE FOSFORO</t>
  </si>
  <si>
    <t>SERVICIOS TELEFONICOS INCLUYE SOLAMENTE EMPRESAS DEDICADAS A TELECOMUNICACIONES</t>
  </si>
  <si>
    <t>EMPRESAS DEDICADAS A OFRECER SERVICIO DE TRANSMISION DE DATOS A TRAVES DE REDES</t>
  </si>
  <si>
    <t>SERVICIOS RELACIONADOS CON LAS TELECOMUNICACIONES</t>
  </si>
  <si>
    <t>EMPRESAS O INSTITUCIONES DEDICADAS A LA INVESTIGACION Y DESARROLLO EXPERIMENTAL EN EL CAMPO DE LAS CIENCIAS NATURALES Y LA INGENIERIA INCLUYE SOLAMENTE LOS CENTROS DE INVESTIGACIÓN CIENTIFICA APLICADA</t>
  </si>
  <si>
    <t>INVESTIGACION Y DESARROLLO EXPERIMENTAL EN EL CAMPO DE LAS CIENCIAS SOCIALES Y LAS HUMANIDADES</t>
  </si>
  <si>
    <t>EMPRESAS DEDICADAS A ACTIVIDADES DE ARQUITECTURA E INGENIERIA Y ACTIVIDADES CONEXAS DE ASESORAMIENTO TECNICO INCLUYE SOLAMENTE LAS EMPRESAS DEDICADAS A EL TRABAJO DE CAMPO DE HIDROLOGIA Y/O METEREOLOGIA, TOPOGRAFIA, AGRIMENSURA Y/O ESTUDIOS CATASTRALES.</t>
  </si>
  <si>
    <t>EMPRESAS DEDICADAS A LA OBTENCION Y SUMINISTRO DE PERSONAL INCLUYE SOLAMENTE LAS EMPRESAS DE SERVICIOS TEMPORALES DE SUMINISTRO DE PERSONAL TEMPORAL O DE EMPLEOS TEMPORALES Y LOS CONDUCTORES DE AUTOS PARTICULARES</t>
  </si>
  <si>
    <t>EMPRESAS DEDICADAS A ACTIVIDADES DE ENVASE Y EMPAQUE INCLUYE SOLAMENTE EL ENVASADO DE ACEITES VEGETALES Y/O MINERALES</t>
  </si>
  <si>
    <t>EMPRESAS DEDICADAS A ACTIVIDADES DE LAS INSTITUCIONES PRESTADORAS DE SERVICIOS DE SALUD, CON INTERNACION INCLUYE HOSPITALES GENERALES, CENTROS DE ATENCIÓN MÉDICA CON AYUDAS DIAGNOSTICAS, INSTITUCIONES PRESTADORAS DE SERVICIOS DE SALUD, CENTROS ESPECIALIZADOS (EXCEPTO DE RADIODIAGNOSTICOS Y/O RADIOTERAPIA), HOSPITALES PARA TUBERCULOSOS, INSTITUCIONES DE SALUD MENTAL</t>
  </si>
  <si>
    <t>EMPRESAS DEDICADAS A ACTIVIDADES DE APOYO DIAGNOSTICO INCLUYE SOLAMENTE LOS LABORATORIOS DE ANÁLISIS QUÍMICOS, BIOLÓGICOS, BANCOS DE SANGRE Y SIMILARES.</t>
  </si>
  <si>
    <t>EMPRESAS DEDICADAS A LA ELIMINACION DE DESPERDICIOS Y AGUAS RESIDUALES, SANEAMIENTO Y EMPRESAS DEDICADAS A ACTIVIDADES SIMILARES INCLUYE LA RECOLECCIÓN, RELLENOS SANITARIOS Y/O RECICLAJE DE BASURAS INDUSTRIAL O ARTESANAL DE BASURAS, ARREGLO DE CUERPOS FUNERARIOS</t>
  </si>
  <si>
    <t>EMPRESAS DEDICADAS A ACTIVIDADES DE SINDICATOS HACE REFERENCIA A EMPRESAS DEDICADAS A TODA CLASE DE SINDICATOS</t>
  </si>
  <si>
    <t>EMPRESAS DEDICADAS A ACTIVIDADES DE ORGANIZACIONES POLITICAS</t>
  </si>
  <si>
    <t>OTRAS EMPRESAS DEDICADAS A ACTIVIDADES DE ENTRETENIMIENTO NCP INCLUYE SOLAMENTE EMPRESAS DE JUEGOS Y DIVERSIONES MECÁNICAS, TRABAJOS EN CIRCOS, HIPÓDROMOS, PLAZAS DE TOROS Y SIMILARES, BALNEARIOS CON PERSONAL DE SALVAMENTO</t>
  </si>
  <si>
    <t>EMPRESAS DEDICADAS A ACTIVIDADES DE JARDINES BOTANICOS Y ZOOLOGICOS Y DE PARQUES NACIONALES INCLUYE SOLAMENTE LOS TRABAJOS EN JARDINES ZOOLOGICOS</t>
  </si>
  <si>
    <t>EMPRESAS DEDICADAS A ACTIVIDADES DEPORTIVAS Y OTRAS EMPRESAS DEDICADAS A ACTIVIDADES DE ESPARCIMIENTO INCLUYE TODAS LAS ACTIVIDADES DEPORTIVAS PROFESIONALES DE FUTBOL, TENIS, BALONCESTO, ATLETISMO, BEISBOL.ETC.</t>
  </si>
  <si>
    <t>OTRAS EMPRESAS DEDICADAS A ACTIVIDADES DE ESPARCIMIENTO. REPRODUCCION DE MATERIALES GRABADOS POR CONTRATAINCLUYE SOLAMENTE LAS EMPRESAS DEDICADAS A LOS SERVICIOS DE ORGANIZACIÓN DE EVENTOS CULTURALES Y/O RECREATIVOS MASIVOS</t>
  </si>
  <si>
    <t>EMPRESAS DEDICADAS AL LAVADO Y LIMPIEZA DE PRENDAS DE TELA Y DE PIEL, INCLUSO LA LIMPIEZA EN SECO HINCLUYE SOLAMENTE LAS LAVANDERIAS, PLANCHADURIAS MECANIZADAS</t>
  </si>
  <si>
    <t>POMPAS FUNEBRES Y EMPRESAS DEDICADAS A ACTIVIDADES CONEXAS INCLUYE SOLAMENTE CREMATORIOS DE CADAVERÉS, DE DESECHOS ORGÁNICOS Y/O PRODUICTOS QUÍMICOS, LAS AGENCIAS DE CREMACIÓN.</t>
  </si>
  <si>
    <t>Cultivo  de  flor  de  corte  incluye  el  cultivo  de  especies  de  flor  de  corte  en invernaderos con estructura de madera o metalica cubierta de plastico, o cualquier otra forma de cultivo y sus sistemas de riego, cultivo de floricultura y de plantas que dan flores y capullos</t>
  </si>
  <si>
    <t>Cria  de  otros  animales  ncp  incluye  la  cria  y  reproduccion  de  animales semidomesticados, la produccion de pieles finas, cueros de reptiles y plumas de aves, como parte de la explotacion ganadera</t>
  </si>
  <si>
    <t>Cria  de  otros  animales  ncp,  incluye  la  cria  y  reproduccion  de  camellos, dromedarios, avestruces, aves diferentes a las de corral</t>
  </si>
  <si>
    <t>Extraccion de minerales para la fabricacion de abonos y productos quimicos, incluye  la  extraccion  de  tierras  colorantes  y  otros  minerales  estimados principalmente por ser fuente de sustancias quimicas y extraccion de guano</t>
  </si>
  <si>
    <t>Extraccion de halita (sal), incluye la extraccion de halita (sal) por evaporacion de agua marina, salinas marinas.</t>
  </si>
  <si>
    <t>Extraccion  de  halita  (sal),  incluye  la  trituracion,  la  purificacion  y  la  refinacion (cristalizacion) de sal cuando el proceso de refinacion se lleva a cabo en el sitio de la extraccion por el productor</t>
  </si>
  <si>
    <t>Procesamiento  y  conservacion  de  pescados,  crustaceos  y  moluscos,  incluye preparacion, conservacion y empaque de pescado, crustaceos y moluscos</t>
  </si>
  <si>
    <t>Procesamiento  y  conservacion  de  pescados,  crustaceos  y  moluscos  incluye produccion  de  crustaceos  y  moluscos:  filetes  de  pescado,  huevas,  caviar, sucedaneos del caviar, etc</t>
  </si>
  <si>
    <t>Procesamiento  y  conservacion  de  pescados,  crustaceos  y  moluscos  incluye empacadoras de pescado, crustaceos y moluscos</t>
  </si>
  <si>
    <t>Procesamiento  y  conservacion  de  pescados,  crustaceos  y  moluscos,  incluye produccion de harina de pescado</t>
  </si>
  <si>
    <t>Procesamiento y conservacion de pescados, crustaceos y moluscos, incluye el procesamiento de algas marinas.</t>
  </si>
  <si>
    <t>Las actividades de embarcaciones que se dedican a la pesca y a la elaboracion y conservacion de pescado (buques factoria).</t>
  </si>
  <si>
    <t>Procesamiento  y  conservacion  de  frutas,  legumbres,  hortalizas  y  tuberculos, incluye la fabricacion y conservacion de alimentos compuestos principalmente de frutas,   legumbres   u   hortalizas,   nueces,   congelacion,   enlatado   en   forma mecanizada</t>
  </si>
  <si>
    <t>Procesamiento  y  conservacion  de  frutas,  legumbres,  hortalizas  y  tuberculos, incluye la elaboracion y conservacion de pulpa de frutas, compotas, mermeladas y jaleas</t>
  </si>
  <si>
    <t>Procesamiento  y  conservacion  de  frutas,  legumbres,  hortalizas  y  tuberculos, incluye el procesamiento, pelado y conservacion de papas: elaboracion de papas congeladas preparadas, elaboracion de pure de papas deshidratado, elaboracion de harina y semola de papa, elaboracion de aperitivos a base de papa</t>
  </si>
  <si>
    <t>Procesamiento  y  conservacion  de  frutas,  legumbres,  hortalizas  y  tuberculos, incluye la elaboracion de alimentos y pastas de nueces</t>
  </si>
  <si>
    <t>Elaboracion  de  productos  lacteos,  incluye  la  elaboracion  no  artesanal  de productos lacteos o leche fresca liquida pasteurizada, bebidas a base de leche, crema de leche, leche en polvo o leche condensada o evaporada, suero de leche, mantequillas, caseina y lactosa</t>
  </si>
  <si>
    <t>Elaboracion  de  productos  lacteos,  incluye  la  elaboracion  de  yogur,  queso  y cuajada, dulce de leche o arequipe</t>
  </si>
  <si>
    <t>Elaboracion  de  productos  de  molineria,  incluye  la  molienda  de  cereales: produccion de harina, semola y granulos trigo, centeno, avena, maiz y otros cereales La molienda de arroz: produccion de arroz descascarillado, molido, pulido, blanqueado y precocido; produccion de harina de arroz</t>
  </si>
  <si>
    <t>Elaboracion de productos de molineria, incluye la elaboracion de mezclas de harinas y de harina y masa mezclada y preparada para la fabricacion de pan, bizcochos, galletas, panqueques, arepas, etcetera</t>
  </si>
  <si>
    <t>Elaboracion  de  productos  de  molineria,  incluye  la  molienda  de  legumbres: produccion de harina y semola de leguminosas desecadas, de raices y tuberculos y de nueces comestibles</t>
  </si>
  <si>
    <t>Trilla de cafe, incluye la trilla del cafe.</t>
  </si>
  <si>
    <t>Descafeinado, tostion y molienda del cafe, incluye la eliminacion de la cafeina al cafe trillado o descafeinado.</t>
  </si>
  <si>
    <t>Descafeinado, tostion y molienda del cafe, incluye el toston y la molienda del cafe.</t>
  </si>
  <si>
    <t>Elaboracion de panela, incluye la elaboracion de panela a partir del jugo de caña y de sus subproductos.</t>
  </si>
  <si>
    <t>Elaboracion de productos de panaderia, incluye la elaboracion de pan, tostadas, pasteleria y bizcochos empacados, panaderia congelados (panqueques, waffles, etc) galletas, pasteles, biscochos y otros productos de panaderia secos</t>
  </si>
  <si>
    <t>Elaboracion de cacao, chocolate y productos de confiteria, incluye la elaboracion de cacao, molienda y fabricacion de productos de cacao, chocolate y productos de chocolate.</t>
  </si>
  <si>
    <t>Elaboracion de cacao, chocolate y productos de confiteria, incluye la elaboracion de dulces, confiteria, caramelos, turron, confites blandos, goma de mascar y similares, de grageas y pastillas de confiteria.</t>
  </si>
  <si>
    <t>Elaboracion de cacao, chocolate y productos de confiteria incluye la conservacion en azucar de frutas, nueces, cascaras de frutas y otras partes de plantas.</t>
  </si>
  <si>
    <t>Elaboracion de macarrones, fideos, alcuzcuz y productos farinaceos similares, incluye la elaboracion de pastas, como macarrones y fideos, cocidos o sin cocer, o rellenos o sin rellenar</t>
  </si>
  <si>
    <t>Elaboracion de macarrones, fideos, alcuzcuz y productos farinaceos similares, incluye la elaboracion de alcuzcuz</t>
  </si>
  <si>
    <t>Elaboracion de macarrones, fideos, alcuzcuz y productos farinaceos similares, incluye la elaboracion de productos de pasta enlatados o congelados</t>
  </si>
  <si>
    <t>Elaboracion   de   comidas   y   platos   preparados,   incluye   la   elaboracion   y conservacion de platos listos para consumir como:  platos a base de carne o de pollo, pescado y pescado con papas fritas</t>
  </si>
  <si>
    <t>Elaboracion   de   comidas   y   platos   preparados,   incluye   la   elaboracion   y conservacion de platos listos para consumir como: platos a base de legumbres y hortalizas</t>
  </si>
  <si>
    <t>Elaboracion   de   comidas   y   platos   preparados,   incluye   la   elaboracion   y conservacion de platos listos para consumir como: pizza congelada o conservada de otra manera, platos a base de alcuzcuz</t>
  </si>
  <si>
    <t>Elaboracion   de   comidas   y   platos   preparados,   incluye   la   elaboracion   y conservacion  de  platos  listos  para  consumir  como:    tamales,  cerdo  relleno (lechona) y productos similares congelados o enlatados y comidas empacadas al vacio</t>
  </si>
  <si>
    <t>Elaboracion  de  otros  productos  alimenticios  ncp,  incluye  la  elaboracion  de alimentos perecederos, como: emparedados, pizza fresca (sin cocinar), entre otros; elaboracion de vinagre, levadura, sopas y caldos en estado solido, polvo o instantaneas y de alimentos especiales: leche maternizada y alimentos infantiles</t>
  </si>
  <si>
    <t>Elaboracion  de  otros  productos  alimenticios  ncp,  incluye  la  elaboracion  de especias, salsas y condimentos, extractos y jugos de carne, pescado, crustaceos o moluscos, mayonesa, harina y semola de mostaza, mostaza preparada, la elaboracion de especias, salsas y condimentos: mayonesa; harina y semola de mostaza, mostaza preparada, miel artificial y caramelo, La elaboracion de sal de mesa, por ejemplo: sal yodada, etcetera</t>
  </si>
  <si>
    <t>Elaboracion  de  otros  productos  alimenticios  ncp,  incluye  la  elaboracion  de sucedaneos no lacteos de leche y de quesos, productos de huevo y concentrados artificiales</t>
  </si>
  <si>
    <t>Elaboracion  de  otros  productos  alimenticios  ncp,  incluye  la  elaboracion  de pasabocas fritos (papas, chicharrones, patacones, etcetera)</t>
  </si>
  <si>
    <t>Elaboracion de alimentos preparados para animales, incluye la elaboracion de alimentos preparados y /o concentrados, suplementos alimenticios para animales domesticos, como perros, gatos, pajaros, peces y animales de granja.</t>
  </si>
  <si>
    <t>Elaboracion de alimentos preparados para animales, incluye la preparacion de alimentos preparados para animales sin mezclar (elaborados a partir de un unico producto), para animales de granja.</t>
  </si>
  <si>
    <t>Elaboracion de alimentos preparados para animales, incluye el tratamiento de desperdicios de plantas de beneficio animal para preparar alimento para animales.</t>
  </si>
  <si>
    <t>Destilacion, rectificacion y mezcla de bebidas alcoholicas, incluye la mezcla de bebidas  alcoholicas  destiladas,   la  produccion   o  elaboracion   de  bebidas alcoholicas destiladas como whisky, coñac, ginebra, aguardientes y/o licores</t>
  </si>
  <si>
    <t>Elaboracion de bebidas fermentadas no destiladas, incluye la elaboracion de vinos espumosos a partir de mosto concentrado de uva, otros vinos de fruta.</t>
  </si>
  <si>
    <t>Elaboracion de bebidas fermentadas no destiladas, incluye la elaboracion de sake, sidra, perada, aguamiel, sabajon, vermut y bebidas similares, mezcla de bebidas que contienen alcohol.</t>
  </si>
  <si>
    <t>Elaboracion de bebidas fermentadas no destiladas, incluye la elaboracion de vinos de baja graduacion o sin alcohol.</t>
  </si>
  <si>
    <t>Elaboracion  de  bebidas  fermentadas  no  destiladas,  incluye  el  embotellado  y etiquetado de bebidas fermentadas no destiladas, siempre y cuando se realicen en la misma unidad de produccion</t>
  </si>
  <si>
    <t>Elaboracion de bebidas no alcoholicas, produccion de aguas minerales y de otras aguas embotelladas, incluye la elaboracion de bebidas no alcoholicas, aguas minerales naturales, bebidas isotonicas y energizantes.</t>
  </si>
  <si>
    <t>Elaboracion de bebidas no alcoholicas, produccion de aguas minerales y de otras aguas   embotelladas,   incluye   la   elaboracion   de   bebidas   no   alcoholicas aromatizadas y/o edulcoradas: gaseosas, bebidas a base de jugos de frutas, aguas tonicas, etc; elaboracion de helados aderezados con extractos artificiales de frutas, jarabes u otras sustancias similares</t>
  </si>
  <si>
    <t>Elaboracion de bebidas no alcoholicas, produccion de aguas minerales y de otras aguas  embotelladas,  incluye  el  embotellado  y  etiquetado  de  bebidas  no alcoholicas, siempre y cuando se realicen en la misma unidad de produccion</t>
  </si>
  <si>
    <t>Elaboracion  de  productos  de  tabaco,  incluye  la  elaboracion  de  productos  de tabaco y sus sucedaneos, cigarrillos, picadura, cigarros, tabaco de pipa, tabaco de mascar, rape, tabaco homogeneizado o reconstituido, etcetera, el desvenado y secado de las hojas de tabaco</t>
  </si>
  <si>
    <t>Preparacion e hilatura de fibras textiles, incluye preparacion de las fibras textiles, fibras animales, vegetales como: yute, fique, sisal, lino, algodon, ramio, cañamo de manila, coco, el texturizado, trenzado, retorcido, plegado, cableado y remojo de hilaturas de filamentos, entre otros y fibras artificiales y sinteticas.</t>
  </si>
  <si>
    <t>Acabado de productos textiles, incluye el proceso de blanqueo, teñido de hilados y/o prendas de vestir, plisado de textiles y operaciones similares, el secado, vaporizado, acabado de textiles mediante el teñido, estampado, encogimiento, remallado, calandrado y perchado de fibras, hilados, tejidos y articulos textiles, sanforizado y mercerizado de textiles y articulos textiles, incluso prendas de vestir, tintorerias, el lavado y terminado de yines. Incluye actividades desarrolladas a cambio de una retribucion o por contrato, o mediante la compra de productos textiles en proceso para su acabado y posterior venta.</t>
  </si>
  <si>
    <t>Acabado   de   productos   textiles,   incluye   el   impermeabilizado,   revestido, encauchado o impregnado de prendas</t>
  </si>
  <si>
    <t>Confeccion de articulos con materiales textiles, excepto prendas de vestir, incluye la confeccion de articulos tejidos de cualquier material textil.</t>
  </si>
  <si>
    <t>Confeccion de articulos con materiales textiles, excepto prendas de vestir, incluye fabricacion de articulos con relleno como acolchados, edredones, cojines, pufs, almohadas, sacos para dormir, sacos (bolsas) o talegos, incluidos los de bebe, del tipo utilizado para empaque de cualquier material textil y fabricacion de tejidos para mantas electricas Incluye accesorios para el hogar como cortinas, cenefas, visillos, paños para desempolvar, fundas para muebles o aparatos, entre otros</t>
  </si>
  <si>
    <t>Confeccion de articulos con materiales textiles, excepto prendas de vestir, incluye la fabricacion de encerados, tiendas de campaña, velas para embarcaciones, toldos,   chalecos   salvavidas,   fundas   para   automoviles,   para   maquinas, paracaidas, entre otros</t>
  </si>
  <si>
    <t>Confeccion de articulos con materiales textiles, excepto prendas de vestir, incluye la confeccion de articulos tejidos de cualquier material textil (incluidos con tejidos de punto y ganchillo), lonas para llantas, tejidos utilizados para el tapizado interior de  vehiculos  automotores  y  para  cinturones  de  seguridad,  cinturones  de seguridad, tapizado interior de vehiculos automotores</t>
  </si>
  <si>
    <t>Fabricacion  de  cuerdas,  cordeles,  cables,  bramantes  y  redes,  incluye  la fabricacion de cuerdas, cordeles, cables, sogas, bramantes y articulos de hilados de  fibras  textiles,  cintas,  redes,  mallas  o  similares  de  forma  mecanizada,  la confeccion de hamacas</t>
  </si>
  <si>
    <t>Fabricacion  de  cuerdas,  cordeles,  cables,  bramantes  y  redes,  incluye  la fabricacion de productos de cuerda o red tales como las redes de pesca, defensas para embarcaciones, cojines para descarga, eslingas, las redes para deporte, cordones, mechas para traperos y articulos similares</t>
  </si>
  <si>
    <t>Fabricacion  de  otros  articulos  textiles  ncp,  incluye  tejidos  estrechos  y especiales, incluso los de urdimbre sin trama, de hilos o de sujetos por una sustancia adhesiva como: accesorios textiles para automotores, cordones para el calzado con los extremos rematados, articulos de pasamaneria: trencillas, borlas, guantes, madroños y articulos similares, aplicadores para cosmeticos de material textil, cinta tejido sensible a la presion (velcro)</t>
  </si>
  <si>
    <t>Confeccion de prendas de vestir, excepto prendas de piel, incluye la fabricacion de tapabocas; fajas y corses no ortesicos, sombreros de fieltro y confeccion de partes de los productos mencionados.</t>
  </si>
  <si>
    <t>Confeccion de prendas de vestir, excepto prendas de piel, incluye la fabricacion de sudaderas, vestidos de baño, trajes para practicar deporte, trajes para esquiar, entre otros, confeccion de prendas de vestir de cuero o cuero regenerado, incluido el cuero utilizado para la confeccion de accesorios de trabajo industriales tales como los protectores de cuero para soldar y confeccion de partes de los productos mencionados</t>
  </si>
  <si>
    <t>Confeccion de prendas de vestir, excepto prendas de piel, incluye confeccion de chalecos antibalas especiales para dama y para caballero y confeccion de partes de los productos mencionados.</t>
  </si>
  <si>
    <t>Confeccion de prendas de vestir, excepto prendas de piel, incluye la fabricacion de calzado de material textil sin aplicacion de suelas y confeccion de partes de los productos mencionados.</t>
  </si>
  <si>
    <t>Fabricacion de articulos de punto y ganchillo, incluye la tejeduria de articulos tales como  camisetas  de  todo  tipo,  panty-medias,  leotardos  (trusas),  articulos  de calceteria,  medias,  calcetines  y  articulos  similares  de  forma  mecanizada,  la fabricacion de escarpines y similares, sin suela aplicada</t>
  </si>
  <si>
    <t>Fabricacion de articulos de viaje, bolsos de mano y articulos similares elaborados en cuero y fabricacion de articulos de talabarteria y guarnicioneria, incluye la fabricacion de articulos de cuero natural y/o regenerado, elaboracion de articulos de talabarteria (articulos en cuero) y guarnicioneria, (por ejemplo: articulos para caballeria como monturas y arneses de equitacion), ademas otros articulos de cuero natural, cuero regenerado o combinaciones de estos con otros materiales, siempre que el material basico sea el cuero; correas de reloj no metalicas</t>
  </si>
  <si>
    <t>Fabricacion de articulos de viaje, bolsos de mano y articulos similares elaborados en cuero y fabricacion de articulos de talabarteria y guarnicioneria, incluye la fabricacion  de  otros  articulos  de  cuero,  como  juguetes  caninos  de  carnaza, abrigos para perros y articulos similares para animales</t>
  </si>
  <si>
    <t>Fabricacion de articulos de viaje, bolsos de mano y articulos similares elaborados en cuero y fabricacion de articulos de talabarteria y guarnicioneria, incluye la fabricacion  de  articulos  diversos  de  cuero  o  cuero  regenerado:  correas  de transmision, embalajes, entre otros, cordones de cuero para zapatos, latigos y fustas (barra delgada y flexible para dirigir el caballo) en cuero, frenos, estribos, hebillas, traillas, rodilleras, bozales,</t>
  </si>
  <si>
    <t>Fabricacion de articulos de viaje, bolsos de mano y articulos similares; articulos de  talabarteria  y  guarnicioneria  elaborados  en  otros  materiales,  incluye  la fabricacion de maletas, maletines, morrales, bolsos de mano y articulos similares, asi como articulos de talabarteria y guarnicioneria confeccionados con cualquier tipo  de  material,  excepto  el  cuero;  por  ejemplo:  madera,  plastico,  materiales sinteticos e imitaciones de cuero, o combinaciones de estos con otros materiales, textiles,  fibras  vulcanizadas,  entre  otros,  siempre y  cuando  se use  la  misma tecnologia que en el caso del cuero</t>
  </si>
  <si>
    <t>Fabricacion de articulos de viaje, bolsos de mano y articulos similares; articulos de  talabarteria  y  guarnicioneria  elaborados  en  otros  materiales,  incluye fabricacion  de  correas  para  reloj  no  metalicas  y  articulos  elaborados  con materiales textiles, plastico, sinteticos, entre otros ncp</t>
  </si>
  <si>
    <t>Fabricacion de calzado de cuero y piel, con cualquier tipo de suela, incluye la fabricacion y reparacion mecanizada de calzado de cuero y piel con cualquier tipo de  suela,  botas  o  zapatos  con  partes  de  piel,  botines,  polainas  y  articulos similares</t>
  </si>
  <si>
    <t>Fabricacion  de  calzado  de  cuero  y  piel,  con  cualquier  tipo  de  suela,  incluye fabricacion mecanizada de calzado deportivo o casual elaborado en cuero</t>
  </si>
  <si>
    <t>Fabricacion de otros tipos de calzado, excepto calzado de cuero y piel, incluye la fabricacion,  reparacion  con  maquinaria  de  calzado  para  todo  uso  (excepto ortopedico), de cualquier material excepto de cuero y piel, de asbesto y de otro material textil sin aplicacion de suelas y la fabricacion de calzado deportivo o casual elaborado en otros materiales textiles</t>
  </si>
  <si>
    <t>Fabricacion de partes del calzado incluye la fabricacion de partes del calzado tales como  capelladas,  punteras,  contrafuertes,  plantillas,  suelas,  tacones,  tapas, etcetera, de cuero, metal y material textil</t>
  </si>
  <si>
    <t>Aserrado,   acepillado   e   impregnacion   de   la   madera,   incluye   madereria, impregnacion y el tratamiento quimico de la madera con preservativos y otras sustancias inmunizantes (productos concentrados hidrosolubles, diseñados para la proteccion de madera aserrada contra hongos e insectos) y otras sustancias inmunizantes, el secado de la madera</t>
  </si>
  <si>
    <t>Aserrado, acepillado e impregnacion de la madera, incluye la fabricacion de lana de madera, harina de madera, astillas y particulas de madera, cuando consisten en una actividad primaria.</t>
  </si>
  <si>
    <t>Aserrado,  acepillado  e  impregnacion  de  la  madera,  incluye  la  fabricacion  de tabletas para pisos de madera, incluso para los pisos de parque, traviesas de madera (durmientes) para vias ferreas</t>
  </si>
  <si>
    <t>Fabricacion de partes y piezas de madera, de carpinteria y ebanisteria para la construccion,   incluye   la   fabricacion   de   productos   de   madera   utilizados principalmente en la industria de la construccion tales como: maderaje, vigas, vanos,   puertas,   ventanas,   armarios,   listones,   escaleras,   marquesinas, barandales, armazones, divisiones, las partes y piezas de carpinteria: puertas, ventanas,  contraventanas  y  sus  marcos,  con  o  sin  herrajes  como  bisagras, cerraduras, entre otros; escaleras, marquesinas, barandales, entre otros; bloques, listones, entre otros, ensamblados en tableros o paneles para pisos de madera, incluso los de parque</t>
  </si>
  <si>
    <t>Fabricacion de partes y piezas de madera, de carpinteria y ebanisteria para la construccion, incluye la fabricacion de doseles y molduras de madera, tabletas, tejas, ripias, tableros</t>
  </si>
  <si>
    <t>Fabricacion de recipientes de madera, incluye la fabricacion de cajas, cajones, jaulas,  toneles,  barriles,  bandejas,  carretes  de  madera,  paletas-caja  y  otras bandejas de madera para operaciones de carga; fabricacion de toneles, barricas, cubas, tinas y otros productos de toneleria de madera incluidas las partes de esos productos, duelas, carretes, piezas y recipientes similares de madera</t>
  </si>
  <si>
    <t>Fabricacion de otros productos de madera; fabricacion de articulos de corcho, cesteria  y  esparteria,  incluye  la  fabricacion  de  productos  de  madera  ncp, herramientas mecanicas simples de medicion elaboradas en madera, objetos ornamentales,  articulos  de  marqueteria,  bastidores  para  lienzos  de  artistas, persianas, tacones, hormas y tensores de madera para calzado, articulos de corcho, palillos, baja lenguas y similares;</t>
  </si>
  <si>
    <t>Fabricacion de otros productos de madera; fabricacion de articulos de corcho, cesteria  y  esparteria,  incluye  la  elaboracion  de  corcho  natural  para  obtener productos tales como corcho descortezado, toscamente escuadrado o en forma de bloques hojas, planchas o tiras, corcho aglomerado; fabricacion de articulos de corcho natural o aglomerado tales como cubrimiento de pisos</t>
  </si>
  <si>
    <t>Fabricacion de otros productos de madera; fabricacion de articulos de corcho, cesteria y esparteria, incluye la fabricacion de bloques para la elaboracion de pipas, troncos de chimenea hechos de madera prensada o de otros materiales prensados, como moleduras de cafe o de habas de soja, tapas, canillas, bobinas, carretes y articulos similares de madera torneada utilizados para el enrollado de hilos y alambres.</t>
  </si>
  <si>
    <t>Fabricacion de papel y carton ondulado (corrugado); fabricacion de envases, empaques y de embalajes de papel y carton, incluye la fabricacion de envases y embalajes de papel o carton ondulado (corrugado), envases plegables de carton, cajas, bolsas y sacos de papel, sobres para discos gramofonicos y articulos similares sin impresion, archivadores, incluso carpetas para archivo y articulos similares para oficina</t>
  </si>
  <si>
    <t>Actividades  de  servicios  relacionados  con  la  impresion,  incluye  composicion corriente  de  imagenes  y  de  placas  tipografica,  fotocomposicion,  composicion electronica; los servicios de preparacion de placas, incluida la composicion de imagenes y de placas (para imprentas tipograficas y de offset); Los procesos que se realizan directamente en las planchas (tambien planchas de fotopolimeros) La preparacion de planchas y tintes para el estampado y la impresion en relieve El grabado de cilindros para rotograbado</t>
  </si>
  <si>
    <t>Actividades de servicios relacionados con la impresion, incluye la impresion de obras artisticas, incluso piedras litograficas y planchas de madera preparadas.</t>
  </si>
  <si>
    <t>Actividades de servicios relacionados con la impresion, incluye otras actividades graficas como el estampado en hueco y el estampado a troquel, la impresion de libros en braille, el troquelado y el perforado, el estampado en relieve, el barnizado y el laminado, el alzado, el encarte, el plegado, etc.</t>
  </si>
  <si>
    <t>Actividad de mezcla de combustibles, incluye mezclas de gasolinas con alcohol carburante (etanol anhidro) y mezclas de diesel de petroleo o petrodiesel con biodiesel,  donde  se  utilizan  notaciones  abreviadas  segun  el  porcentaje  por volumen de alcohol carburante en la mezcla conocidas como E10, E20, etc, o biodiesel en la mezcla como B5, B15, etc</t>
  </si>
  <si>
    <t>Fabricacion de sustancias y productos quimicos basicos, incluye la fabricacion de colorantes   y  pigmentos   de   cualquier   fuente,   en   forma   basica   o   como concentrados, glicerina sintetica, trementina y sus derivados, aguas destiladas, la produccion de carbon vegetal</t>
  </si>
  <si>
    <t>Fabricacion de sustancias y productos quimicos basicos, incluye la fabricacion de otros compuestos organicos, incluidos la extraccion de productos volatiles como la trementina y sus derivados, terpenos, mentol, alcanfor y colofonia.</t>
  </si>
  <si>
    <t>Fabricacion de caucho sintetico en formas primarias, liquidos y pastas (incluido el latex,  aunque  este  prevulcanizado,  y  ademas  dispersiones  y  disoluciones), bloques  irregulares,  trozos,  balas,  polvo,  granulos  y  masas  no  coherentes similares, incluye la fabricacion de cauchos sinteticos en formas primarias, como neopreno,  SBR  (butadieno-estireno),  polibutadieno,  EPDM  (etileno-propileno-dieno)</t>
  </si>
  <si>
    <t>Fabricacion de pinturas, barnices y revestimientos similares, tintas para impresion, masillas, incluye la fabricacion  de pigmentos y tintes, opacificantes y colores preparados;   La   fabricacion   de   tintas   para   impresion:   tintas   litograficas, flexograficas, web offset, para fotograbado, tixotropicas, tipograficas y demas tintas de imprenta a base de agua u otros solventes organicos como acetatos</t>
  </si>
  <si>
    <t>Fabricacion de jabones y detergentes, preparados para limpiar y pulir; perfumes y preparados de tocador incluye la fabricacion de jabones en barra, pastillas, piezas moldeadas, liquidos, pastas o en otras formas. Estos jabones se elaboran mediante procesamiento de grasas y aceites, de origen vegetal o animal con algun alcali (soda o potasa caustica, etc.).</t>
  </si>
  <si>
    <t>Fabricacion de jabones y detergentes, preparados para limpiar y pulir; perfumes y  preparados  de  tocador  incluye  la  fabricacion  de  productos  organicos tensoactivos en formas similares, dispersantes, emulsificantes o antiespumantes, para  fregar  platos  y  suavizantes  textiles,  blanqueadores,  desmanchadores  y desengrasantes; La fabricacion de productos organicos tensoactivos en formas similares, por ejemplo, derivados de acidos sulfonicos como sulfonatos Jabones metalicos  de  magnesio,  cobre,  etc,  obtenidos  a  partir  de  grasas,  aceites  y mezclas de acidos grasos; La fabricacion de papel, fieltro o guata, impregnados, revestidos o recubiertos con jabones o detergentes</t>
  </si>
  <si>
    <t>Fabricacion de jabones y detergentes, preparados para limpiar y pulir; perfumes y preparados de tocador, incluye las preparaciones capilares como los champues, lacas para fijar el cabello, preparados para alisar u ondular el cabello; preparados para afeitarse, y para antes o despues de afeitarse, y preparados depilatorios; la fabricacion de preparados aromaticos de uso personal como perfumes, aguas de colonia o aguas de tocador La fabricacion de preparados de belleza y maquillaje, incluso los preparados para manicure y pedicure tales como removedores; cremas solares y preparados bronceadores; La fabricacion de preparados para la higiene bucal y dental, incluso pastas y polvos para la fijacion de dentaduras postizas; La fabricacion  de  otros  preparados  de  perfumeria,  cosmeticos  y  de  tocador  no clasificados en otra parte, tales como los desodorantes, las sales de baño y otros preparados de uso personal</t>
  </si>
  <si>
    <t>Fabricacion de jabones y detergentes, preparados para limpiar y pulir; perfumes y preparados de tocador, incluye la elaboracion de betunes y cremas para el cuero, cremas para pisos y la fabricacion y envase de cosmeticos, bruñidores para carrocerias,  vidrios  y  metales;  pastas  y  polvos  abrasivos  La  elaboracion  de betunes  y  cremas  para  la  madera;  destapadores;  bruñidores  para  vidrios  y metales; productos similares en forma de papel, fieltro, guata, telas no tejidas, plasticos celulares o caucho celular, impregnados, revestidos o recubiertos de estas preparaciones</t>
  </si>
  <si>
    <t>Fabricacion de otros productos quimicos ncp, incluye la fabricacion gelatina y sus derivados como los tanatos, el agar-agar y sus derivados, colas de origen animal,  colas,  polimeros  acrilicos,  gomas,  adhesivos  preparados  a  base  de caucho  y  plastico,  combustibles  para  encendedores,  teas  y  similares,  la produccion de sal mineralizada, la fabricacion de peptonas y derivados extraidos de la carne, de la sangre, etc, y otras sustancias proteinicas ncp, como las albuminas y los caseinatos</t>
  </si>
  <si>
    <t>Fabricacion de otros productos quimicos n.c.p., incluye la fabricacion de aditivos para cementos, de polvos y pastas para soldadura blanda, dura y autogena, fabricacion de productos para el pulimento de metales, generalmente para el decapado o eliminacion de los oxidos, herrumbre, etc., constituidos por sustancias abrasivas, acidos, alcalis diluidos.</t>
  </si>
  <si>
    <t>Fabricacion de otros productos quimicos n.c.p., incluye la fabricacion de carbon activado, grafito artificial, preparaciones para la concentracion de minerales y demas minerales activados quimicamente, como la alumina activada, niquel randy (aleacion niquel-aluminio), etc.</t>
  </si>
  <si>
    <t>Fabricacion de otros productos quimicos n.c.p., incluye la fabricacion de pasta para moldear.</t>
  </si>
  <si>
    <t>Fabricacion  de  otros  productos  quimicos  ncp,  incluye  la  fabricacion  de preparados para acelerar la vulcanizacion del caucho</t>
  </si>
  <si>
    <t>Fabricacion de otros productos quimicos n.c.p., incluye la fabricacion de tintas para escribir y dibujar, tintas para sellos, tintas para sellos de seguridad, y tintas para sellos de impresion digital.</t>
  </si>
  <si>
    <t>Fabricacion de otros productos quimicos n.c.p., incluye fabricacion de preparados y cargas para extintores.</t>
  </si>
  <si>
    <t>Fabricacion de otros productos quimicos n.c.p., Incluye la fabricacion de placas, peliculas, papeles y cartones sensibilizados para usos fotograficos y heliograficos.</t>
  </si>
  <si>
    <t>Fabricacion de fibras sinteticas y artificiales, incluye la fabricacion de hilados a partir  de  fibras  continuas,  discontinuas  o  filamentos  sinteticos  o  artificiales, texturizados o no, retorcidos o cableados incluidos los hilados de gran resistencia, siempre y cuando este proceso este integrado a la produccion de las fibras, la fabricacion de monofilamentos o hebras sinteticas o artificiales</t>
  </si>
  <si>
    <t>Fabricacion  de  fibras  sinteticas y  artificiales,  incluye  la   fabricacion  de  fibras sinteticas elaboradas a partir de polimeros sinteticos que provienen de etileno, propileno, acrilonitrilo como los poliesteres, poliamidas, poliuretano, obteniendose basicamente fibras  como orlon, dacron, poliesteres, nailon, teflon, polipropileno, desechos  de  fibras  sinteticas,  etcetera;  la  fabricacion  de  placas  y  tiras  no filamentosas  de  fibras  artificiales  o  sinteticas;   La  fabricacion  de  estopas  de filamento artificial o sintetico</t>
  </si>
  <si>
    <t>Fabricacion  de  fibras  sinteticas  y  artificiales,  incluye  las  fibras  proteicas  o proteinicas,  de  origen  animal  o  vegetal,   fibras  alginicas,  obtenidas  por transformacion de ciertas algas</t>
  </si>
  <si>
    <t>Fabricacion  de  productos  farmaceuticos,  sustancias  quimicas  medicinales  y productos botanicos de uso farmaceutico, incluye la  fabricacion de ampollas, tabletas, capsulas, ampolletas, ungüentos, polvos o soluciones de medicamentos, apositos medicos, guatas medicinales, vendajes para fracturas y otros productos para suturas; La fabricacion de sustancias de diagnostico: pruebas de diagnostico (test de embarazo y ovulacion);  La fabricacion de sustancias radiactivas para realizar diagnosticos in vitro; La fabricacion de productos de biotecnologia</t>
  </si>
  <si>
    <t>Fabricacion  de  productos  farmaceuticos,  sustancias  quimicas  medicinales  y productos  botanicos  de  uso  farmaceutico,  incluye  fabricacion  de  sustancias quimicas utilizadas en la preparacion de productos quimicos farmaceuticos; La fabricacion  de  medicamentos  que  actuan  en  la  sangre:  inhibidores  de  la coagulacion; preparaciones antianemicas, sueros, antisueros, plasmas y otras fracciones de la sangre La fabricacion de antiinfecciosos en general: antibioticos sistemicos; agentes sistemicos para infecciones por hongos; antimicobacterianos; antivirales y vacunas; La fabricacion de productos quimicos anticonceptivos de uso  externo  y  de  medicamentos  anticonceptivos  hormonales;  Las  sulfas, sulfamidas y derivados, utilizados generalmente como antibioticos; La elaboracion de productos endocrinos y fabricacion de extractos endocrinos, etc</t>
  </si>
  <si>
    <t>Fabricacion  de  productos  farmaceuticos,  sustancias  quimicas  medicinales  y productos botanicos de uso farmaceutico, incluye las vitaminas basicas, incluso proteinas, aminoacidos esenciales; el acido ascorbico (vitamina C) y sus sales, complementos vitaminicos, etcetera</t>
  </si>
  <si>
    <t>Fabricacion  de  productos  farmaceuticos,  sustancias  quimicas  medicinales  y productos  botanicos  de  uso  farmaceutico,  incluye  la  fabricacion  de  azucares quimicamente puros como glucosa, dextrosa, galactosa y glucosidos</t>
  </si>
  <si>
    <t>Fabricacion  de  productos  farmaceuticos,  sustancias  quimicas  medicinales  y productos  botanicos  de  uso  farmaceutico,  incluye  los  productos  botanicos pulverizados, graduados, molidos o preparados, productos homeopaticos solidos, liquidos  o  globulos,  para  uso  farmaceutico;  Los  derivados  del  opio,  como  la morfina, la cocaina y sus derivados para uso terapeutico; Los demas alcaloides vegetales y glucosidos extraidos de plantas o semillas, como la quinina y la atropina para uso terapeutico</t>
  </si>
  <si>
    <t>Fabricacion de formas basicas de caucho y otros productos de caucho, ncp, incluye  la  fabricacion  de  productos  de  caucho  acabados  o  semiacabados; productos de caucho natural o sintetico vulcanizado, sin vulcanizar o endurecido, caucho mezclado, espumado o celular para procesos de  transformacion mas complejos; productos fabricados total o parcialmente en caucho natural o sintetico o en gomas parecidas al caucho, productos a base de caucho regenerado</t>
  </si>
  <si>
    <t>Fabricacion de formas basicas de caucho y otros productos de caucho, n.c.p., incluye la fabricacion de articulos higienicos y de farmacia, hilos, cuerdas de caucho, guantes, prendas de vestir, trajes isotermicos y de buceo, cubiertas para rodillos, empaquetadura, globos inflables, colchones de caucho inflables y para camas de aguas.</t>
  </si>
  <si>
    <t>Fabricacion de formas basicas de caucho y otros productos de caucho, n.c.p., incluye la fabricacion de grifos, llaves de paso, valvulas y artefactos similares de caucho vulcanizado no endurecido; partes, piezas y accesorios de caucho para motores electricos y para todo tipo de aparatos electricos, electromecanicos o electronicos; la fabricacion de materiales para la reparacion de productos de caucho (parches, etc.).</t>
  </si>
  <si>
    <t>Fabricacion de formas basicas de caucho y otros productos de caucho, ncp, incluye la fabricacion de peines  de caucho duro, rulos y cepillos de  caucho, articulos sexuales, preservativos, chupos para biberon, bolsas de agua caliente, gorros de baño y delantales de caucho</t>
  </si>
  <si>
    <t>Fabricacion  de  articulos  de  plastico  ncp,  incluye  la  fabricacion  de  articulos plasticos para envase de mercancias tales como: bolsas, sacos, cajones, frascos, botellas, garrafones y similares de plastico, prendas de vestir de plastico cuyas piezas se unen por adhesion y no por costura, La fabricacion de articulos plasticos para la construccion tales como puertas, ventanas, marcos, postigos, persianas; cubrimientos plasticos para pisos, paredes y techos; articulos sanitarios, bañeras duchas, lavabos, tazas de inodoro, cisternas de inodoros, articulos de fontaneria, productos para el revestimiento de pisos, paredes en rollos, losetas plasticas (vinilo,  linoleo,  etc),  tanques  y  depositos  de  plasticos;  La  fabricacion  de accesorios de material plastico para tuberias (juntas, codos, racores, etcetera); La fabricacion de servicios de mesa, utensilios de cocina y articulos de tocador; La fabricacion  de  otros  articulos  de  plastico  unidos  por  adhesion  como  tocados (gorros de baño de plastico), articulos de vestuario (ejemplo: gabardinas, abrigos, etc); material escolar y de oficina; rollos u hojas de celofan; accesorios para muebles, estatuillas y otros articulos de plastico para la decoracion</t>
  </si>
  <si>
    <t>Fabricacion  de  articulos  de  plastico  ncp,  incluye  fabricacion  de  señales  de plastico, colchones de material  plastico, piedra artificial, articulos de tocador, cintas autoadhesivas, hormas para zapatos, boquillas de cigarros, peines, rulos de plastico, etcetera; la fabricacion de partes y piezas de material plastico para calzado</t>
  </si>
  <si>
    <t>Fabricacion de articulos de plastico ncp, La fabricacion de articulos a partir del plastico en cualquiera de sus formas basicas, incluye fabricacion de papel de colgadura de material plastico, accesorios para aislamiento, piezas de lamparas y  accesorios  para  alumbrado;  Correas  de  transporte  y  de  transmision,  La fabricacion de articulos a base de plastico recuperado</t>
  </si>
  <si>
    <t>Fabricacion de vidrio y productos de vidrio, incluye la fabricacion de bulbos en vidrio  para  bombillas,  espejos  de  vidrio  y  lunas  o  lunetas  de  seguridad  sin enmarcar para vehiculos</t>
  </si>
  <si>
    <t>Fabricacion cal y yeso, incluye la fabricacion de cal viva (caliza y/o dolomita calcinada); cal apagada; cal hidraulica; dolomita calcinada.</t>
  </si>
  <si>
    <t>Corte, tallado y acabado de la piedra, incluye el trabajo de la piedra en bruto extraida de canteras y marmolerias</t>
  </si>
  <si>
    <t>Fabricacion  de  otros  productos  minerales  no  metalicos  ncp,  incluye  la produccion de piedras de molino, de piedras de afilar o de pulir, de abrasivos naturales y artificiales, en polvo o en grano aplicados sobre una base de material textil, de papel, de carton y de otro material (por ejemplo papel de lija)</t>
  </si>
  <si>
    <t>Industrias  basicas  de  metales  preciosos,  incluye  la  fabricacion  de  productos primarios  de  metales  preciosos  (oro,  plata  y  metales  del  grupo  del  platino); labrados (trabajados) o no, tales como: grumos, granos, lingotes, barras fundidas, granulos,  entre  otros  o  en  barras  laminadas,  varillas,  secciones,  alambres, lanchas, hojas y tiras, o en tubos, tuberias, barras huecas, hojuelas, polvo, entre otros</t>
  </si>
  <si>
    <t>Industrias  basicas  de  metales  preciosos,  incluye  la  refinacion  de  metales preciosos mediante procesos quimicos a fin de eliminar impurezas intrinsecas</t>
  </si>
  <si>
    <t>Industrias  basicas  de  metales  preciosos,  incluye  la  produccion  de  metales comunes  enchapados  de  oro,  plata,  platino  y  de  metales  del  grupo  platino; fabricacion  de  laminas  de  metales  preciosos;  produccion  de  aleaciones  de metales preciosos</t>
  </si>
  <si>
    <t>Industrias basicas de metales preciosos, incluye la produccion de oro, plata y metales del grupo del platino (platino, paladio, rodio, iridio, osmio, rutenio, entre otros); semiproductos de metales preciosos.</t>
  </si>
  <si>
    <t>Fabricacion de productos metalicos para uso estructural, incluye, la fabricacion de puertas  y  ventanas  metalicas  y  de  sus  marcos,  postigos,  cortinas  metalicas, escaleras de incendio, rejas y carpinteria metalica similar a la utilizada en la construccion;  divisiones  metalicas  fijas  al  piso  y  estanterias  de  grandes dimensiones para montar y fijar permanentemente en tiendas, talleres, depositos y otros lugares de almacenado de mercancias</t>
  </si>
  <si>
    <t>Fabricacion  de  armas  y  municiones,  incluye  la  fabricacion  de  armas  ligeras (revolveres, pistolas, rifles , carabinas, escopetas, subametralladoras); de fuego y artefactos similares utilizados para la caza, el tiro deportivo y la defensa, armas y pistolas neumaticas (aire y gas comprimido) e hidraulicas; armas de fuego que disparan balas de fogueo, pistolas para lanzar bengalas de señales, pistolas similares de embolo cautivo y otras armas de fuego; la fabricacion de partes, piezas y accesorios para las armas y municiones descritos anteriormente</t>
  </si>
  <si>
    <t>Fabricacion de armas y municiones, incluye la fabricacion de municiones tales como:  cartuchos,  proyectiles,  perdigones,  balines,  diabolos,  arpones,  flechas, entre otros</t>
  </si>
  <si>
    <t>Forja,  prensado,  estampado  y  laminado  de  metal;  pulvimetalurgia,  incluye  la fabricacion de artefactos para tapas y similares para embotelladoras, los trabajos de hojalateria no mecanizada</t>
  </si>
  <si>
    <t>Tratamiento y revestimiento de metales mecanizado, incluye los procesos de reduccion de masa de metales, plantas pulidoras de metales, corte y grabado de metales; Se incluyen procedimientos tales como el bruñido, desbarbado, limpieza con chorro de arena, pulimento en tambor giratorio, limpieza, soldadura, afilado, esmerilado, lapidado, brochado y otros tratamientos especiales del metal y de articulos de metal que se realizan por contrata o a cambio de una retribucion.</t>
  </si>
  <si>
    <t>Tratamiento y revestimiento de metales mecanizado, incluye el revestimiento no metalico de metales: pintura, plastificado, esmaltado, lacado, entre otros.</t>
  </si>
  <si>
    <t>Fabricacion  de  articulos  de  cuchilleria,  herramientas  de  mano  y  articulos  de ferreteria, incluye la fabricacion de cerraduras, candados, pasadores, llaves y otros accesorios para edificios, muebles, vehiculos y otros usos y de herramientas de mano, abrazaderas metalicas, herramientas de presion</t>
  </si>
  <si>
    <t>Fabricacion  de  articulos  de  cuchilleria,  herramientas  de  mano  y  articulos  de ferreteria, incluye la fabricacion de accesorios intercambiables para herramientas de mano, motorizadas o no y  para maquinas herramienta brocas, punzones, matrices,  fresas,  puntas,  placas  y  barras  sin  montar,  de  carburos  metalicos sinterizados o de aleaciones metaloceramicas (cermet), entre otros</t>
  </si>
  <si>
    <t>Fabricacion de componentes y tableros electronicos, incluye la fabricacion de semiconductores  y  de  otros  componentes  para  aplicaciones  electronicas; componentes  electronicos,  microprocesadores,  circuitos  impresos    (circuitos elaborados, estampando en una placa aislante, mediante un proceso de impresion tradicional o no tradicional; elementos simplemente conductores, elementos de contacto u otros elementos pasivos impresos tales como inductores, resistencias y  condensadores);  circuitos  integrados,  cristales  electronicos   y  montajes  de cristal; solenoides; tarjetas inteligentes (tarjetas con circuito integrado) tales como tarjetas  de  credito  con  chip  incorporado,  tarjetas  SIM  y  GSM  utilizadas  en telefonos celulares, tarjetas para transporte masivo, entre otras; tarjetas interfaz (sonido,  controles,  red,  modem),  modems  externos;  inductores  (estarteles, bobinas, transformadores) tipo componente electronico</t>
  </si>
  <si>
    <t>Fabricacion de componentes y tableros electronicos, incluye la fabricacion de tubos y valvulas electronicas termoionicas, de catodo frio o fotocatodicos (por ejemplo, tubos catodicos de imagen para receptores de television y tubos para camaras  de  television,  convertidores  e  intensificadores  de  imagen,  tubos  de microondas, tubos y valvulas receptores y amplificadores, entre otros); conectores electronicos;   diodos,   transistores   y   componentes   electronicos   similares; componentes electronicos pasivos como resistencias, bobinas, condensadores entre  otros;  cristales  piezoelectricos  montados;  dispositivos  semiconductores fotosensibles, incluso celulas fotovoltaicas y celulas solares, entre otros</t>
  </si>
  <si>
    <t>Fabricacion de componentes y tableros electronicos, incluye la fabricacion de partes componentes de pantallas (plasma, polimero, LCD); diodos emisores de luz (LED); cables de impresora, cables de monitor, cables USB; cabezales (de grabacion,  lectura/escritura,  entre  otros);  dados  u  obleas,  semiconductores, terminados o semiterminados</t>
  </si>
  <si>
    <t>Fabricacion de componentes y tableros electronicos, incluye fabricacion de partes y  piezas  electronicas  componentes  de  computadoras;  de  tarjetas,  tableros  o placas de circuitos impresos;</t>
  </si>
  <si>
    <t>Fabricacion de computadoras y de equipo periferico, incluye la fabricacion y/o ensamble  de  computadoras  electronicas,  microcomputadoras,  de  escritorio, portatiles, tabletas electronicas, computadoras de mano PDA, tabletas, o Palm y servidores   informaticos;   unidades   perifericas,   tales   como   equipos   de almacenamiento  y  dispositivos  de  entrada  y  salida  (impresoras,  monitores, teclados)</t>
  </si>
  <si>
    <t>Fabricacion  de  equipos  de  comunicacion,  incluye  la  fabricacion  de  telefonos inalambricos; equipos para centrales telefonicas; citofonos, telefonos y equipo de fax  incluyendo  maquinas  contestadoras;  PBX;  tableros,  paneles,  consolas  y elementos similares para telefonia y telegrafia; buscadores de personas, telefonos celulares y otros equipos de comunicacion moviles</t>
  </si>
  <si>
    <t>Fabricacion de equipos de comunicacion, incluye la fabricacion de equipos equipo de transmision de datos: puentes, enrutadores (routers), puertas de acceso, y bocas de conexion de paneles de control; antenas de recepcion y transmision; camaras  de  television  de  todo  tipo;  modems,  diferentes  a  los  utilizados  en computadores</t>
  </si>
  <si>
    <t>Fabricacion  de  equipos  de  comunicacion,  incluye  la  fabricacion  de  aparatos transmisores  de  radiotelefonia,  radiotelegrafia,  radiodifusion  o  television  que incorporen o no aparatos receptores o aparatos para la grabacion o reproduccion del sonido; equipos y elementos para television por cable</t>
  </si>
  <si>
    <t>Fabricacion de equipos de comunicacion, incluye la fabricacion de equipos de emision de radio y television, equipo de telecomunicacion para satelites.</t>
  </si>
  <si>
    <t>Fabricacion de equipos de comunicacion, incluye la fabricacion de sistemas de alarma contra incendio y robo, que envian señales a una estacion de control; aparatos infrarrojos (ej. control remoto).</t>
  </si>
  <si>
    <t>Fabricacion  de  aparatos  electronicos  de  consumo,  incluye  la  fabricacion  de videograbadoras  y  equipos  electronicos  de  grabacion  similares;  amplificacion para instrumentos musicales y sistemas de amplificacion electronica; de aparatos para  la  grabacion  de  sonido  y  sistemas  de  grabacion;  aparatos  para  la reproduccion de casetes y otros aparatos para la reproduccion de sonido; de equipos de sonido; camaras de video del tipo casera; reproductores de CD, DVD, Blu-ray Disc y similares</t>
  </si>
  <si>
    <t>Fabricacion  de  aparatos  electronicos  de  consumo,  incluye  la   fabricacion  de monitores y pantallas de television, receptores de radio incluso aparatos con dispositivos de grabacion y de reproduccion de sonido o con un dispositivo de relojeria; microfonos; audifonos   (radio, computadores), excepto los audifonos utilizados por personas con perdida auditiva; consolas de videojuegos; aparatos para la reproduccion de casetes y otros aparatos para la reproduccion de sonido; de  tocadiscos  (rocolas);  de  sistemas  de  altavoces  (altoparlantes);  maquinas karaoke</t>
  </si>
  <si>
    <t>Fabricacion  de  equipo  de  medicion,  prueba,  navegacion  y  control,  incluye  la fabricacion de radares; instrumentos para el monitoreo del funcionamiento de los motores de avion Por ejemplo: tacometros (miden el numero de revoluciones del motor por minuto), horometros (miden el numero de horas de recorrido de la maquina), entre otros instrumentos; de aparatos de radar y de control remoto; instrumentos   de   navegacion   aerea   tales   como   altimetros,   variometros, machmetros,  acelerometros,  y  pilotos  automaticos;  equipos  de  busqueda, deteccion, navegacion, aeronautica y nautica, incluyendo sonares; equipos de medida y grabacion (caja negra)</t>
  </si>
  <si>
    <t>Fabricacion  de  equipo  de  medicion,  prueba,  navegacion  y  control,  incluye fabricacion  de  equipos  de  prueba  de  emisiones  automotrices,  aparatos  para ensayar y regular los motores de vehiculos mediante el control de todos los organos de encendido (bobinas, bujias, condensadores, baterias, entre otros)</t>
  </si>
  <si>
    <t>Fabricacion  de  equipo  de  medicion,  prueba,  navegacion  y  control,  incluye  la fabricacion de instrumentos y aparatos de navegacion maritima o fluvial tales como  compases  de  navegacion  (ejemplo:  compases  magneticos,  compases giroscopicos, y similares), instrumentos para determinar la situacion (ejemplo: sextantes),  los  demas  instrumentos  para  la  navegacion  (ejemplo:  timones automaticos,  registradores  de  rumbo,  entre  otros)  y  sondas  ultrasonicas; instrumentos y aparatos de meteorologia tales como veletas; anemometros, para medir  la  velocidad  del  viento;  evaporimetros,  para  medir  la  capacidad  de  la evaporacion de la atmosfera; pluviometros, para medir la cantidad de agua lluvia</t>
  </si>
  <si>
    <t>Fabricacion  de  equipo  de  medicion,  prueba,  navegacion  y  control,  incluye fabricacion de maquinas y aparatos de ensayo para determinar las propiedades fisicas de materiales; maquinas y aparatos para establecer la dureza y otras propiedades de los metales o la resistencia al desgaste y otras propiedades de los textiles Comprende un conjunto de maquinas o aparatos diseñados para efectuar ensayos de dureza, elasticidad, resistencia a la traccion, a la compresion, a la flexion, o de otras propiedades mecanicas de materiales diversos: madera, manufacturas de cemento o de hormigon, textiles (hilados, tejidos), papel y carton, caucho,  plastico,  cueros,  entre  otros  materiales;  detectoras  de  mentiras (poligrafos); espectrometros (aparatos que identifican las diferentes componentes del espectro de frecuencias de una señal electrica); calibradores, diseñados para altos niveles de precision</t>
  </si>
  <si>
    <t>Fabricacion  de  equipo  de  medicion,  prueba,  navegacion  y  control,  incluye  la fabricacion  de  instrumentos  y  aparatos  diseñados  especialmente  para  las telecomunicaciones  tales  como  diafonometros,  hipsometros,  neperimetros  y aparatos para ensayar; instrumentos agrimensura, geodesia y topografia como teodolito,  para  establecer  planos  y  medir  angulos;  niveles  opticos;  alidada; controles de fuego y flama</t>
  </si>
  <si>
    <t>Fabricacion  de  equipo  de  medicion,  prueba,  navegacion  y  control,  incluye  la fabricacion de instrumentos de analisis de laboratorio (equipos de analisis de sangre) escalas de laboratorio, incubadoras y aparatos diversos de laboratorio para medicion y prueba: la fabricacion de instrumentos y aparatos para efectuar analisis fisicos o quimicos tales  como polarimetros, para medir el angulo de rotacion del plano de polarizacion de un rayo luminoso que atraviesa sustancias opticamente activas, es decir, dotadas de poder rotatorio; refractometros, para determinar el indice de refraccion de los liquidos o de los solidos; colorimetros, para determinar el color de una sustancia (liquida o solida); analizadores de gases o de humos (aparatos de Orsat), para el analisis de gases combustibles o de productos  de  la  combustion  (gases  quemados)  en  los  hornos  de  coque, gasogenos, altos hornos, etc, y que permiten dosificar principalmente el acido carbonico, el oxido de carbono, el oxigeno y el hidrogeno; viscosimetros, que permiten determinar la viscosidad, es decir, el frotamiento interno que caracteriza a un liquido; instrumentos para medir la tension superficial o interfacial de los liquidos (peso, volumen, altura); y los pehachimetros (medidores de pH) para medir la magnitud por la que se valora el caracter acido o basico de un medio; instrumentos y aparatos utilizados para la medicion y la regulacion constante y automatica de variables tales como la temperatura, la presion, la viscosidad de materiales y productos durante su fabricacion u otro tipo de elaboracion</t>
  </si>
  <si>
    <t>Fabricacion  de  equipo  de  medicion,  prueba,  navegacion  y  control,  incluye  la fabricacion de  instrumentos y aparatos de geofisica tales como sismometros y sismografos para registrar la hora, la duracion y la amplitud de los movimientos de un punto de la corteza terrestre durante los terremotos, o para la deteccion del petroleo; telemetros para determinar la distancia que separa al observador de un punto  alejado  determinado;  instrumentos  de  oceanografia  y  de  hidrologia; microscopios (excepto los microscopios opticos) y los aparatos de difraccion, es decir, los microscopios electronicos</t>
  </si>
  <si>
    <t>Fabricacion  de  equipo  de  medicion,  prueba,  navegacion  y  control,  incluye  la fabricacion de aparatos para medir y verificar magnitudes electricas, por ejemplo, osciloscopios  y  oscilografos  que  registran  movimientos  oscilatorios;  y  los instrumentos para verificar la corriente, el voltaje o la resistencia, esten provistos o  no,  de  un   dispositivo  registrador,  como  por  ejemplo,  galvanometros, amperimetros o voltimetros La fabricacion de instrumentos para medir y verificar señales  electricas;  dispositivos  y  aparatos  de  control  ambiental  y  controles automaticos (ej: termostatos, para regular la temperatura; reguladores de presion llamados tambien manostatos o presostatos, de nivel de humedad [humidostatos] y de tiro de estufas; y reguladores automaticos de distintas magnitudes electricas)</t>
  </si>
  <si>
    <t>Fabricacion  de  equipo  de  medicion,  prueba,  navegacion  y  control,  incluye  la fabricacion  de  aparatos  para  medir  y  verificar  magnitudes  no  electricas;  por ejemplo, detectores y contadores de radiaciones; contadores de consumo de electricidad,  agua  o  gas,  gasolina,  entre  otros;  detectores  de  movimiento; balanzas de precision; instrumentos y aparatos para medir y verificar el flujo, el nivel, la presion u otras variables de liquidos o gases (por ejemplo, medidores de flujo, indicadores de nivel, manometros, calorimetros de hielo, o de calentamiento, entre otros); detectores de minas, generadores de pulso (señal); detectores de metales; equipos de posicionamiento global GPS</t>
  </si>
  <si>
    <t>Fabricacion  de  equipo  de  medicion,  prueba,  navegacion  y  control,  incluye  la fabricacion de otros instrumentos, aparatos o maquinas de medicion, verificacion o ensayo: termometros de liquido, de metal y de cristales liquidos (excepto los de uso  medico);  barometros  (de  mercurio  o  aneroide)  para  medir  la  presion atmosferica; hidrometros, para apreciar el grado de humedad del aire (estado higrometrico), de otros gases o de materias solidas; la fabricacion de aparatos de contar: cuentarrevoluciones, que contabilizan las vueltas de cualquier organo (por ejemplo, el arbol de una maquina); taximetros, que se utilizan en los vehiculos de transporte  para  indicar  la  distancia  recorrida  y  el  precio  de  esta  distancia; podometros (llamados tambien odometros, cuenta-pasos), que sirven para medir, aproximadamente,  las  distancias  recorridas;  tacometros;  bancos  de  prueba, comparadores   (incluidos   los   comparadores   opticos   y   otros   aparatos   e instrumentos de optica para medir y verificar); e instrumentos para verificar relojes o piezas de relojes, la fabricacion de controles automaticos y reguladores para diversas aplicaciones como calefaccion, aire acondicionado, refrigeracion, etc</t>
  </si>
  <si>
    <t>Fabricacion de relojes, incluye la fabricacion de relojes de toda clase (de pulsera, de pared, de mueble y similares), incluso relojes para paneles de instrumentos; cajas para relojes de pulsera, incluidas las cajas de metales preciosos; piezas de relojes, incluidos los mecanismos de relojeria; aparatos de control del tiempo y equipos de medicion, registro y otras formas de visualizacion de intervalos de tiempo mediante un mecanismo de relojeria o un motor sincronico (por ejemplo: parquimetros,  relojes  de  control  de  asistencia,  sellos  con  fecha  y  hora, temporizador  de  procesos);  conmutadores  horarios  y  otros  aparatos  que  se activan  con  movimiento  de  relojeria  o  con  un  motor  sincronico,  como  las cerraduras con temporizador; piezas para relojes de todo tipo como muelles, rubies, esferas, chapas, manecillas, puentes y otras piezas</t>
  </si>
  <si>
    <t>Fabricacion  de  equipo  de  irradiacion  y  equipo  electronico  de  uso  medico  y terapeutico, incluye la fabricacion y mantenimiento de aparatos electromedicos y electroterapeuticos tales como: equipos medicos de ultrasonidos; marcapasos; aparatos para perdida auditiva (audifonos); electrocardiogramas y equipo electro medico  de  endoscopia;  equipos  de  irradiacion  de  leche  y  alimentos  para eliminacion de microorganismos o alargar la vida util del producto</t>
  </si>
  <si>
    <t>Fabricacion de instrumentos opticos y equipo fotografico, incluye la fabricacion de lentes  opticos,  telescopios  y  binoculares,  equipo  de  posicionamiento  optico; elementos opticos de metal, oxido de magnesio o de halogenuros, de los metales alcalinos o alcalinoterreos; aparatos y equipo para laboratorios  fotograficos o cinematograficos: cubas especiales para revelado de filmes, para lavado de las pruebas; secadoras, abrillantadoras, maquinas y aparatos para cortar los filmes o las peliculas, entre otros; fabricacion de equipo de miras telescopicas para armas; instrumentos de aumento optico</t>
  </si>
  <si>
    <t>Fabricacion de instrumentos opticos y equipo fotografico, incluye la fabricacion de herramientas opticas de precision para operarios de maquinas; comparadores opticos,  microscopios  opticos  compuestos,  incluidos  los  microscopios  para microfotografia y microproyeccion</t>
  </si>
  <si>
    <t>Fabricacion de instrumentos opticos y equipo fotografico, incluye la fabricacion de camaras  fotograficas  (de  rollo  y  digitales)  o  cinematograficas,  esencialmente compuestas por una camara oscura, un objetivo, un obturador, un diafragma, un soporte para la placa o la bobina y un visor; incluidas las camaras utilizadas para preparar planchas de fotograbado, para fotografia subacuatica (aparatos de caja estanca),  fotografia  aerea,  diseñados  para  registrar  imagenes  sucesivas  a intervalos determinados, de modo que cubran cierta extension de territorio por medio de fotografias solapadas; aparatos para producir microfilmes o microfichas y  camaras  de  filmacion  con  banda  sonora;  de  proyectores  de  imagen  fija, (diapositiva); ampliadores y reductores de imagen, incluidas las maquinas de microfilmes  y  de  microfichas  y  otros  aparatos  lectores  de  microformatos; proyectores  cinematograficos,  aparatos  fijos  o  portatiles  para  la  proyeccion diascopica de una serie de imagenes en movimiento con o sin banda sonora en la misma pelicula; aparatos con lamparas de descarga (flashes electronicos)  y otros aparatos para la produccion de luz de destello, excepto las lamparas de destello; aparatos para montajes laser</t>
  </si>
  <si>
    <t>Fabricacion de motores,  generadores y transformadores electricos, incluye la fabricacion de transformadores de energia electrica de distribucion (convencional de  poste)  y  especializados  (subestacion);  reactancias  (balastos);  motores electricos, bobinas de induccion; fabricacion de generadores de energia, de fuerza y de  alta tension</t>
  </si>
  <si>
    <t>Fabricacion de motores, generadores y transformadores electricos, incluye la fabricacion  de  conjuntos  generador-maquina  motriz;  bobinas  de  reactancias; generadores de alta tension; el rebobinado de armaduras</t>
  </si>
  <si>
    <t>Fabricacion de motores, generadores y transformadores electricos, incluye la fabricacion  de  transformadores  para  equipos  de  soldadura  de  arco  electrico; transformadores  de  subestacion  para  la  distribucion  de  energia  electrica; transformadores de estaciones de interconexion de redes</t>
  </si>
  <si>
    <t>Fabricacion de aparatos de distribucion y control de la energia electrica, incluye la fabricacion de disyuntores de circuitos de energia; reles, tableros, paneles, consolas; mesas, cajas y otras bases, la fabricacion de conductos para cuadros de distribucion; fusibles electricos; aparatos de conmutacion; interruptores de energia electrica para tensiones superiores a los 1000 voltios; reguladores de voltaje y limitadores de sobretension, entre otros</t>
  </si>
  <si>
    <t>Fabricacion de dispositivos de cableado, incluye la fabricacion de dispositivos de cableado transportadores de corriente y no transportadores de corriente para circuitos electricos, independientemente del material utilizado en su fabricacion; transportadores  para  circuitos  electricos,  barras  colectoras,  interruptores  de circuito con perdida a tierra, portalamparas, conmutadores como interruptores a presion, de boton, de resorte entre otros; enchufes y tomas de corriente, cajas para cableado electrico, dispositivos para postes de transmision, herrajes para lineas electricas, , dispositivos plasticos de cableado no conductores de corriente incluido  cajas  plasticas  de  conexiones,  tapas  para  tomas  e  interruptores  y accesorios plasticos para tendidos aereos;  conductos y juntas de metal aisladas y fabricacion de pararrayos, entre otros</t>
  </si>
  <si>
    <t>Fabricacion  de  equipos   electricos  de  iluminacion,  incluye  la  fabricacion  de bombillas y tubos electricos de luz y partes y componentes (excepto bulbos vacios en vidrio para bombillas electricas de luz); accesorios de iluminaciones electricas y bombillas; proyectores de teatro; reflectores para la iluminacion de edificios, monumentos o parques y demas equipos de iluminacion exterior; lamparas de descarga, incandescentes, fluorescentes, ultravioletas, infrarrojas, de destellos, etc; accesorios y bombillas; de lamparas de mesa con accesorios de iluminacion; de lamparas electricas mata insectos</t>
  </si>
  <si>
    <t>Fabricacion  de  equipos    electricos  de  iluminacion,  incluye    accesorios  de iluminacion para techos, juegos de luces para arboles de navidad;  candelabros electricos,  la  fabricacion  de  leña  (tipo  chimenea)  electrica;  de  linternas  (por ejemplo de carburo, electricas, de gas, de gasolina, de queroseno entre otras); equipo de iluminacion para equipos de transporte (ej: para vehiculos a motor, aviones, botes) como: faros (excepto faros reflectores sellados), lamparas o luces de estacionamiento, de aviso, direccionales o de iluminacion interior; de faroles</t>
  </si>
  <si>
    <t>Fabricacion   de   aparatos   de   uso   domestico,   incluye   la   fabricacion   de electrodomesticos como:   ventiladores, aparatos de peluqueria termoelectricos (secadores,  peines,  cepillos,  rizadores),  planchas  electricas,,  enceradoras  de piso,   (moledoras, licuadoras, exprimidoras, abrelatas, entre otros) brilladoras, utensilios de cocina, maquinas de afeitar electricas, cepillos de dientes electricos y otros articulos electricos de cuidado personal, afilador de cuchillos, y campanas de ventilacion y absorcion de humos; equipos de cocina y calefaccion de uso domestico,  no  electricos:  calentadores  de  uso  domestico  para  ambientes, cocinillas, parrillas, cocinas, aparatos de cocina y calentadores de platos</t>
  </si>
  <si>
    <t>Fabricacion de aparatos de uso domestico, incluye el mantenimiento y reparacion de aparatos y equipo domestico cuando se realizan en la misma unidad que los produce</t>
  </si>
  <si>
    <t>Fabricacion de otros tipos de equipo electrico ncp, incluye la fabricacion de electrodos de grafito y carbon, contactos y otros productos electricos de grafito y carbon;  cargadores  de  baterias  de  estado  solido;  contactos,  timbres  y  otros productos electricos; de dispositivos de iluminacion y electricos, dispositivos de señalizacion  electrica  tales  como  semaforos;  de  dispositivos  de  señalizacion, acustica tales como bocinas, sirenas y otros artefactos electricos similares Otros aparatos  de  señalizacion  visual  o  acustica  accionados  por  electricidad  (ej: paneles indicadores, entre otros), excepto alarmas contra robos y alarmas contra incendio</t>
  </si>
  <si>
    <t>Fabricacion de otros tipos de equipo electrico ncp, incluye la fabricacion de camaras bronceadoras, inversores de estado solido, rectificadores, convertidores, celulas energeticas, fuentes de poder reguladas y no reguladas y convertidores estaticos;   de   sistemas   de   potencia   interrumpidos   UPS,   limitadores   de sobretension  (excepto  para  voltajes  de  distribucion)  Estos  son  dispositivos utilizados para proteger equipos que utilizan energia electrica (computadores) de tensiones o voltajes elevados a traves de la reduccion de dicha sobretension; capacitancias,  resistencias,  transformadores,  condensadores  y  componentes similares,  dispositivos  de  señalizacion  acustica  o  visual,  dispositivos  de señalizacion acustico</t>
  </si>
  <si>
    <t>Fabricacion de otros tipos de equipo electrico ncp, incluye equipo electrico de soldadura  autogena  y  de  soldadura  blanda,  incluidos  soldadores  manuales; aparatos y dispositivos electricos de encendido o de arranque para motores de combustion  interna,  de  encendido  por  chispa  o  por  compresion;  marcadores electronicos</t>
  </si>
  <si>
    <t>Fabricacion de otros tipos de equipo electrico ncp, incluye fabricacion de cables de extension de alambre aislado; juegos de cable (a excepcion de los juegos de cable de encendido para motores de vehiculos automotores) de alambre aislado; electroimanes,  incluso  portaherramientas  Elementos  de  sujecion  electrica, embragues,   frenos,   acoplamientos,   abrazaderas   o   cabezales   alzadores electromagneticos o de iman permanente; aislantes electricos (excepto vidrio o porcelana), tubos y juntas de metal comun, forrados de material aislante para la conduccion de electricidad; dispositivos electricos de apertura y cierre de puertas</t>
  </si>
  <si>
    <t>Fabricacion de otros tipos de equipo electrico n.c.p., incluye maquinas de limpieza ultrasonica (excepto de laboratorio y de uso odontologico); tableros de marcacion (como los usados en los estadios y escenarios deportivos); equipo y componentes electricos para motores de combustion interna; aparatos y sus partes electricas para motocicletas</t>
  </si>
  <si>
    <t>Fabricacion  de  otros  tipos  de  equipo  electrico  ncp,  incluye  fabricacion  de maquinas y aparatos electricos no clasificados en otra parte: aceleradores de particulas  (utilizan  campos  electromagneticos  para  acelerar  las  particulas cargadas  electricamente  hasta  alcanzar  energias  muy  altas,  pudiendo  ser cercanas a la de la luz), generadores de señales, detonadores electricos de minas y desempañadores con resistencias electricas para aeronaves, embarcaciones, trenes y otras maquinas y aparatos electricos</t>
  </si>
  <si>
    <t>Fabricacion de maquinaria y equipo de oficina (excepto computadoras y equipo periferico), incluye la fabricacion  de calculadoras electronicas, portatiles y de oficina,  otras  calculadoras;  maquinas  de  contabilidad,  cajas  registradoras, maquinas de escribir,  taquigrafia o dictado, manuales y electricas; maquinas de escribir automaticas, es decir, maquinas de escribir por las que se pasa una cinta previamente  perforada  para  transcribir  un  mensaje  determinado;  dictafonos, maquinas  de  memoria  limitada  que  pueden  corregir  y  retranscribir  textos automaticamente; y maquinas provistas de un dispositivo para transmitir las cifras escritas en ellas a maquinas calculadoras; maquinas fotocopiadoras, por sistema optico, o por contacto, y maquinas termocopiadoras, impresoras, offset de carga manual para oficinas, hectografos o maquinas multicopistas de matriz estarcida y maquinas de imprimir direcciones; cartuchos de tinta y toner para fotocopiadoras e impresoras</t>
  </si>
  <si>
    <t>Fabricacion  de  herramientas  manuales  con  motor,  incluye  la  fabricacion  de herramienta manual, con motor electrico como: taladros, pulidoras, afiladoras, sierras circulares</t>
  </si>
  <si>
    <t>Fabricacion de otros tipos de maquinaria y equipo de uso general ncp, incluye la fabricacion de equipo de refrigeracion o congelacion de uso comercial tales como: vitrinas refrigeradas Equipo de refrigeracion o congelacion para otros usos distintos  al  domestico  Ensambladuras  de  componentes  principales  de  los refrigeradores y congeladores incluidos en esta clase, por ejemplo, compresores y condensadores montados en un bastidor comun, aunque esten desprovistos de motor,  evaporador  o  mueble  Muebles  destinados  a  contener  equipos  de refrigeracion; maquinas y aparatos de filtracion y depuracion para liquidos y de gases, estufas a gas, calentadores para agua, cintas metricas e instrumentos de precision,  basculas  y  balanzas  de  uso  domestico  y  comercial,  balanzas  de plataforma portatiles o moviles, balanzas para el pesaje continuo de solidos y de liquidos Balanzas equipadas con calculadoras o capaces de convertir unidades de peso en unidades de cuenta y de realizar otras operaciones basadas en unidades de peso, pesas, etc</t>
  </si>
  <si>
    <t>Fabricacion de otros tipos de maquinaria y equipo de uso general ncp, incluye la  fabricacion  de  maquinaria  para  licuar  aire  y  gas,  equipo  de  soldadura  no electrico, ventiladores de uso industrial, campanas de ventilacion</t>
  </si>
  <si>
    <t>Fabricacion  de  maquinaria  agropecuaria  y  forestal,  incluye  la  fabricacion  de maquinaria y maquinas utilizadas en la agricultura, la horticultura y la silvicultura, la  reparacion  de  maquinaria  e  implementos  agricolas  entre  ellos:  tractores, remolques o semirremolques, maquinas  para la recoleccion, cosecha o trilla, sierras de cadena o motosierras, desmotadoras de algodon, segadoras, para preparar  los  suelos,  plantar  y  abonar  los  cultivos,  incluso  arados,  gradas, desbrozadoras, binadoras, sembradoras, esparcidoras de estiercol, aclaradoras, etc, autopropulsadas o no Se incluye la maquinaria de traccion animal</t>
  </si>
  <si>
    <t>Fabricacion de maquinaria agropecuaria y forestal, incluye la fabricacion de otra maquinaria utilizada en la agricultura, la cria de animales, avicultura, apicultura, equipo para la preparacion de alimentos para animales, etcetera, maquinas para limpiar, seleccionar y clasificar huevos, frutas y otros productos agropecuarios, maquinas  para  ordeñar,  aspersores  de  uso  agricola,  enfardadoras,  dicha maquinaria puede ser autopropulsada, de arrastre por tractor o de traccion animal</t>
  </si>
  <si>
    <t>Fabricacion  de  maquinas  formadoras  de  metal  y  de  maquinas  herramienta, incluye la fabricacion de maquinas herramienta para trabajar metales y otros materiales   tales   como   madera,   piedra,   corcho,   hueso,   ebonita,   caucho endurecido, plasticos duros, vidrio en frio para tornear, perforar, fresar, taladrar, cepillar, rectificar o realizar otras operaciones</t>
  </si>
  <si>
    <t>Fabricacion  de  maquinas  formadoras  de  metal  y  de  maquinas  herramienta, incluye  la  fabricacion  de  bancos  de  trefilar,  cizallas  mecanicas,  cortadoras, machacadoras,  martinetes,  maquinas  de  forjar,  estampar,  prensar,  forjar, laminado a presion, maquinas de aterrajar por laminado a presion y maquinas para trabajar alambre La fabricacion de maquinas herramienta de diseño sencillo (por ejemplo, prensas a pedal), de diseño tradicional (por ejemplo, accionadas a mano o por motor) o de diseño moderno (por ejemplo, de mando numerico y para hacer pasar el producto por varias estaciones de trabajo)</t>
  </si>
  <si>
    <t>Fabricacion  de  maquinas  formadoras  de  metal  y  de  maquinas  herramienta, incluye  la  fabricacion  de  maquinas  para  producir  mallas  o  telas  metalicas, maquinas  para  la  galvanoplastia,  maquinas  para  clavar,  engrapar,  encolar  o montar de otra manera madera, corcho, hueso, ebonita, plasticos duros y otras materias duras similares, la fabricacion de partes y accesorios de las maquinas herramienta  incluidas  en  esta  clase,  tales  como  dispositivos  para  sujetar  los materiales que son objeto de trabajo (mandriles, platos de mandril), cabezales divisorios y otros accesorios especiales para maquinas herramienta</t>
  </si>
  <si>
    <t>Fabricacion de maquinaria para la elaboracion de productos textiles, prendas de vestir y cueros, incluye la fabricacion de maquinas de coser , incluidas aquellas para uso domestico: maquinas para coser materias textiles, cuero, pieles, etc; para confeccionar prendas de vestir, calzado, bordados, maletas, cubrecabezas, sacos, etc; carretes y bobinas que forman parte de maquinaria textil; maquinas de  planchar,  incluso  planchas  de  fusion;   maquinaria  para  fabricar  y  reparar calzado y otros articulos de cuero o piel; agujas para maquinas de coser</t>
  </si>
  <si>
    <t>Fabricacion  de  otros  tipos  de  maquinaria  de  uso  especial  ncp,  incluye  la fabricacion de cajas de moldear para talleres de fundicion de metal, fondos de moldes, patrones para moldear, moldes para metal (excepto lingoteras), carburos metalicos, vidrio, materias minerales, caucho o plastico; maquinaria y equipo para la fundicion de caracteres  de imprenta, (por ejemplo, fundidoras manuales o automaticas de caracteres); de maquinaria y equipo de composicion tipografica (por ejemplo, monotipia y otras maquinas de fundicion y composicion provistas de teclado); maquinaria y aparatos para imprimir (por ejemplo, prensas corrientes, de platina, de cilindros y rotativas, incluso impresoras especiales como maquinas para  marcar  corcho,  u  otros  articulos  no  usuales),  excepto  la  utilizada  para impresion  sobre  textiles;   maquinas  auxiliares  de  la  impresion  (por  ejemplo, cargadoras,   alimentadoras,   plegadoras,   encoladoras,   engrapadoras,   etc); maquinas  para  la  elaboracion  de  matrices  y  planchas  de  estereotipia,  de elaboracion de planchas y grabado al agua fuerte y de fototipia y composicion tipografica</t>
  </si>
  <si>
    <t>Fabricacion  de  otros  tipos  de  maquinaria  de  uso  especial  ncp,  incluye  la fabricacion de secadoras centrifugas para ropa, de uso industrial</t>
  </si>
  <si>
    <t>Fabricacion de otros tipos de maquinaria de uso especial n.c.p., incluye sistemas de engrasado central, maquinas para atracciones de ferias, tiovivos, columpios, barracas de tiro al blanco, equipo automatico para juegos de bolos, instaladores de pinos, etc..</t>
  </si>
  <si>
    <t>Fabricacion de carrocerias para vehiculos automotores; fabricacion de remolques y semirremolques, incluye la fabricacion de carrocerias  (incluidas las cabinas) diseñadas para ser montadas sobre chasis de vehiculos automotores; carrocerias para vehiculos sin chasis y carrocerias de monocasco; carrocerias para vehiculos de transporte de personas, camiones y vehiculos de uso especial; carrocerias metalicas, de madera, plastico  o combinaciones de estos u otros materiales; remolques  y  semirremolques  diseñados  para  ser  remolcados  por  vehiculos automotores; del tipo utilizado para vivienda o para acampar; para el transporte de    mercancias,    tales    como    remolques    cisterna,    remolques    nodriza (portaautomoviles) y de mudanzas; cureñas para cañones de artilleria; remolques para exposiciones, presentacion de mercancias o con fines publicitarios, etc; para el transporte de pasajeros y para otros fines, incluso remolques para el transporte combinado por ferrocarril y carreteras</t>
  </si>
  <si>
    <t>Fabricacion de carrocerias para vehiculos automotores; fabricacion de remolques y semirremolques, incluye la fabricacion de contenedores (incluso contenedores para el transporte de fluidos), ensamble y la instalacion de carrocerias blindadas para  vehiculos  automotores;  carrocerias  para  remolques  y  semirremolques, metalicas, de madera, plastico y/o combinaciones de estos u otros materiales</t>
  </si>
  <si>
    <t>Fabricacion de motocicletas, incluye la fabricacion de motocicletas, velocipedos con motor auxiliar</t>
  </si>
  <si>
    <t>Fabricacion de bicicletas y de sillas de ruedas para personas con discapacidad, incluye la fabricacion de bicicletas, triciclos, sillas de ruedas motorizada o no, velocipedos equipados con una o mas ruedas, bicicletas con sidecar, bicicletas biplaza, de carrera o deportivas y para niños</t>
  </si>
  <si>
    <t>Fabricacion de bicicletas y de sillas de ruedas para personas con discapacidad, incluye fabricacion de partes y piezas de bicicletas  y de sillas de ruedas para personas con discapacidad</t>
  </si>
  <si>
    <t>Fabricacion de otros tipos de equipo de transporte ncp, incluye, la fabricacion de  vehiculos  no  clasificados  en  otra  parte,  a  saber:  vehiculos  de  propulsion manual: carritos para equipaje, trineos, carritos para supermercados, vehiculos de traccion animal: calesas, calesines, carrozas funebres y similares</t>
  </si>
  <si>
    <t>Fabricacion  de  muebles,  incluye  la  fabricacion  mecanizada  de  muebles  y gabinetes  utilizados  en  el  hogar,  oficinas,  restaurantes,  locales  comerciales, teatros, colegios y centros de enseñanza, iglesias, hoteles, entre otros destinos diferentes a los medios de transporte y mobiliario especializado para equipos medicos,  odontologicos  y  de  laboratorio;  ademas,  que  esten  elaborados  en cualquier material (madera, mimbre, bambu, metal, plastico, cuero, vidrio, etc, o combinacion de estos, excepto piedra, hormigon y ceramica)</t>
  </si>
  <si>
    <t>Fabricacion de colchones y somieres, incluye la fabricacion de colchones con muelles, rellenos o guarnecidos de caucho o plastico, la fabricacion de somieres y de bases para colchones.</t>
  </si>
  <si>
    <t>Fabricacion  de  joyas,  bisuteria y  articulos  conexos,  incluye  la  produccion  de piedras preciosas y semi preciosas cortadas y talladas (pulidas), la fabricacion de articulos de joyeria y orfebreria</t>
  </si>
  <si>
    <t>Fabricacion de joyas, bisuteria y articulos conexos, incluye fabricacion de articulos de uso tecnico y de laboratorio elaborados con metales preciosos.</t>
  </si>
  <si>
    <t>Fabricacion  de  joyas,  bisuteria  y  articulos  conexos,  incluye  fabricacion  de pulseras, objetos personales de metales preciosos y no preciosos, articulos de bisuteria</t>
  </si>
  <si>
    <t>Fabricacion de instrumentos musicales, incluye la fabricacion de instrumentos de cuerda incluso los electricos y electronicos, instrumentos de cuerda provistos o no de teclado incluso pianos automaticos (pianolas), teclado, percusion tales como tambores,  xilofonos,  castañuelas,  entre  otros;  viento  elaborados  en  metal, madera, caña, entre otros; sonido; silbatos, cornetas y otros instrumentos sonoros de boca para llamado o señalizacion;  y otros, incluidas la fabricacion de partes, piezas y accesorios de instrumentos, incluidos los metronomos, los diapasones de percusion y de boca, las tarjetas, los discos y los rollos para instrumentos mecanicos automaticos, entre otros</t>
  </si>
  <si>
    <t>Fabricacion de instrumentos musicales, incluye la fabricacion de instrumentos musicales cuyo sonido se produce, se amplifica y/o sintetiza electronicamente</t>
  </si>
  <si>
    <t>Fabricacion de instrumentos musicales, incluye la fabricacion de cajas de musica, organillos,  organos  de  vapor,  acordeones  e  instrumentos  similares,  incluso armonicas, campanas, pajaros cantores mecanicos, sierras musicales, organos de tubo (mecanicos, de cañones, de lengüeta, manuales, callejeros y organillos electronicos) y de teclado, incluso armonios e instrumentos de teclado similares con lengüetas metalicas libres y otros accesorios de instrumentos musicales como lo  son  las  boquillas,  atriles,  palillos  para  tocar  bateria,  entre  otros  y  otros instrumentos no clasificados en otra parte</t>
  </si>
  <si>
    <t>Fabricacion  de  juegos,  juguetes  y  rompecabezas,  incluye  la  fabricacion  de muñecas, juegos y juguetes, modelos a escala y vehiculos para niños (excepto bicicletas y triciclos de metal) Fabricacion de calzado de muñecos, fabricacion de juguetes tales como canicas, cometas, manualidades incluso juegos de imitacion cientifica  Fabricacion  de  instrumentos  musicales  de  juguete,  fabricacion  de muñecos de peluche y trapo</t>
  </si>
  <si>
    <t>Fabricacion de juegos, juguetes y rompecabezas, incluye la fabricacion de juegos electronicos,  juegos  accionados  por  monedas,  instrumentos  musicales  de juguete, juegos de tablero, mesas de billar, mesas especiales para juegos de casino, fabricacion de juegos electronicos con software</t>
  </si>
  <si>
    <t>Fabricacion  de  juegos,  juguetes  y  rompecabezas,  incluye  la  fabricacion  de modelos  a  escala  reducida  y  modelos  recreativos  similares,  rompecabezas, pasatiempos</t>
  </si>
  <si>
    <t>Fabricacion  de  instrumentos,  aparatos  y  materiales  medicos  y  odontologicos (incluido   mobiliario),   incluye   la   fabricacion   de   aparatos   de   laboratorio, instrumentos quirurgicos, medicos, aparatos y suministros quirurgicos, equipo, material e instrumental odontologico, instrumentos medicos y dentales electricos de uso manual</t>
  </si>
  <si>
    <t>Fabricacion  de  instrumentos,  aparatos  y  materiales  medicos  y  odontologicos (incluido mobiliario), incluye la fabricacion de mantas, almohadillas con esponjas y  paños  de  algodon  quirurgicos,  sabanilla  e  hilos  y  gasas  esteriles  de  uso quirurgico,  maquinaria  de  limpieza  por  ultrasonidos  para  laboratorio  y  de esterilizadores  medicoquirurgicos  y  de  laboratorio;  tambien  la  fabricacion  de aparatos de destilacion y centrifugadoras para laboratorio</t>
  </si>
  <si>
    <t>Fabricacion  de  instrumentos,  aparatos  y  materiales  medicos  y  odontologicos (incluido  mobiliario),  incluye  la  fabricacion  de  empastes  y  cementos  dentales (excepto   pegamento   para   dentaduras   postizas),   ceras   dentales   y   otras preparaciones de uso odontologico; instrumentos de odontologia; hornos para laboratorio dental; cementos para la reconstruccion de huesos y la fabricacion de dientes  postizos,  puentes,  entre  otros,  hechos  por  encargo  en  laboratorios dentales,  incluso  las  amalgamas  y  las  resinas  de  uso  dental;  tambien  las articulaciones artificiales y otras partes artificiales del cuerpo humano Se incluyen las actividades de laboratorios de mecanica dental</t>
  </si>
  <si>
    <t>Fabricacion  de  instrumentos,  aparatos  y  materiales  medicos  y  odontologicos (incluido mobiliario), incluye la fabricacion de muebles para medicina, cirugia, odontologia  y  veterinaria  tales  como,  mesas  de  operaciones  (mesas  de reconocimiento  para  usos  clinicos),  camillas  para  examen  medico  y  con mecanismos  para  el  transporte  de  los  enfermos,  camas  de  hospital  con dispositivos  mecanicos  y  sillas  de  odontologia  con  funciones  hidraulicas incorporadas</t>
  </si>
  <si>
    <t>Fabricacion  de  instrumentos,  aparatos  y  materiales  medicos  y  odontologicos (incluido mobiliario), incluye la fabricacion de placas y tornillos para fijar huesos, jeringas,  agujas,  cateteres,  canulas,  entre  otros;  ojos  de  cristal  o  vidrio, termometros de uso medico</t>
  </si>
  <si>
    <t>Fabricacion  de  instrumentos,  aparatos  y  materiales  medicos  y  odontologicos (incluido mobiliario), incluye la fabricacion de productos oftalmologicos, anteojos, lentes de sol, lentes graduados a prescripcion, lentes de contacto y gafas de seguridad o proteccion</t>
  </si>
  <si>
    <t>Fabricacion  de  instrumentos,  aparatos  y  materiales  medicos  y  odontologicos (incluido mobiliario), incluye la fabricacion de aparatos para masajes que trabajan generalmente  por  friccion,  vibracion,  entre  otros,  incluyendo  aquellos  de  uso domestico  o  personal,  aparatos  de  mecanoterapia  para  el  tratamiento  de enfermedades de las articulaciones o de los musculos, excepto los que se usan principalmente en gimnasios; aparatos para pruebas psicotecnicas; aparatos de ozonoterapia utilizados para el tratamiento de afecciones de las vias respiratorias; aparatos de oxigenoterapia y respiracion artificial: aparatos mecanicos que actuan por compresion toracica; por inhalacion de oxigeno o de una mezcla de oxigeno y  anhidrido  carbonico  mediante  mascaras;  los  aparatos  llamados  pulmon  de acero</t>
  </si>
  <si>
    <t>Fabricacion  de  instrumentos,  aparatos  y  materiales  medicos  y  odontologicos (incluido mobiliario), incluye la fabricacion de aparatos ortesicos y protesicos, incluso bastones y muletas, fajas y bragueros quirurgicos (para hernias inguinales, y umbilicales), corses y fajas medicoquirurgicas, cuyo diseño responde a una funcion ortesica determinada; zapatos ortopedicos; ferulas y otros articulos y materiales para fracturas; aparatos respiratorios que son utilizados principalmente por los aviadores, los buceadores, los alpinistas o los bomberos Pueden ser autonomos, es decir, estar alimentados por una botella de oxigeno o de aire comprimido portatil, o estar alimentados por un tubo unido a una fuente de aire comprimido exterior, compresor, deposito, etc, o incluso simplemente unidos a la atmosfera,  en  determinados  aparatos  diseñados  para  alimentarlos  a  corta distancia</t>
  </si>
  <si>
    <t>Otras industrias manufactureras ncp, incluye la fabricacion de botones, broches y botones de presion y cremalleras; que no sean de metales preciosos ni de piedras preciosas y semipreciosas de maniquies, paraguas, sombrillas de jardin o playa; de bastones; de brochas, almohadillas, rodillos para pintar; de velas, cirios  y  articulos  similares,  fabricacion  de  plumines  (puntas  de  boligrafos), estilografos,    rapidografos,    boligrafos,    estilografos,    lapices,    portaminas, marcadores,  crayones, tiza, marcadores con punta de fieltro y punta suave, sus partes y sus estuches, entre otros, sean o no mecanicos; incluso la fabricacion de pinceles, rodillos y articulos similares; la fabricacion de equipo de proteccion y de seguridad;  fabricacion de ropa resistente al fuego (ignifuga) y otras prendas de proteccion que no sean de asbesto y fabricacion de articulos de fiestas y de carnavales;    fabricacion  de  cinturones  de  seguridad  para  instaladores  y reparadores de lineas telefonicas y de electricidad y otros cinturones para uso industrial; fabricacion de flotadores (salvavidas) de corcho;  fabricacion de cascos de  plastico  endurecido  y  otro  equipo  de  seguridad  personal  de  plastico; fabricacion de trajes protectores para bomberos; fabricacion de cascos de metal y otro equipo de seguridad personal de metal;  fabricacion de tapones para los oidos  y  la  nariz  (Por  ejemplo,  para  natacion  y  para  proteccion  del  ruido); fabricacion de mascaras antigas que permiten respirar en medios viciados por el polvo, emanaciones toxicas, humo y vapores</t>
  </si>
  <si>
    <t>Otras industrias manufactureras ncp, incluye la fabricacion de articulos de uso personal  como  pipas,  vaporizadores  de  perfumes,  termos  y  otros  recipientes hermeticos, sellos para fechar (sellos metalicos), aparatos manuales para imprimir y  estampar,  cintas  con  tinta  para  maquinas  de  escribir,  impresoras  de computadora, cajas registradoras, entre otras y almohadillas de tinta para sellos La fabricacion de mascaras antigas que permiten respirar en medios viciados por el  polvo,  emanaciones  toxicas,  humo  y  vapores  Se  incluyen  las  de  uso profesional, como aquellas diseñadas para proteccion en caso de guerra, siempre y cuando el aire respirable proceda directamente del exterior y pase por un organo filtrante que absorbe los gases nocivos y retiene el polvo</t>
  </si>
  <si>
    <t>Otras  industrias  manufactureras  ncp,  incluye  la  fabricacion  de  articulos  de plumas o plumones; arreglos artificiales de ramos de flores, coronas y canastas florales, flores, frutas y plantas; juegos de chasco o broma y de fantasia; cedazos y cribas manuales; maniquies de sastre, ataudes metalicos o de madera y otros articulos no clasificados en otra parte; fabricacion de globos terraqueos</t>
  </si>
  <si>
    <t>Otras industrias manufactureras ncp, incluye la fabricacion de encendedores y mecheros, caminadores y cunas portatiles o portabebes</t>
  </si>
  <si>
    <t>Otras  industrias  manufactureras  ncp,  incluye  la  fabricacion  de  arboles  de navidad  artificiales  y  sus  adornos  (excepto  adornos  de  vidrio  y  electricos), articulos de fiestas y de carnavales como disfraces y accesorios, y otros articulos recreativos</t>
  </si>
  <si>
    <t>Mantenimiento y reparacion especializada de productos elaborados en metal, incluye  mantenimiento  y  reparacion  de  herramientas  mecanicas  simples  de medicion elaboradas en metal</t>
  </si>
  <si>
    <t>Mantenimiento y reparacion especializada de maquinaria y equipo, incluye talleres electromecanicos, mantenimiento y reparacion de maquinaria y equipo de uso industrial,  maquinaria  pesada  en  general,  acumuladores,  motores,  equipo  de refrigeracion</t>
  </si>
  <si>
    <t>Mantenimiento y reparacion especializado de equipo electronico y optico, incluye el mantenimiento y reparacion a cambio de una retribucion o por contrata de instrumentos y equipos opticos, tales como: binoculares, microscopios (excepto de electrones o protones), telescopios, prismas y lentes (excepto oftalmologicos) y equipo fotografico</t>
  </si>
  <si>
    <t>Mantenimiento y reparacion especializada de equipo electrico, incluye equipos de iluminacion,   maquinas   electricas   para   soldadura,   maquinas   de   limpieza ultrasonica, cables de fibra optica para la transmision de imagenes y aparatos de conmutacion</t>
  </si>
  <si>
    <t>Suministro de vapor y aire acondicionado, incluye la produccion, captacion y distribucion  de  vapor  y  agua  caliente  para  calefaccion,  aire  frio,  agua  fria, produccion de hielo</t>
  </si>
  <si>
    <t>Captacion, tratamiento y distribucion de agua, incluye la captacion, el tratamiento y la distribucion de agua para uso domestico e industrial, servicios de acueducto.</t>
  </si>
  <si>
    <t>Captacion, tratamiento y distribucion de agua, incluye operacion de canales de irrigacion, desalinizacion de agua de mar o agua subterranea, potabilizacion de agua para fines de distribucion de agua</t>
  </si>
  <si>
    <t>Recoleccion de desechos solidos no peligrosos (ej: basura) dentro de un area local, tales como recoleccion de desechos de los hogares y empresas por medio de canecas de basura, contenedores, etc; puede incluir materiales recuperables mezclados, materiales reciclables y desechos producidos por fabricas textiles La operacion de estaciones de transferencia de desechos no peligrosos</t>
  </si>
  <si>
    <t>Recoleccion de desechos solidos no peligrosos La recoleccion de basura de canecas  en  lugares  publicos  La  recoleccion  de  desechos  de  construccion  y demolicion La recoleccion y remocion de rastrojos, escombros, corte de cesped, poda y tala de arboles etc</t>
  </si>
  <si>
    <t>Tratamiento y disposicion de desechos no peligrosos, incluye el tratamiento previo a la disposicion, otras formas de tratamiento de desechos no peligrosos solidos o no solidos, disposicion de desechos, el tratamiento de desechos organicos para su disposicion, produccion de compost con desechos organicos.</t>
  </si>
  <si>
    <t>Recuperacion de materiales, incluye procesamiento de desechos no metalicos y otros  articulos  para  convertirlos  en  materias  primas  secundarias  Incluye  la recuperacion, separacion y clasificacion en categorias distintas de materiales recuperables mezclados, como: papel y carton, y de articulos de papel o carton, plasticos La separacion y clasificacion de materiales recuperables de corrientes de desechos no peligrosos (ej: basura)</t>
  </si>
  <si>
    <t>Instalaciones electricas, incluye Instalaciones y accesorios electricos, lineas de telecomunicaciones, redes informaticas y lineas de television por cable, antenas parabolicas, conexion de aparatos electricos y equipo domestico, sistemas de calefaccion radiante, instalaciones electricas en casa de habitacion y/o edificios.</t>
  </si>
  <si>
    <t>Instalaciones de fontaneria, calefaccion y aire acondicionado, incluye fontaneria y sanitario, Instalaciones de gas, instalacion de conductos, colectores de energia solar no electricos.</t>
  </si>
  <si>
    <t>Instalaciones  de  fontaneria,  calefaccion  y  aire  acondicionado,  incluye  la instalacion   de   equipos   y   conductos   de   ventilacion,   refrigeracion   o   aire acondicionado, su mantenimiento y reparacion Sistemas de riego por aspersion para el cesped</t>
  </si>
  <si>
    <t>Terminacion y acabado de edificios y obras de ingenieria civil, incluye la pintura y/o encerado de interiores de techos, paredes, pisos, la instalacion de muebles de cocina a la medida.</t>
  </si>
  <si>
    <t>Mantenimiento  y  reparacion  de  vehiculos  automotores,  incluye  centros  de diagnostico,  mantenimiento  y  reparacion  de  vehiculos  automotores  como automoviles,  camiones,  lanchas  y  similares  como  reparaciones  mecanicas, electricas, sistemas de inyeccion electronica, carroceria y tapiceria</t>
  </si>
  <si>
    <t>Comercio  de  partes,  piezas  (autopartes)  y  accesorios  (lujos)  para  vehiculos automotores, incluye el comercio al por mayor y al por menor de todo tipo de partes,  piezas  (autopartes),  llantas  y  neumaticos,  componentes,  suministros, herramientas y accesorios (lujos), nuevos o usados, para vehiculos automotores</t>
  </si>
  <si>
    <t>Comercio  al  por  mayor  a  cambio  de  una  retribucion  o  por  contrata,  incluye comercio al por mayor de materias primas agropecuarias y distribucion de leche con autotransporte</t>
  </si>
  <si>
    <t>Comercio al por mayor de combustibles solidos, liquidos, gaseosos y productos conexos, incluye comercio al por mayor de gasolina, diesel, aceite combustible, aceite  de  calefaccion  y  keroseno;  gases  del  petroleo  licuado,  butano  y  gas propano</t>
  </si>
  <si>
    <t>Comercio al por mayor de desperdicios, desechos y chatarra, incluye el comercio al por mayor (compra) de desperdicios y desechos de chatarra metalica y de materiales para reciclaje, incluidos la recogida, la clasificacion, la separacion y el desguace de productos usados, para obtener partes y piezas reutilizables (para la venta), el embalaje y reembalaje, el almacenamiento y la entrega</t>
  </si>
  <si>
    <t>Comercio al por menor de combustible para automotores, incluye el comercio al por  menor  de  carburantes,  (gasolina,  biocombustible,  ACPM,  gas  natural vehicular) para todo tipo de vehiculos automotores y embarcaciones, estaciones de gasolina y gas natural vehicular</t>
  </si>
  <si>
    <t>Comercio al por menor de articulos de ferreteria, pinturas y productos de vidrio en establecimientos  especializados,  incluye  solamente  venta  de  hierro,  sin  auto transporte</t>
  </si>
  <si>
    <t>Comercio  al  por  menor  de  otros  articulos  domesticos  en  establecimientos especializados,  incluye  el  comercio  al  por  menor  de  carbon  mineral,  carbon vegetal,  otros  combustibles  solidos  como  ciscos  y  liquidos  como:  kerosene, varsol, bencina, gas licuado del petroleo, envasado en bombonas de distribucion domiciliaria para su uso en cocina o en calefaccion, entre otros</t>
  </si>
  <si>
    <t>Transporte de carga por carretera, incluye solamente transporte  municipal de carga de articulos como, pan, leche que se recoge en las granjas, legumbres</t>
  </si>
  <si>
    <t>Almacenamiento  y  deposito,  incluye  camaras  frigorificas,  silos  de  granos  y almacenamiento y deposito de madera, carbon mineral y/o vegetal, depositos y distribucion de fosforo, almacenamiento zonas franca</t>
  </si>
  <si>
    <t>Manipulacion de carga, incluye la carga y descarga de mercancias y equipaje por estibadores,   coteros,   paletizadores,   excepto   cargue   y   descargue   de embarcaciones aereas, maritimas y/o fluviales</t>
  </si>
  <si>
    <t>Alojamiento en hoteles, incluye el servicio o prestacion de servicios de alojamiento en unidades constituidas por habitaciones, suministrado mediante contrato de hospedaje  dia  a  dia  o  de  hospedaje  temporal,  hostales;  incluye  hospedaje temporal en hoteles con salas de conferencias. Lo anterior siempre que incluya servicios de preparacion de alimentos.</t>
  </si>
  <si>
    <t>Expendio a la mesa de comidas preparadas, incluye la preparacion y el expendio de alimentos a la carta y/o menu del dia para su consumo inmediato, mediante el servicio  a  la  mesa  (restaurante)  Pueden  o  no  prestar  servicio  a  domicilio, suministrar bebidas alcoholicas o algun tipo de espectaculo</t>
  </si>
  <si>
    <t>Expendio por autoservicio de comidas preparadas, incluye la preparacion y el expendio de alimentos para el consumo inmediato, exclusiva o principalmente bajo la modalidad de autoservicio, en coches y comedores a bordo, pueden o no prestar  servicio  a  domicilio  y  por  lo  general  presentan  decoracion  altamente estandarizada</t>
  </si>
  <si>
    <t>Otros tipos de expendio de comidas preparadas ncp, incluyen la preparacion y el expendio para consumo inmediato desde vehiculos, puestos moviles, kioscos, fritanguerias; las actividades de las heladerias, establecimientos de coffee shop y fuentes de soda, entendidos como los establecimientos donde se sirven helados y bebidas de frutas naturales para el consumo inmediato</t>
  </si>
  <si>
    <t>Catering para eventos, incluye la provision de servicios de comida en banquetes, recepciones  de  empresas  (casas  de  banquetes),  bodas,  fiestas  y  otras celebraciones o reuniones</t>
  </si>
  <si>
    <t>Actividades de otros servicios de comidas, incluye catering industrial, la provision de servicios de comidas para un periodo de tiempo especifico, operacion de concesiones de alimentacion en instalaciones deportivas y similares, los servicios de alimentacion escolar, mediante la preparacion y distribucion de comidas in situ (en  el  lugar  donde  van  a  consumirse)  Operacion  de  casinos  o  cafeterias  y comedores universitarios al igual que de casinos y comedores para los miembros de las Fuerzas Armadas Restaurantes a bordo de buques de pasajeros y servicio de coche comedor</t>
  </si>
  <si>
    <t>Edicion de libros, incluye las actividades de edicion de libros en general, en formato impreso, electronico CD, pantalla electronica, entre otros, audio o en la internet.</t>
  </si>
  <si>
    <t>Edicion de directorios y listas de correo, incluye la edicion de bases de datos que estan protegidas en su forma, pero no en su contenido; la edicion de listas de correo   y   edicion   de   directorios   telefonicos;   compilaciones   tales   como jurisprudencia, compendios farmaceuticos o vademecums, entre otros</t>
  </si>
  <si>
    <t>Edicion de periodicos, revistas y otras publicaciones periodicas, incluye la edicion impresa o en formato electronico, incluso por internet, de publicaciones periodicas tales  como:  periodicos,  periodicos  de  anuncios  publicitarios,  periodicos  de contenido tecnico o general, tiras comicas, boletines informativos, entre otros; Edicion de revistas y otras publicaciones periodicas, entre ellas las academicas, agricolas, comerciales, financieras, juveniles, profesionales, religiosas, tecnicas, entre otras; Edicion de  guias de programacion de radio y television</t>
  </si>
  <si>
    <t>Otros  trabajos  de  edicion,  incluye  edicion  impresa  o  en  formato  electronico incluyendo  la  internet  de  catalogos  para  almacenes,  de  mercancia  y  de colecciones;  fotografias,  tarjetas  postales,  tarjetas  de  felicitacion,  horarios, formularios,  carteles,  afiches,  calendarios,  reproduccion  de  obras  de  arte, catalogos  de  obras  de  arte,  diseños  de  estampados  para  ropa,  material publicitario,  incluso  libretas  de  cupones  de  descuento,  otras  obras  impresas, edicion en linea de estadisticas y otros tipos de informacion; La edicion de diarios y agendas tematicas y cubiertas para globos terraqueos</t>
  </si>
  <si>
    <t>Actividades de grabacion de sonido y edicion de musica, se incluyen la produccion de  grabaciones  matrices  originales  de  musica  o  sonido,  tales  como  cintas magnetofonicas, discos compactos</t>
  </si>
  <si>
    <t>Actividades   de   telecomunicaciones   alambricas,   incluye   la   explotacion, mantenimiento o facilitacion del acceso a los servicios para la transmision de voz, datos,  texto,  sonido  y  video  utilizando  infraestructura  de  telecomunicaciones alambrica, servicios de telegrafia y telefonia</t>
  </si>
  <si>
    <t>Actividades   de   telecomunicaciones   alambricas,   incluye   la   explotacion   y mantenimiento de los sistemas de conmutacion y transmision, la explotacion de sistemas de distribucion por cable</t>
  </si>
  <si>
    <t>Actividades  de  telecomunicaciones  alambricas,  incluye  los  servicios  telefonia local y de larga distancia, suministro de servicios de telegrafos Se incluye la compra  de  derechos  de  acceso  de  la  capacidad  de  la  red  a  propietarios  y operadores de redes y utilizacion de esa capacidad para suministrar servicios de telecomunicaciones a empresas y hogares</t>
  </si>
  <si>
    <t>Actividades   de   telecomunicaciones,   inalambricas   incluye   la   explotacion, mantenimiento o facilitacion del acceso a servicios de transmision de voz, datos, texto, sonido y video utilizando infraestructura de telecomunicaciones inalambrica, mantenimiento  y  explotacion  de  redes  de  radio  busqueda  y  telefonia  movil, suministro  de  acceso  a  internet  por  el  operador  de  la  infraestructura  de telecomunicaciones inalambrica, el suministro de la capacidad completa para la comunicacion entre usuarios, incluidas las funciones del equipo terminal tales como los servicios de telefonia movil, los sistemas de radiomensajes o beeper y los sistemas de acceso troncalizado (Trunkig), los servicios de transmision omni-direccional  y  la  transmision  a  traves  de  ondas;  puede,  basarse  en  una  sola tecnologia o una combinacion de tecnologias</t>
  </si>
  <si>
    <t>Otras actividades de telecomunicaciones, incluye el suministro de aplicaciones especializadas  de  telecomunicaciones  tales  como  la  localizacion  por  satelite, telemetria de comunicaciones u operacion de sistemas de rastreo a cambio de una retribucion o por contrata, y utilizacion de estaciones de radar; la explotacion de las estaciones terminales de comunicaciones por satelite y las instalaciones asociadas   operacionalmente   conectadas   con   uno   o   mas   sistemas   de comunicaciones terrestres y capaces de  transmitir o recibir telecomunicaciones desde los sistemas satelitales, El suministro de servicios de telecomunicaciones por las conexiones de las telecomunicaciones existentes: Reventa de servicios telecomunicaciones (es decir, la compra y reventa de la capacidad de la red, sin prestacion   de   servicios   adicionales)   radio   busqueda,   la   transmision   de teleconferencias, Los servicios auxiliares de ayuda cuyo objetivo es la seguridad de la vida humana, la seguridad del Estado o razones de interes humanitario tales como  el  Servicio    movil  maritimo  y  Aeronautico;  servicios  especiales  de telecomunicaciones tales como el de Radioaficionados y de Banda Ciudadana; servicios de telecomunicaciones no incluidos en ninguna de las clases anteriores</t>
  </si>
  <si>
    <t>Actividades  de  arquitectura  e  ingenieria  y  otras  actividades  conexas  de consultoria   tecnica,   incluye   trabajo   de   campo   para   estudios   geofisicos, geologicos, topografia, y sismograficos, Los servicios geodesicos: actividades de agrimensura,   estudios   hidrologicos,   estudios   de   subsuelo,   actividades cartograficas y de informacion espacial</t>
  </si>
  <si>
    <t>Actividades  de  arquitectura  e  ingenieria  y  otras  actividades  conexas  de consultoria tecnica, incluye el diseño y arquitectura de jardines</t>
  </si>
  <si>
    <t>Investigaciones y desarrollo experimental en el campo de las ciencias naturales y la ingenieria, incluye investigacion en ciencias medicas, biotecnologia, ciencias agropecuarias, investigaciones para obtener nuevas variedades de semillas o modificar las existentes y desarrollo de productos farmaceuticos (incluidos los de biotecnologia)</t>
  </si>
  <si>
    <t>Investigaciones y desarrollo experimental en el campo de las ciencias sociales y las  humanidades,  incluye  en  ciencias  sociales:  en  derecho,  trabajo  social, economia,  psicologia  y  sociologia,  entre  otras;  en  humanidades  (lingüistica, idiomas,  arte,  antropologia,  geografia  e  historia,  entre  otras),  asi  como  la investigacion y el desarrollo interdisciplinario</t>
  </si>
  <si>
    <t>Actividades especializadas de diseño,  incluye  las actividades de diseñadores graficos, diseño industrial</t>
  </si>
  <si>
    <t>Alquiler y arrendamiento de equipo recreativo y deportivo, incluye el alquiler de equipo recreativo y deportivo, embarcaciones de recreo, botes, canoas, veleros, esquis y otros tipos de equipo de deportes.</t>
  </si>
  <si>
    <t>Actividades  de   agencias   de   empleo   temporal,   incluye   el   suministro   de trabajadores para las actividades de los clientes por periodos limitados con el fin de reemplazar a empleados o suplementar temporalmente su fuerza de trabajo, cuando el personal suministrado es empleado de las propias agencias de empleo temporal  Las  unidades  clasificadas  en  esta  clase  no  se  encargan  de  la supervision directa de sus empleados en los lugares de trabajo de los clientes</t>
  </si>
  <si>
    <t>Otras  actividades  de  suministro  de  recurso  humano,  incluye  suministro  de recursos humanos para las actividades de los clientes, la cual se realiza por lo general a largo plazo o en forma permanente,  y las unidades clasificadas en esta clase pueden desempeñar una amplia gama de funciones conexas de gestion de recursos  humanos,  Las  unidades  clasificadas  en  esta  clase  constituyen  los empleadores oficiales de los empleados en lo que respecta a la nomina, los impuestos y otros aspectos fiscales y de recursos humanos, pero no se encargan de la direccion ni de la supervision del trabajo de esos empleados</t>
  </si>
  <si>
    <t>Actividades  de  paisajismo  y  servicios  de  mantenimiento  conexos,  incluye  la plantacion, el cuidado y el mantenimiento de vegetacion para: Campos deportivos y  de  recreacion  (ej:  campos  de  futbol,  golf,  entre  otros),  parques  infantiles, praderas para tomar el sol y otros parques de recreo; edificios industriales y comerciales, campos deportivos y de recreacion, parques infantiles, praderas para tomar el sol y otros parques de recreo, mantenimiento de terrenos en buenas condiciones ecologicas</t>
  </si>
  <si>
    <t>Actividades  de  envase  y  empaque,  incluye  las  actividades  de  envasado  y empaquetado a cambio de una retribucion o por contrata, esten o no involucradas a  procesos  automatizados:  empaque  de  solidos  (tipo  burbuja,  cubierta  de aluminio, entre otros), embotellado de liquidos, bebidas y productos alimenticios, alimentos</t>
  </si>
  <si>
    <t>Otros tipos de educacion ncp, incluye actividades de enseñanza e instruccion especializada  como:  autoescuelas  (enseñanza  de  conduccion,  no  dirigida  a conductores profesionales), las escuelas de vuelo</t>
  </si>
  <si>
    <t>Actividades de hospitales y clinicas, con internacion, comprende las actividades que consisten principalmente en laboratorio clinico, endoscopia, patologia etc, cuando se prestan a pacientes internos La atencion de pacientes internos, que se  realiza  bajo  la  supervision  directa  de  medicos  y  abarca:  la  atencion odontologica   a   pacientes   internos   en   hospitales   cuando   se   presta   por profesionales vinculados a la institucion de internacion; el servicio de personal medico general y especializado y paramedico en: servicio de complementacion terapeutica:  rehabilitacion  (por  terapistas),  optometria,  psicologia,  nutricion, fonoaudiologia,  etc,  cuando  se  prestan  a  pacientes  internos;  servicios  de urgencias Servicios de quirofanos, servicios de farmacia, servicios de comida a pacientes  internos  y  otros  servicios  hospitalarios;  servicios  de  centros  de planificacion   familiar   que   proporcionan   tratamiento   medico   tales   como esterilizacion e interrupcion del embarazo, cuando se realizan con internacion</t>
  </si>
  <si>
    <t>Actividades de apoyo diagnostico, incluye las actividades relacionadas con la salud  humana,  realizadas  por  unidades  independientes  a  las  instituciones prestadoras de servicios de salud con internacion, de laboratorios de analisis de sangre, asi como laboratorios de medicina forense y Laboratorios de radiologia y otros centros de diagnosticos por imagen</t>
  </si>
  <si>
    <t>Actividades   de   apoyo   terapeutico,   incluye     actividades   de   enfermeros, fisioterapeutas, terapistas respiratorios, terapistas ocupacionales, fonoaudiologos u otro personal paramedico como enfermeros escolares, terapeutas dentales e higienistas dentales, que pueden atender pacientes sin la presencia del medico u odontologo, pero son supervisados periodicamente por estos; las actividades de personal  paramedico  especializado  en  optometria,  nutricion;  planeacion  y ejecucion  de  programas  de  tratamiento  terapeutico  remitido  por  el  personal medico u odontologico, para la rehabilitacion fisica y mental, realizada fuera de la actividad de los hospitales y clinicas con internacion, estas actividades pueden realizarse a pacientes externos o ambulatorios, en consultorios privados, centros medicos, puestos de salud, clinicas asociadas con empresas, escuelas, hogares para ancianos, organizaciones sindicales y asociaciones profesionales, asi como en el domicilio de los pacientes; terapia ocupacional, terapia de lenguaje</t>
  </si>
  <si>
    <t>Actividades de apoyo terapeutico, incluye los tratamientos de adelgazamiento y los masajes que se efectuan bajo control y supervision medica, masaje medicinal, podologia, homeopatia, quiropractica acupuntura; parteras; hidroterapia etc</t>
  </si>
  <si>
    <t>Actividades de espectaculos musicales en vivo, incluye la produccion para el publico en general de conciertos, para una o mas funciones, las actividades pueden ser realizadas por orquestas y bandas, pero tambien pueden consistir en funciones de musicos, autores, interpretes, entre otros; Las actividades conexas, como las de manejo de escenografia, telones de fondo, equipo de iluminacion y de sonido; La gestion de las salas de conciertos, teatro   y otras instalaciones similares;  Las  actividades  de   productores  o  empresarios  de  eventos  o espectaculos artisticos en vivo, aporten ellos o no, las instalaciones</t>
  </si>
  <si>
    <t>Otras actividades de espectaculos en vivo, incluye los espectaculos en vivo tales como: circos, titeres, pantomima, narracion y declamacion, entre otros.</t>
  </si>
  <si>
    <t>Actividades  de  jardines  botanicos  zoologicos  y  reservas  naturales,  incluye  el funcionamiento  de  jardines  botanicos,  cuyo  objetivo  principal  es  dedicarse  al cultivo,  la  preservacion  y  la  conservacion  de  plantas  con  fines  educativos  y cientificos;  el  funcionamiento  de  zoologicos;  el  funcionamiento  de  parques nacionales, reservas naturales, areas naturales unicas y santuarios de flora y fauna, incluida la preservacion de la flora y fauna silvestre, entre otras</t>
  </si>
  <si>
    <t>Gestion de instalaciones deportivas, incluye gestion de instalaciones para eventos deportivos, bajo techo o al aire libre (abierto, cerrado o cubierto, con o sin asientos para espectadores): canchas o estadios de futbol, hockey, cricket, beisbol, softball y canchas de fronton, entre otros; pistas de carreras para carros, perros, caballos de carreras, piscinas y estadios, estadios de atletismo, escenarios para deportes de  invierno;  cuadrilateros  de  boxeo,  campos  de  golf,  boleras,  gimnasios,  la organizacion y gestion de competencias deportivas al aire libre o bajo techo, con participacion   de   deportistas   profesionales   o   aficionados,   por   parte   de organizaciones con instalaciones propias; la gestion de esas instalaciones y la dotacion del personal necesario para su funcionamiento</t>
  </si>
  <si>
    <t>Actividades  de  clubes  deportivos,  incluye  clubes  deportivos  profesionales  de futbol, natacion, golf, atletismo, gimnasia, tenis, baloncesto beisbol etcetera</t>
  </si>
  <si>
    <t>Otras actividades deportivas, incluye las actividades de apoyo para la caza y la pesca deportiva o recreativa y caza controlada, establos de caballos de monta, la explotacion de establos de caballos de montar, incluidos los de carreras.</t>
  </si>
  <si>
    <t>Otras actividades deportivas, las actividades por cuenta propia de deportistas y atletas, arbitros, jueces, cronometradores, guias de montaña e instructores, entre otros</t>
  </si>
  <si>
    <t>Otras actividades deportivas, Las actividades de los productores o promotores de eventos deportivos, con o sin instalaciones; Incluye actividades de ligas deportivas y organos reguladores; Las actividades relacionadas con la promocion de eventos deportivos.</t>
  </si>
  <si>
    <t>Actividades  de  parques  de  atracciones  y  parques  tematicos,  incluye  las actividades  de  parques  de  atracciones  o  parques  tematicos:  incluido  el funcionamiento  de  una  variedad  de  atracciones,  tales  como:  atracciones mecanicas y acuaticas, juegos, espectaculos, exposiciones tematicas y sitios para picnic</t>
  </si>
  <si>
    <t>Otras actividades recreativas y de esparcimiento ncp, funcionamiento de ferias y   exposiciones   de   naturaleza   recreativa,   actividades   de   productores   o empresarios  de  espectaculos  en  vivo  distintos  de  los  artisticos  o  deportivos; actividades de parques recreativos y playas, eventos culturales y/o recreativos masivos; el funcionamiento de centros de esqui y otras actividades recreativas y de entretenimiento (excepto los parques de atracciones y parques tematicos) no clasificadas en otra parte</t>
  </si>
  <si>
    <t>Actividades de sindicatos de empleados incluye, la defensa de los intereses de los sindicatos y de sus afiliados; Las actividades de asociaciones cuyos miembros son empleados interesados principalmente en dar a conocer sus opiniones sobre la situacion laboral y salarial y ademas en tomar medidas concertadas a traves de la organizacion; las actividades de sindicatos de empresas, sindicatos de filiales, asociaciones  sindicales  integradas  por  sindicatos  afiliados  segun  criterios geograficos, estructurales o de otra indole</t>
  </si>
  <si>
    <t>Actividades de asociaciones politicas, incluye actividades de las organizaciones politicas y asociaciones auxiliares, como asociaciones juveniles vinculadas a un partido  politico  Estas  asociaciones  se  proponen  principalmente  influir  en  los procesos de adopcion de decisiones de los organos publicos, colocando a los miembros del partido, o aquellos que simpatizan con el, en cargos politicos; sus actividades involucran la difusion de informacion, las relaciones publicas y la recaudacion de fondos, entre otros</t>
  </si>
  <si>
    <t>Lavado y limpieza, incluso la limpieza en seco, de productos textiles y de piel, incluye el lavado y la limpieza, incluso la limpieza en seco de todo tipo de prendas de vestir y (incluidas las pieles), de productos textiles, que se realizan con equipo mecanico, a mano o por autoservicio que funciona con maquinas accionadas con monedas, para el publico en general o para clientes industriales y comerciales; La recogida y entrega de lavanderia; El lavado de alfombras y tapetes y la limpieza de cortinas y telones, se realicen en el local o en la residencia del cliente; El suministro  de  ropa  de  cama,  uniformes  de  trabajo  y  articulos  similares  de lavanderia;  Las reparaciones menores de alteracion de prendas de vestir y otros articulos textiles cuando se efectuan en conexion con la limpieza</t>
  </si>
  <si>
    <t>Pompas funebres y actividades relacionadas, se incluye la prestacion de servicios de sepultura y cremacion.</t>
  </si>
  <si>
    <t>Otras actividades de servicio ncp incluye, las actividades de trabajadores y trabajadoras sexuales</t>
  </si>
  <si>
    <t>Actividades  de  los  hogares  individuales  como  empleadores  de  personal domestico, incluye las actividades de los hogares como empleadores de personal domestico, tales como: conductores, El producto generado por esta actividad es consumido por el propio hogar empleador</t>
  </si>
  <si>
    <t>Actividades de organizaciones y entidades extraterritoriales, incluye  actividades de organizaciones internacionales o supranacionales, como las Naciones Unidas y sus organismos especializados, organos regionales, etc , el Fondo Monetario Internacional, el Banco Mundial, organismos humanitarios como la Cruz Roja Internacional y organos u organizaciones de America Latina, la Organizacion de Cooperacion y Desarrollo Economicos, la Organizacion de Paises Exportadores de Petroleo, la  Comunidad Europea y organos u organizaciones de America Latina, entre otros; actividades de misiones diplomaticas, embajadas y cuerpos consulares</t>
  </si>
  <si>
    <t>EMPRESAS DEDICADAAS A LA PRODUCCION ESPECIALIZADA DE CAÑA DE AZUCAR</t>
  </si>
  <si>
    <t>EMPRESAS DEDICADA A LA PRODUCCION DE ACEITE DE PALMA</t>
  </si>
  <si>
    <t>SILVICULTURA Y EXPLOTACION DE LA MADERA INCLUYE SOLAMENTE EMPRESAS DEDICADAS A LA TALA Y ASERRIO DE BOSQUES.</t>
  </si>
  <si>
    <t>PESCA HACE REFERENCIA A EMPRESAS DEDICADAS A LOS TABAJAOS DE PESCA</t>
  </si>
  <si>
    <t>EMPRESAS DEDICADAS A ACTIVIDADES DE SERVICIOS RELACIONADOS CON LA PESCA INCLUYE SOLAMENTE SERVICIOS DE REFRIGERACIÓN, SERVICIOS DE MONTACARGAS, GRUAS Y OTROS DESDE LOS BUQUES HASTA LA PLANTA DE PROCESAMIENTO</t>
  </si>
  <si>
    <t>EXTRACCION DE OTROS MINERALES METALIFEROS NO FERROSOS, EXCEPTO NIQUEL INCLUYE SOLAMENTE EMPRESAS DEDICADAS A LAS PLANTAS DE BENEFICIO O TRATAMIENTO DE MINERALES METÁLICOS</t>
  </si>
  <si>
    <t>EXTRACCION DE OTROS MINERALES NO METALICOS NCP INCLUYE SOLAMENTE EMPRESAS DEDICADAS A LAS PLANTAS DE BENEFICIO O TRATAMIENTO DE MINERALES NO METALICOS</t>
  </si>
  <si>
    <t>PRODUCCION, TRANSFORMACION Y CONSERVACION DE CARNE Y DE DERIVADOS CARNICOS INCLUYE SOLAMENTE EMPRESAS DEDICADAS A LA ELABORACIÓN DE ACEITES Y GRASAS DE ORIGEN ANIMAL</t>
  </si>
  <si>
    <t>EMPRESAS DEDICADAS A LA ELABORACION DE ACEITES Y GRASAS DE ORIGEN ANIMAL O VEGETAL INCLUYE SOLAMENTE LA FABRICACIÓN DE MANTECAS VEGETALES</t>
  </si>
  <si>
    <t>ELABORACION DE OTROS DERIVADOS DEL CAFÉ INCLUYE SOLAMENTEA EMPRESAS DEDICADAS A LIOFILIZACIÓN</t>
  </si>
  <si>
    <t>EMPRESAS DEDICADAS A LA FABRICACIÓN Y REFINACION DE AZUCAR INCLUYE SOLAMENTE EMPRESAS DEDICADAS A LOS INGENIEROS AZUCAREROS</t>
  </si>
  <si>
    <t>DESTILACION, RECTIFICACION Y MEZCLA DE BEBIDAS ALCOHOLICAS; PRODUCCION DE ALCOHOL ETILICO A PARTIR DE SUSTANCIAS FERMENTADAS INCLUYE SOLAMENTE LA FABRICACIÓN Y/O EMBOTELLADO DE ALCOHOLES, BEBIDAS ALCOHOLICAS, VINOS, AGUARDIENTE Y/O LICORES</t>
  </si>
  <si>
    <t>PRODUCCION DE MALTA , ELABORACION DE CERVEZA. INCLUYE SOLAMENTE EMPRESAS DEDICADAS A LA FABRICACIÓN Y/O EMBOTELLADO DE CERVEZA.</t>
  </si>
  <si>
    <t>PREPARACION DE FIBRAS ANIMALES Y VEGETALES Y/O ARTIFICIALES Y SUS SUBPRODUCTOS INCLUYE SOLAMENTE EMPRESAS DEDICADAS A LA FABRICACIÓN DE ESTOPA, BARA Y SIMILARES, EN ENCERADO O EMBREADO DE TELAS, HILOS</t>
  </si>
  <si>
    <t>ACABADO DE PRODUCTOS TEXTILES NO PRODUCIDOS EN LA MISMA UNIDAD DE PRODUCCION INCLUYE SOLAMENTE EMPRESAS DEDICADAS A LA FABRICACIÓN DE ESTAMPADOS Y TROQUELADOS</t>
  </si>
  <si>
    <t>EMPRESAS DEDICADAS A LA FABRICACIÓN DE OTROS ARTICULOS TEXTILES NCP INCLUYE SOLAMENTE FABRICACIÓN DE FIELTRO</t>
  </si>
  <si>
    <t>PREPARADO Y TEÑIDO DE PIELES; LA FABRICACIÓN DE ARTICULOS DE PIEL INCLUYE SOLAMENTE EMPRESAS DEDICADAS A LAS CURTIEMBRES DE PIELES</t>
  </si>
  <si>
    <t>CURTIDO Y PREPARADO DE CUEROS INCLUYE EMPRESAS DEDICADAS A LAS TENERÍAS, CURTIDURÍAS</t>
  </si>
  <si>
    <t>EMPRESAS DEDICADAS A LA FABRICACIÓN DE HOJAS DE MADERA PARA ENCHAPADO; , LA FABRICACIÓN DE TABLEROS CONTRACHAPADOS, TABLEROS LAMINADOS, TABLEROS DE PARTICULAS Y OTROS TABLEROS Y PANELES INCLUYE SOLAMENTE EMPRESAS DEDICADAS A LA FABRICACIÓN DE MADERAS TERCIADAS , TRIPLEX</t>
  </si>
  <si>
    <t>EMPRESAS DEDICADAS A LA FABRICACIÓN DE PAPEL, CARTON Y PRODUCTOS DE PAPEL Y CARTON</t>
  </si>
  <si>
    <t>FABRICACIÓN DE PAPEL Y CARTÓN ONDULADO, INCLUYE SOLAMNETE EMPRESAS DEDICADAS A LA FABRICACIÓN DE ENVASES, EMPAQUES Y DE EMBALAJES DE PAPEL Y CARTON</t>
  </si>
  <si>
    <t>EMPRESAS DEDICADAS A LA FABRICACIÓN DE OTROS ARTICULOS DE PAPEL Y CARTON INCLUYE SOLAMENTE EMPRESAS DEDICADAS A PAPEL HIGIENICO, SERVILLETAS, TOALLAS, SERVILLETAS, TOALLAS HIGIENICAS, PAÑUELOS, PLATOS Y OTROS ARTÍCULOS DESECHABLES.</t>
  </si>
  <si>
    <t>EMPRESAS DEDICADAS A LA FABRICACIÓN DE IMPRESIÓN POR CONTRATA INCLUYE SOLAMENTE EMPRESAS DEDICADAS A LA FABRICACIÓN DE ARTÍCULOS ESTAMPADOS EN PAPEL, LIBROS, REVISTAS, PERIODICOS, FORMAS CONTINUAS, TALONARIOS, SELLOS POSTALES, PAPEL MONEDA, TARJETAS DE CREDITO, DEBITO, BONOS, TITULOS , CHEQUES.</t>
  </si>
  <si>
    <t>OTROS SERVICIOS CONEXOS NCP, INCLUYE SOLAMENTE EMPRESAS DEDICADAS A SERVICIOS DE TROQUELADO, LA INSTALACION DE AVISOS</t>
  </si>
  <si>
    <t>EMPRESAS DEDICADAS A LA ELABORACION DE PRODUCTOS DERIVADOS DEL PETROLEO, FUERA DE REFINERIA COMO ASFALTO</t>
  </si>
  <si>
    <t>EMPRESAS DEDICADAS A LA FABRICACIÓN DE SUSTANCIAS QUIMICAS BASICAS, EXCEPTO ABONOS Y COMPUESTOS INORGANICOS NITROGENADOS INCLUYE SOLAMENTE EMPRESAS DEDICADAS A LA FABRICACIÓN DE OXIGENO, GAS CARBONICO, ACETILENO Y SIMILARES, FABRICACIÓN DE HIELO SECO, FABRICACIÓN DE ACEITES PARA USO INDUSTRIAL</t>
  </si>
  <si>
    <t>EMPRESAS DEDICADAS A LA FABRICACIÓN DE ABONOS Y COMPUESTOS INORGANICOS NITROGENADOS INCLUYE SOLAMENTE EMPRESAS DEDICADAS A LA FABRICACIÓN DE FERTILIZANTES SINTETICOS</t>
  </si>
  <si>
    <t>EMPRESAS DEDICADAS A LA FABRICACIÓN DE PINTURAS, BARNICES Y REVESTIMIENTOS SIMILARES, INCLUYE SOLAMENTE EMPRESAS DEDICADAS A LA FABRICACIÓN TINTAS PARA IMPRENTA</t>
  </si>
  <si>
    <t>EMPRESAS DEDICADAS A LA FABRICACIÓN DE OTROS PRODUCTOS QUIMICOS NCP INCLUYE SOLAMENTE EMPRESAS DEDICADAS A LA FABRICACIÓN DE FOSFOROS Y CERILLAS, FABRICACIÓN DE MATERIALES PARA ACABADO TEXTIL, PARA MEJORAR LAS PROPIEDADES DEL PAPEL, FABRICACIÓN DE REACTIVOS DE LABORATORIO, FABRICACIÓN DE PRODUCTOS PARA TRATAMIENTO DE AGUAS, FABRICACIÓN DE PRODUCTOS FOTOQUÍMICOS, FABRICACIÓN DE ADITIVOS PARA ACEITES LUBRICANTES, LÍQUIDO PARA FRENOS HIDRAULICOS</t>
  </si>
  <si>
    <t>EMPRESAS DEDICADAS A LA FABRICACIÓN DE LLANTAS Y NEUMATICOS DE CAUCHO</t>
  </si>
  <si>
    <t>REENCAUCHE DE LLANTAS USADAS INCLUYE SOLAMENTE EMPRESAS DEDICADAS A LOS TRABAJOS DE VULCANIZACIÓN</t>
  </si>
  <si>
    <t>EMPRESAS DEDICADAS A LA FABRICACIÓN DE FORMAS BASICAS DE CAUCHO INCLUYE SOLAMENTE EMPRESAS DEDICADAS A LA FABRICACIÓN DE PLANCHAS, LAMINAS, VARILLAS, BARRAS, MANGUERAS Y TUBOS COMO MATERIA PRIMA EN LA INDUSTRIA DEL CAUCHO.</t>
  </si>
  <si>
    <t>EMPRESAS DEDICADAS A LA FABRICACIÓN DE OTROS PRODUCTOS DE CAUCHO NCP INCLUYE SOLAMENTE EMPRESAS DEDICADAS A LA FABRICACIÓN DE HULE</t>
  </si>
  <si>
    <t>EMPRESAS DEDICADAS A LA FABRICACIÓN DE VIDRIO Y DE PRODUCTOS DE VIDRIO INCLUYE SOLAMENTE EMPRESAS DEDICADAS A LA FABRICACIÓN Y/O GRABADO DE ARTICULOS EN VIDRIO, LA FABRICACIÓN DE EMPLOMADOS , VITRALES</t>
  </si>
  <si>
    <t>EMPRESAS DEDICADAS A LA FABRICACIÓN DE PRODUCTOS DE CERAMICA NO REFRACTARIA, PARA USO NO ESTRUCTURAL INCLUYE SOLAMENTE EMPRESAS DEDICADAS A LA FABRICACIÓN DE LOZA, ARTÍCULOS PARA SANITARIOS</t>
  </si>
  <si>
    <t>EMPRESAS DEDICADAS A LA FABRICACIÓN DE PRODUCTOS DE CERAMICA REFRACTARIA INCLUYE SOLAMENTE EMPRESAS DEDICADAS A LA FABRICACIÓN DE ARTICULOS REFRACTARIOS</t>
  </si>
  <si>
    <t>EMPRESAS DEDICADAS A LA FABRICACIÓN DE PRODUCTOS DE ARCILLA Y CERAMICA NO REFRACTARIAS, PARA USO ESTRUCTURAL INCLUYE SOLAMENTE EMPRESAS DEDICADAS A LA FABRICACIÓN DE FABRICACIÓN DE GRANITO ARTIFICIAL, AZULEJOS, MOSAICOS, FABRICACIÓN DE LADRILLOS, TEJAS, TUBOS (CON PROCESO DE HORNEADO)</t>
  </si>
  <si>
    <t>EMPRESAS DEDICADAS A LA FABRICACIÓN DE ARTICULOS DE HORMIGON, CEMENTO Y YESO</t>
  </si>
  <si>
    <t>EMPRESAS DEDICADAS A LA FABRICACIÓN DE OTROS PRODUCTOS MINERALES NO METALICOS NCP HACE REFERENCIA A EMPRESAS DEDICADAS A LA FABRICACIÓN DE PRODUCTOS ALFALTICOS, ASFALTO</t>
  </si>
  <si>
    <t>INDUSTRIAS BASICAS DE OTROS METALES NO FERROSOS INCLUYE SOLAMENTE EMPRESAS DEDICADAS A LA FABRICACIÓN DE HOJAS DELGADAS, HOJAS, PLANCHAS O TIRAS, BARRAS, VARILLAS O PERFILES, ALAMBRE DE TUBOS Y ACCESORIOS, CABLES SIN MATERIAL AISLANTE</t>
  </si>
  <si>
    <t>FORJA, PRENSADO, ESTAMPADO Y LAMINADO DE METAL; PULVIMETALURGIA INCLUYE SOALMENTE EMPRESAS DEDICADAS A LAS PLANTAS DE MEZCLADO DE CEMENTO CON AUTOTRANSPORTE</t>
  </si>
  <si>
    <t>TRATAMIENTO Y REVESTIMIENTO DE METALES; TRABAJOS DE INGENIERIA MECANICA EN GENERAL REALIZADOS A CAMBIO DE UNA RETRIBUCION O POR CONTRATA INCLUYE SOLAMENTE EMPRESAS DEDICADAS A TRABAJOS EXCLUSIVOS EN GALVANIZACIÓN, NIQUELADO, CROMADO, COBRIZADO Y/O METALIZACIÓN</t>
  </si>
  <si>
    <t>EMPRESAS DEDICADAS A LA FABRICACIÓN DE ARTICULOS DE CUCHILLERIA, HERRAMIENTAS DE MANO Y ARTICULOS DE FERRETERIA INCLUYE SOLAMENTEA LA FABRICACIÓN DE CUCHILLAS, CUCHILLERÍA EN GENERAL , CUCHARAS, NAVAJAS, HOJAS PARA RASURAR, FABRICACIÓN DE HERRAMIENTAS Y HERRAJES</t>
  </si>
  <si>
    <t>EMPRESAS DEDICADAS A LA FABRICACIÓN DE OTROS PRODUCTOS ELABORADOS DE METAL NCP INCLUYE SOLAMENTE LA FABRICACIÓN DE ALAMBRADO, TELAS METÁLICAS Y/O ARTÍCULOS DE ALAMBRE, CLAVOS, TUERCAS, TORNILLOS, RESORTES, BISAGRAS, MUELLES Y SIMILARES, FABRICACIÓN MECANIZADA DE ENVASES DE HOJALATAS, FABRICACIÓN DE TIPOS PARA IMPRENTA, FABRICACIÓN DE SABLES, BAYONETAS Y ARMAS SIMILARTES</t>
  </si>
  <si>
    <t>EMPRESAS DEDICADAS A LA FABRICACIÓN DE MOTORES Y TURBINAS, EXCEPTO MOTORES PARA AERONAVES, VEHICULOS AUTOMOTORES Y MOTOCICLETAS</t>
  </si>
  <si>
    <t>EMPRESAS DEDICADAS A LA FABRICACIÓN DE HORNOS, HOGARES Y QUEMADORES INDUSTRIALES</t>
  </si>
  <si>
    <t>EMPRESAS DEDICADAS A LA FABRICACIÓN DE MAQUINARIA PARA LA ELABORACION DE ALIMENTOS, BEBIDAS Y TABACO</t>
  </si>
  <si>
    <t>EMPRESAS DEDICADAS A LA FABRICACIÓN DE OTROS TIPOS DE MAQUINARIA DE USO ESPECIAL NCP INCLUYE SOLAMENTE LA FABRICACIÓN DE MÁQUINAS Y EQUIPOS PARA ELABORACIÓN DE CAUCHO O PLÁSTICO Y PARA LA FABRICACIÓN DE PRODUCTOS DE ESOS MATERIALES TALES COMO EXTRUSORAS O MOLDEADORAS FABRICACIÓN DE MAQUINARIAS PARA PRODUCIR BALDOSA, LADRILLOS, CERAMICAS, FABRICACIÓN DE MÁQUINAS PARA MONTAR LAMPARAS, TUBOS O BOMBILLAS ELECTRICAS O ELECTRONICAS EN AMPOLLAS DE VIDRIO, MÁQUINAS PARA PRODUCIR O TRABAJQAR EN CALIENTE EN CALIENTE, FABRICACIÓN DE MÁQUINAS SECADORAS PARA USO INDUSTRIAL</t>
  </si>
  <si>
    <t>EMPRESAS DEDICADAS A LA FABRICACIÓN DE MAQUINARIA DE OFICINA, CONTABILIDAD E INFORMATICA INCLUYE SOLAMENTE EMPRESAS DEDICADAS A EQUIPO DE REPRODUCCIÓN PARA OFICINAS, FABRICACIÓN DE MÁQUINAS QUE CLASIFICAN, EMPAQUETAN O CUENTAN MONEDAS, EXPENDERORAS AUTOMATICAS DE BILLETES, CAJEROS AUTOMATICOS.</t>
  </si>
  <si>
    <t>EMPRESAS DEDICADAS A LA FABRICACIÓN DE HILO Y CABLES AISLADOS INCLUYE SOLAMENTE LA FABRICACIÓN DE CABLES DE FIBRA OPTICA RECUBIERTA, FABRICACIÓN DE CABLES E HILOS DE METAL AISLADOS APTOS PARA CONDUCIR LA ELECTRICIDAD INCLUIDOS LOS NOAXIALES</t>
  </si>
  <si>
    <t>EMPRESAS DEDICADAS A LA FABRICACIÓN DE ACUMULADORES Y DE PILAS ELECTRICAS</t>
  </si>
  <si>
    <t>EMPRESAS DEDICADAS A LA FABRICACIÓN DE LAMPARAS ELECTRICAS Y EQUIPO DE ILUMINACION INCLUYE SOLAMENTE LA FABRICACIÓN DE AVISOS LUMINOSOS</t>
  </si>
  <si>
    <t>EMPRESAS DEDICADAS A LA FABRICACIÓN DE VEHICULOS AUTOMOTORES Y SUS MOTORES</t>
  </si>
  <si>
    <t>EMPRESAS DEDICADAS A LA FABRICACIÓN DE AERONAVES Y DE NAVES ESPACIALES INCLUYE SOLAMENTE EMPRESAS DEDICADAS A LA FABRICACIÓN DE TURBOREACTORES, TURBOHÉLICES Y SUS PARTES Y PIEZAS</t>
  </si>
  <si>
    <t>EMPRESAS DEDICADAS A LA FABRICACIÓN DE MOTOCICLETAS INCLUYE LA RECONSTRUCCIÓN</t>
  </si>
  <si>
    <t>EMPRESAS DEDICADAS A LA FABRICACIÓN DE JOYAS Y DE ARTICULOS CONEXOS INCLUYE SOLAMENTE EMPRESAS DEDICADAS A LA MONEDA DE CURSO LEGAL, MEDALLAS Y MEDALLONES</t>
  </si>
  <si>
    <t>OTRAS INDUSTRIAS MANUFACTURERAS NCP INCLUYE SOLAMENTE LA FABRICACIÓN DE ARTÍCULOS DE CELULOIDE</t>
  </si>
  <si>
    <t>GENERACION, CAPTACION Y DISTRIBUCION DE ENERGIA ELECTRICA INCLUYE SOLAMENTE EMPRESAS DE SERVICIOS DE GENERACIÓN Y/O DISTRIBUCIÓN DE ENERGÍA</t>
  </si>
  <si>
    <t>EMPRESAS DEDICADAS A LA FABRICACIÓN DE GAS; DISTRIBUCION DE COMBUSTIBLES GASEOSOS POR TUBERIAS INCLUYE SOLAMENTE EMPRESAS DEDICADAS A EL ENVASADO Y/O DISTRIBUCIÓN DE GASES PARA USO DOMÉSTICO Y/O INDUSTRIAL</t>
  </si>
  <si>
    <t>CONSTRUCCION DE EDIFICACIONES PARA USO RESIDENCIAL INCLUYE SOLAMENTE EMPRESAS DEDICADAS A LA FABRICACIÓN, COLOCACIÓN DE TECHOS IMPERMEABLES</t>
  </si>
  <si>
    <t>CONSTRUCCION DE OBRAS DE INGENIERIA CIVIL INCLUYE SOLAMENTE EMPRESAS DEDICADAS A LOS SERVICIOS DE DRAGADO</t>
  </si>
  <si>
    <t>TRABAJOS DE ELECTRICIDAD INCLUYE SOLAMENTE EMPRESAS DEDICADAS A LOS TRABAJOS ESPECIALIZADOS DE INSTALACIÓN DE ALUMBRADO Y SEÑALIZACIÓN ELECTRICA DE CARRETERAS Y LOS TRABAJO DE INSTALACIÓN DE CENTRALES DE ENERGÍA, TRANSFORMADORES, SISTEMAS DE ALARMA.</t>
  </si>
  <si>
    <t>TRABAJOS DE INSTALACION DE EQUIPOS INCLUYE SOLAMENTE LA INSTALACIÓN DE SISTEMAS DE AIRE ACONDICIONADO, VENTILACIÓN</t>
  </si>
  <si>
    <t>OTROS TRABAJOS DE ACONDICIONAMIENTO INCLUYE SOLAMENTE EMPRESAS DEDICADAS A INSTALACIONES DE APARATOS DE GAS NATURAL, AIRE SECO Y CALIENTE, INSTALACIÓN DE PERSIANAS.</t>
  </si>
  <si>
    <t>ALQUILER DE EQUIPO PARA CONSTRUCCION Y DEMOLICION DOTADO DE OPERARIOS</t>
  </si>
  <si>
    <t>MANTENIMIENTO Y REPARACION DE VEHICULOS AUTOMOTORES INCLUYE SOLAMENTE EMPRESAS DEDICADAS A SERVICIOS DE EMERGENCIAS PARA VEHÍCULOS DE MOTOR, GRUAS, MONTALLANTAS</t>
  </si>
  <si>
    <t>EMPRESAS DEDICADAS AL COMERCIO AL POR MAYOR A CAMBIO DE UNA RETRIBUCION O POR CONTRATA DE PRODUCTOS MANUFACTURADOS INCLUYE SOLAMENTE EMPRESAS DEDICADAS AL COMERCIO AL POR MAYOR DE PRODUCTOS QUÍMICOS EXCEPTO LOS MUTAGENICOS, TERATOGENICOS Y CANCERIGENOS.</t>
  </si>
  <si>
    <t>EMPRESAS DEDICADAS AL COMERCIO AL POR MAYOR DE MATERIALES DE CONSTRUCCION, FERRETERIA Y VIDRIOINCLUYE SOLAMENTE LA VENTA DE MATERIALES PARA CONSTRUCCIÓN CON AUTOTRANSPORTE</t>
  </si>
  <si>
    <t>EMPRESAS DEDICADAS AL COMERCIO AL POR MAYOR DE PRODUCTOS QUIMICOS BASICOS, PLASTICOS Y CAUCHO EN FORMAS PRIMARIAS Y PRODUCTOS QUIMICOS DE USO AGROPECUARIO INCLUYE SOLAMENTE EMPRESAS DEDICADAS A EL ENVASADO O REENVASADO Y/O VENTA DE SUSTANCIAS QUÍMICOS PELIGROSOS</t>
  </si>
  <si>
    <t>MANTENIMIENTO Y REPARACION DE MAQUINARIA Y EQUIPO INCLUYE SOLAMENTE EMPRESAS DEDICADAS A LA INSTALACIÓN Y/O REPARACIÓN DE ELEVADORES</t>
  </si>
  <si>
    <t>EMPRESAS DEDICADAS AL COMERCIO AL POR MENOR DE PRODUCTOS DIVERSOS NCP, EN ESTABLECIMIENTOS ESPECIALIZADOS INCLUYE SOLAMENTEEMPRESAS DEDICADAS AL COMERCIO AL POR MENOR DE SUSTANCIAS QUÍMICAS PELIGROSAS ENVASADO O REENVASADO</t>
  </si>
  <si>
    <t>EMPRESAS DEDICADAS AL COMERCIO AL POR MENOR DE ARTICULOS DE FERRETERIA, CERRAJERIA Y PRODUCTOS DE VIDRIO, EXCEPTO PINTURAS EN ESTABLECIMIENTOS ESPECIALIZADOSINCLUYE SOLAMENTE EMPRESAS DEDICADAS AL COMERCIO AL POR MENOR DE VENTA DE MATERIALES PARA CONSTRUCCIÓN CON AUTOTRANSPORTE</t>
  </si>
  <si>
    <t>EMPRESAS DEDICADAS AL TRANSPORTE POR VIA FERREA</t>
  </si>
  <si>
    <t>EMPRESAS DEDICADAS AL TRANSPORTE URBANO COLECTIVO REGULAR DE PASAJEROS</t>
  </si>
  <si>
    <t>EMPRESAS DEDICADAS AL TRANSPORTE INTERMUNICIPAL COLECTIVO REGULAR DE PASAJEROS</t>
  </si>
  <si>
    <t>EMPRESAS DEDICADAS AL TRANSPORTE INTERNACIONAL COLECTIVO REGULAR DE PASAJEROS</t>
  </si>
  <si>
    <t>EMPRESAS DEDICADAS AL TRANSPORTE NO REGULAR INDIVIDUAL DE PASAJEROS</t>
  </si>
  <si>
    <t>EMPRESAS DEDICADAS AL TRANSPORTE COLECTIVO NO REGULAR DE PASAJEROS</t>
  </si>
  <si>
    <t>EMPRESAS DEDICADAS A OTROS TIPOS DE TRANSPORTE NO REGULAR DE PASAJEROS NCP</t>
  </si>
  <si>
    <t>EMPRESAS DEDICADAS A TRANSPORTE MUNICIPAL DE CARGA POR CARRETERA</t>
  </si>
  <si>
    <t>EMPRESA DEDICADAS ALTRANSPORTE INTERMUNICIPAL DE CARGA POR CARRETERA</t>
  </si>
  <si>
    <t>EMPRESAS DEDICADAS AL TRANSPORTE INTERNACIONAL DE CARGA POR CARRETERA</t>
  </si>
  <si>
    <t>EMPRESAS DEDICADAS AL ALQUILER DE VEHICULOS DE CARGA CON CONDUCTOR</t>
  </si>
  <si>
    <t>EMPRESAS DEDICADAS AL TRANSPORTE MARITIMO INTERNACIONAL</t>
  </si>
  <si>
    <t>EMPRESAS DEDICADAS AL TRANSPORTE MARITIMO DE CABOTAJE</t>
  </si>
  <si>
    <t>EMPRESAS DEDICADAS ALTRANSPORTE FLUVIAL</t>
  </si>
  <si>
    <t>TRANSPORTE REGULAR NACIONAL DE PASAJEROS, POR VIA AEREA INCLUYE SOLAMENTE EMPRESAS DEDICADAS A LAS EMPRESAS DE TRANSPORTES AEREOS DE PASAJEROS DE MERCANCIAS EXCEPTO PERSONAL DE OFICINAS</t>
  </si>
  <si>
    <t>EMPRESAS DEDICADAS ALTRANSPORTE REGULAR NACIONAL DE CARGA, POR VIA AEREA E</t>
  </si>
  <si>
    <t>EMPRESAS DEDICADAS AL TRANSPORTE REGULAR INTERNACIONAL DE PASAJEROS, POR VIA AEREA</t>
  </si>
  <si>
    <t>EMPRESAS DEDICADAS AL TRANSPORTE REGULAR INTERNACIONAL DE CARGA, POR VIA AEREA</t>
  </si>
  <si>
    <t>EMPRESA DEDICADA AL TRANSPORTE NO REGULAR POR VIA AEREA</t>
  </si>
  <si>
    <t>EMPRESAS DEDICADAS A ACTIVIDADES DE ESTACIONES DE TRANSPORTE TERRESTRE INCLUYE SOLAMENTE EMPRESAS DEDICADAS A LOS SERVICIOS DE PEAJES</t>
  </si>
  <si>
    <t>OTRAS EMPRESAS DEDICADAS A ACTIVIDADES COMPLEMENTARIAS DEL TRANSPORTE INCLUYE SOLAMENTE LOS SERVICIOS DE AGENTES DE TRANSITO URBANO</t>
  </si>
  <si>
    <t>EMPRESAS DEDICADAS A ACTIVIDADES DE OTRAS AGENCIAS DE TRANSPORTE INCLUYE SOLAMENTE EMPRESAS DEDICADAS A LAS AGENCIAS DE MUDANZAS Y TRASTEOS</t>
  </si>
  <si>
    <t>EMPRESAS DEDICADAS A ACTIVIDADES POSTALES NACIONALES INCLUYE SOLAMENTE LOS SERVICIOS DE CORREOS, MENSAJERIA, TRAMITES Y SIMILARES</t>
  </si>
  <si>
    <t>EMPRESAS DEDICADAS A ACTIVIDADES DE CORREO DISTINTAS DE LAS EMPRESAS DEDICADAS A ACTIVIDADES POSTALES NACIONALES INCLUYE SOLAMENTE EMPRESAS DEDICADAS A CORREOS, MENSAJERÍA, TRÁMITES Y SIMILARES</t>
  </si>
  <si>
    <t>EMPRESAS DEDICADAS AL ALQUILER DE EQUIPO DE TRANSPORTE TERRESTRE</t>
  </si>
  <si>
    <t>ALQUILER DE EQUIPO DE TRANSPORTE ACUATICO</t>
  </si>
  <si>
    <t>EMPRESAS DEDICADAS AL ALQUILER DE EQUIPO DE TRANSPORTE AEREO</t>
  </si>
  <si>
    <t>EMPRESASD DEDICADAS AL ALQUILER DE MAQUINARIA Y EQUIPO AGROPECUARIO</t>
  </si>
  <si>
    <t>EMPRESAS DEDICADAS A ACTIVIDADES DE INVESTIGACION Y SEGURIDAD INCLUYE SOLAMENTE SERVICIOS DE VIGILANCIA PRIVADA</t>
  </si>
  <si>
    <t>EMPRESAS DEDICADAS A ACTIVIDADES DE LIMPIEZA DE EDIFICIOS INCLUYE SOLAMENTE EMPRESAS DEDICADAS A LOS SERVICIOS DE DESINFECCIÓN Y FUMIGACIÓN</t>
  </si>
  <si>
    <t>EMPRESAS DEDICADAS A ACTIVIDADES DE FOTOGRAFIA INCLUYE SOLAMENTE LA AEROFOTOGRAFIA</t>
  </si>
  <si>
    <t>EMPRESAS DEDICADAS A ACTIVIDADES DE ENVASE Y EMPAQUE INCLUYE SOLAMENTE ENVASE Y REENVASADO DE SUSTANCIAS QUÍMICAS PELIGROSAS</t>
  </si>
  <si>
    <t>ELIMINACION DE DESPERDICIOS Y AGUAS RESIDUALES, SANEAMIENTO Y ACTIVIDADES SIMILARES. INCLUYE SOLAMENTE LAS PLANTAS DE TRATAMIENTO DE AGUAS NEGRAS</t>
  </si>
  <si>
    <t>EMPRESAS DEDICADAS A ACTIVIDADES DE AGENCIAS DE NOTICIAS</t>
  </si>
  <si>
    <t>POMPAS FUNEBRES Y EMPRESAS DEDICADAS A ACTIVIDADES CONEXAS INCLUYE SOLAMENTE LA TAXIDERMIA</t>
  </si>
  <si>
    <t>Cultivo de caña de azucar, incluye el cultivo de caña de azucar.</t>
  </si>
  <si>
    <t>Actividades de apoyo a la agricultura, incluye suministro o alquiler de maquinaria agricola con operadores y personal.</t>
  </si>
  <si>
    <t>Pesca maritima, incluye la pesca comercial de altura y costera, la extraccion de crustaceos y moluscos marinos, animales acuaticos marinos: tortugas, ascidias y otros tunicados, erizos de mar, etcetera; la recoleccion de otros organismos y materiales marinos: perlas naturales, esponjas, corales y algas.</t>
  </si>
  <si>
    <t>Pesca maritima, incluye la pesca comercial de altura y costera, la captura de ballenas,  las  actividades  de  buques  dedicados  a  la  vez  a  la  pesca  y  a  la elaboracion y conservacion de pescado</t>
  </si>
  <si>
    <t>Pesca de agua dulce, incluye la pesca comercial en aguas interiores, la extraccion de crustaceos y moluscos y animales acuaticos de agua dulce</t>
  </si>
  <si>
    <t>Pesca de agua dulce, incluye La recoleccion de materiales de agua dulce.</t>
  </si>
  <si>
    <t>Extraccion de otros minerales metaliferos no ferrosos ncp, incluye plantas de beneficio o tratamiento de minerales metalicos</t>
  </si>
  <si>
    <t>Extraccion de otros minerales no metalicos n.c.p., incluye las plantas de beneficio o tratamiento de minerales no metalicos.</t>
  </si>
  <si>
    <t>Procesamiento  y  conservacion  de  carne  y  productos  carnicos,  incluye  el funcionamiento de plantas de beneficio que realizan actividades de sacrificio de animales, tales como: res, cerdo, aves, oveja, cabra, conejo y otros animales</t>
  </si>
  <si>
    <t>Procesamiento  y  conservacion  de  carne  y  productos  carnicos,  incluye  la extraccion de manteca de cerdo y otras grasas comestibles de origen animal, derivadas de estas actividades</t>
  </si>
  <si>
    <t>Procesamiento  y  convservacion  de  carne  y  productos  carnicos,  incluye  la produccion de pieles y cueros en verde, procedentes de las plantas de beneficio animal, incluidas pieles depiladas</t>
  </si>
  <si>
    <t>Elaboracion de aceites y grasas de origen vegetal y animal, incluye elaboracion de aceites vegetales crudos: aceite de oliva, aceite de soja, aceite de palma, aceite de girasol, aceite de maiz y similares</t>
  </si>
  <si>
    <t>Elaboracion de aceites y grasas de origen vegetal y animal, incluye la elaboracion de aceites vegetales refinados: aceite de oliva, aceite de soya, etcetera.</t>
  </si>
  <si>
    <t>Elaboracion de aceites y grasas de origen vegetal y animal, incluye la elaboracion de margarina, grasas mixtas para cocinar.</t>
  </si>
  <si>
    <t>Elaboracion de aceites y grasas de origen vegetal y animal, incluye  la elaboracion de aceites y grasas de origen animal</t>
  </si>
  <si>
    <t>Elaboracion de aceites y grasas de origen vegetal y animal, incluye  la extraccion de aceites  de pescado  y  de mamiferos marinos, La produccion de borra de algodon, tortas y otros productos residuales de la elaboracion de aceite</t>
  </si>
  <si>
    <t>Otros  derivados  del  cafe,  incluye  la  elaboracion  de  otros  productos  de  cafe (descafeinado o no): extractos y concentrados de cafe, cafe soluble o instantaneo y cafe liofilizado</t>
  </si>
  <si>
    <t>Elaboracion y refinacion de azucar, incluye la elaboracion o refinacion de azucar (sacarosa) a partir de la caña,  remolacha azucarera, arce y palma, entre otros</t>
  </si>
  <si>
    <t>Elaboracion  y  refinacion  de  azucar,  incluye  la  elaboracion  o  refinacion  de sucedaneos  de  azucar,  jarabes,  melazas,  a  partir  de  la  caña,  remolacha azucarera, arce y palma, entre otros</t>
  </si>
  <si>
    <t>Destilacion, rectificacion y mezcla de bebidas alcoholicas, incluye la produccion o elaboracion y/o embotellado y etiquetado de alcoholes y de bebidas alcoholicas destiladas como whisky, aguardientes, vinos, mezclas y/o licores.</t>
  </si>
  <si>
    <t>Produccion de malta, elaboracion de cervezas y otras bebidas malteadas, incluye la elaboracion de maltas y cervezas de fermentacion alta, negras y fuertes y de baja graduacion o sin alcohol.</t>
  </si>
  <si>
    <t>Produccion de malta, elaboracion de cervezas y otras bebidas malteadas, incluye el embotellado y etiquetado de bebidas malteadas, siempre y cuando se realice en la misma unidad de produccion.</t>
  </si>
  <si>
    <t>Preparacion  e  hilatura  de  fibras  textiles,  incluye  la  fabricacion  a  partir  de filamentos, estopas, fibras discontinuas o hilos, la hilatura y fabricacion de hilados e hilos constituidos por distintos tipos de materiales textiles (incluso mezclas), para tejeduria y costura, para la venta al por menor o al por mayor, y para el procesamiento posterior (no integrada al proceso de obtencion de fibras)</t>
  </si>
  <si>
    <t>Preparacion e hilatura de fibras textiles, incluye la fabricacion hilados de papel y de hilados a base de fibras discontinuas artificiales.</t>
  </si>
  <si>
    <t>Tejeduria de productos textiles, incluye la fabricacion de hilos y tejidos anchos de todo tipo de materiales textiles: algodon, lana, seda, lino, ramio, cañamo, yute, fibras blandas e hilaturas especiales, incluidos los tejidos planos, fabricados a partir de mezclas o de hilaturas artificiales o sinteticas.</t>
  </si>
  <si>
    <t>Tejeduria de productos textiles, incluye las operaciones de acabado de productos textiles, mediante procesos tales como blanqueo, teñido, calandrado, perchado y sanforizado, cuando estas se realizan en la misma unidad donde se realiza la tejeduria de dichos productos.</t>
  </si>
  <si>
    <t>Tejeduria de productos textiles, incluye la fabricacion de tejidos aterciopelados y de felpilla, tejidos de rizo para toallas, gasa, esponja, entre otros.</t>
  </si>
  <si>
    <t>Tejeduria  de  productos  textiles,  incluye  la  fabricacion  de  tejidos  de  hilados sinteticos de alta tenacidad de nailon o demas poliamidas o de poliester, de tejidos e hilos que imitan pieles finas, tejidos de hilos de carbono y de aramid (fibra sintetica)</t>
  </si>
  <si>
    <t>Acabado de productos textiles, incluye la fabricacion de estampados y troquelados textiles.</t>
  </si>
  <si>
    <t xml:space="preserve">Fabricacion  de  otros  articulos  textiles  ncp,  incluye  la  fabricacion  de  fieltro, incluso fieltros impregnados, bañados, recubiertos o laminados y otros textiles no tejidos,  incluso  aquellos  en  que  el  plastico  o  el  caucho  son  las  sustancias adhesivas pero no la principal materia prima constitutiva; </t>
  </si>
  <si>
    <t>Fabricacion de otros articulos textiles ncp, incluye la fabricacion de hilados metalizados e hilados entorchados; hilos y  cuerdas de caucho  revestidos de materias textiles; hilados y bandas textiles recubiertos; impregnados, bañados o forrados con caucho o materias plasticas; fabricacion de tejidos impregnados, bañados, recubiertos o laminados con plastico; fabricacion de tejidos de hilados manufacturados de gran resistencia para cuerdas o lonas para llantas</t>
  </si>
  <si>
    <t>Fabricacion de otros articulos textiles n.c.p., incluye fabricacion de tejidos de hilados de gran resistencia, otros tejidos tratados o bañados: papel tela; lienzos preparados para pintores, bocaci y tejidos endurecidos similares, tejidos bañados con goma o sustancias amilaceas.</t>
  </si>
  <si>
    <t>Fabricacion de otros articulos textiles ncp, incluye la fabricacion de articulos textiles diversos: mechas de materiales textiles, camisas para mecheros de gas incandescentes  y  tejidos  tubulares  para  su  fabricacion,  mangueras,  correas transportadoras  y  de  transmision  (esten  o  no  reforzados  con  metal  u  otros materiales), y otros productos y articulos textiles para uso tecnico, tales como la tela para tamices, tela de filtracion, tejidos y fieltros utilizados en la fabricacion de papel, y otros tejidos especiales</t>
  </si>
  <si>
    <t>Curtido y recurtido de cueros; recurtido y teñido de pieles, incluye las curtiembres o la produccion de cueros imputrescibles, descarnadura, adobados, curtido y recurtido, el curtido puede ser vegetal, mineral o quimico al cromo.</t>
  </si>
  <si>
    <t>Curtido y recurrido de cueros; recurtido y teñido de pieles, incluye el recurtido y teñido  de  pieles,  produccion  de  cueros  curtidos,  gamuzados,  regenerados, tenerias, curtidurias</t>
  </si>
  <si>
    <t>Aserrado, acepillado e impregnacion de la madera, incluye el aserrado de madera en bruto constituida por troncos y trozas y aserrado de trozas escuadradas y costeras para producir maderos, tala y aserrio de bosques.</t>
  </si>
  <si>
    <t>Fabricacion  de  hojas  de  madera  para  enchapado;  fabricacion  de  tableros contrachapados,  tableros  laminados,  tableros  de  particulas  y  otros  tableros, paneles, incluye produccion de madera aglomerada, de hojas de madera para enchapado, tableros contrachapados</t>
  </si>
  <si>
    <t>Fabricacion  de  hojas  de  madera  para  enchapado;  fabricacion  de  tableros contrachapados,  tableros  laminados,  tableros  de  particulas  y  otros  tableros, paneles, incluye fabricacion de madera laminada para enchapado y de madera compactada</t>
  </si>
  <si>
    <t>Fabricacion de pulpas (pastas) celulosicas; papel y carton, incluye la fabricacion de papel y carton, papel y carton sin revestir, papel periodico y de otros papeles para imprimir o escribir, papel kraft, rizado o plegado y semiquimico.</t>
  </si>
  <si>
    <t>Fabricacion de pulpas (pastas) celulosicas; papel y carton, incluye la fabricacion de pulpa (pasta) de madera, pasta a partir de borra (pelusa) de algodon y de otras materias   celulosicas   fibrosas   mediante   procesos   mecanicos,   quimicos   o semiquimicos, guata de celulosa y materiales de fibras de celulosa</t>
  </si>
  <si>
    <t>Fabricacion de pulpas (pastas) celulosicas; papel y carton, incluye la eliminacion de tinta y fabricacion de pasta a partir de desechos de papel o carton, trapos, bagazo, reelaboracion de pasta, papel y carton.</t>
  </si>
  <si>
    <t>Fabricacion de pulpas (pastas) celulosicas; papel y carton, incluye fabricacion de rollos continuos para papel higienico, papel facial, servilletas, pañuelos y papeles similares para aseo personal, papel y carton en rollos, sin revestir.</t>
  </si>
  <si>
    <t>Fabricacion de pulpas (pastas) celulosicas; papel y carton, incluye la fabricacion de  papeles  y  cartones  sulfurizados  (pergamino  vegetal),  impermeables,  para calcar o glaseados, transparentes o translucidos; de papel y carton multilaminar</t>
  </si>
  <si>
    <t>Fabricacion de pulpas (pastas) celulosicas; papel y carton, incluye la fabricacion de papel y carton revestidos, cuche, recubiertos o impregnados, papel crepe rizado o plegado; papeles y cartones compuestos, papel carbon o papel estencil Incluye papeles y cartones formados hoja por hoja</t>
  </si>
  <si>
    <t>Fabricacion de pulpas (pastas) celulosicas; papel y carton, incluye la fabricacion de laminados y laminas metalicas (aluminio), en el caso de los laminados sobre una base de papel o carton.</t>
  </si>
  <si>
    <t>Fabricacion de papel y carton ondulado (corrugado); fabricacion de envases, empaques y de embalajes de papel y carton, incluye la fabricacion de papel o carton ondulado, corrugado o acanalado.</t>
  </si>
  <si>
    <t>Fabricacion de otros articulos de papel y carton, incluye la fabricacion de papel higienico fraccionado, pañuelos, pañitos faciales, toallas, servilletas; fabricacion de guata de materiales textiles y los articulos de guata de materiales textiles como los tampones y toallas higienicas, pañales desechables y otros articulos similares y otros articulos similares de papel, carton o pasta moldeada para uso domestico, como por ejemplo, bandejas, platos y vasos</t>
  </si>
  <si>
    <t>Fabricacion de otros articulos de papel y carton, incluye la  fabricacion de otros articulos moldeados de papel, carton o pasta de papel como cajas para empacar huevos, canillas de bobinas, carretes, tubos, conos (para el enrollamiento de hilados, textiles o alambres), tapas, papel y carton de filtro, formas continuas para aparatos de grabacion automatica; papel en rollos o en hojas cuadrangulares o circulares; papel de carta u otros papeles utilizados para escribir o para graficos, cortados en distintos tamaños o formas, estampados o perforados para varios usos tales como los utilizados en los telares con mecanismos de Jacquard; papel engomado o adhesivo  en hojas, cintas o rollos (cinta de enmascarar); etiquetas en blanco e impresas</t>
  </si>
  <si>
    <t>Fabricacion de otros articulos de papel y carton, incluye la fabricacion de papel de colgadura y papeles similares, incluyendo papel de colgadura de material textil y recubierto de vinilo y papeles diafanos para vidrieras.</t>
  </si>
  <si>
    <t>Actividades  de  impresion,  incluye  la    impresion  y  fabricacion  de  articulos estampados en papel, libros, la impresion de publicaciones periodicas de revistas, folletos, periodicos, mapas, directorios telefonicos; La impresion de tarjetas con cinta magnetica o con circuito integrado (tarjetas inteligentes) utilizadas en tarjetas de credito, debito, para acceso a sitios restringidos, transporte masivo, tarjetas SIM y similares; sellos postales, timbres fiscales y papel moneda, formas para cheques y letras, bonos  y demas documentos de titulo  valor,  entre otros;  la impresion de materiales publicitarios tales como carteles y avisos litograficos, afiches,  catalogos  publicitarios,  almanaques  y  calendarios,  diarios  y  agendas tematicas, formularios comerciales, papel de correspondencia y otros materiales impresos;   la  impresion  de  tarjetas  para  tabulacion;  cuadernos  para  dibujo, cuadernos de ejercicios y similares</t>
  </si>
  <si>
    <t>Actividades de impresion, incluye la impresion litografica de envases, empaques y embalajes; la impresion en etiquetas o marbetes (por impresion litografica, fotograbado, flexografica, entre otros), realizada a cambio de una retribucion o por contrata.</t>
  </si>
  <si>
    <t>Actividades  de  impresion,  incluye  la  impresion  de  tarjetas  postales  y  juegos didacticos, cromos, estampas, naipes, calcomanias, etcetera</t>
  </si>
  <si>
    <t>Actividades de impresion, incluye la impresion directa sobre textiles y prendas de vestir por impresion serigrafica u otras tecnicas de impresion similares.</t>
  </si>
  <si>
    <t>Fabricacion de productos de la refinacion del petroleo, incluye la fabricacion de briquetas de petroleo; la fabricacion de briquetas de hulla (carbon de piedra) y lignito</t>
  </si>
  <si>
    <t>Fabricacion de productos de la refinacion del petroleo, incluye plantas de asfalto</t>
  </si>
  <si>
    <t>Fabricacion de sustancias y productos quimicos basicos, incluye la fabricacion sustancias organicas e inorganicas (excepto acido nitrico), alcohol etilico, agentes sinteticos, disolventes o diluyentes, agentes avivadores, fluorescentes o como luminoforos, aminas, amidas, nitrilos, acidos, sales organicas, metales alcalinos y alcalinoterreos, excepto los mutagenicos y teratogenicos</t>
  </si>
  <si>
    <t>Fabricacion de sustancias y productos quimicos basicos, incluye la fabricacion de alcohol  carburante  a  partir  de  caña  de  azucar,  cereales,  hortalizas,  raices, tuberculos o a partir de otra fuente vegetal, de alcohol etilico no desnaturalizado (potable), fabricacion de alcohol etilico desnaturalizado (impotable) de cualquier concentracion</t>
  </si>
  <si>
    <t>Fabricacion de sustancias y productos quimicos basicos, incluye la produccion de sustancias  y  productos  quimicos  mediante  procesos  biotecnologicos  y  la fabricacion de desinfectantes para el hogar, la industria y uso agropecuario</t>
  </si>
  <si>
    <t>Fabricacion de sustancias y productos quimicos basicos, incluye la fabricacion de gases  industriales,  gases  inorganicos  comprimidos,  gases  licuados  y  gases medicinales como oxigeno, nitrogeno y gases halogenos como el cloro y el fluor; gases refrigerantes producidos a partir de hidrocarburos como los freones; gas carbonico (hielo seco), aire liquido o comprimido, mezclas de estos gases con aplicaciones especificas y gases aislantes</t>
  </si>
  <si>
    <t>Fabricacion  de  abonos  y  compuestos  inorganicos  nitrogenados,  incluye  la produccion de abonos puros mezclados o compuestos: nitrogenados, fosfaticos y potasicos, elaborados mediante mezcla de minerales, sales y productos quimicos inorganicos, como los fosfatos (triamonico, de hierro, de magnesio)</t>
  </si>
  <si>
    <t>Fabricacion  de  abonos  y  compuestos  inorganicos  nitrogenados  ,  como  el amoniaco y derivados como cloruro de amonio, sulfatos y carbonatos de amonio; acido nitrico y sulfonitrico y sus sales como los nitratos y nitritos de potasio; La urea, fosfatos naturales crudos y sales de potasio naturales crudas, incluye la fabricacion de otros productos utilizados como fertilizantes;   La fabricacion de otros productos utilizados como fertilizantes; por ejemplo, los superfosfatos; La fabricacion  de  sustratos  hechos  principalmente  de  turba;  La  fabricacion  de sustratos hechos de mezclas de tierra natural, arena, arcilla y minerales</t>
  </si>
  <si>
    <t>Fabricacion de pinturas, barnices y revestimientos similares, tintas para impresion y  masillas,  incluye  la  fabricacion  de  pinturas,  barnices,  esmaltes  o  lacas; compuestos  para  calafatear  (rellenar  o  sellar),  o  preparados  similares  no refractarios para relleno como las masillas para pegar vidrios, para obturar grietas o fisuras diversas (excepto los pegantes y adhesivos generalmente a base de oxicloruros  de  zinc  y  magnesio,  a  base  de  azufre,  de  yeso  o  de  materiales plasticos y de caucho)</t>
  </si>
  <si>
    <t>Fabricacion de pinturas, barnices, esmaltes o lacas y revestimientos similares, tintas para impresion y masillas, incluye la fabricacion de masillas, disolventes y diluyentes organicos ncp que se utilizan para mejorar la viscosidad y facilitar la homogeneizacion de las pinturas y removedores de pinturas; La fabricacion de esmaltes vitrificables, barnices para vidriar, enlucidos ceramicos o preparados similares utilizados en la industria de la ceramica, los esmaltes y el vidrio Los esmaltes  y  barnices  se  refieren  a  mezclas  utilizadas  para  vitrificacion  de elementos ceramicos ya preparados, sin ningun tipo de pigmento</t>
  </si>
  <si>
    <t>Fabricacion de otros productos quimicos ncp, incluye la fabricacion de fosforos y cerillas, bengalas de señales, dispositivos para señalizacion y demas articulos similares como cohetes, de productos para tratamiento de aguas, de sustancias para  el  acabado  de  productos  textiles,  de  preparaciones  para  mejorar  las propiedades del papel, de reactivos compuestos para analisis de laboratorio, de preparados  quimicos  de  usos  fotograficos  y  preparaciones  para  destapar cañerias</t>
  </si>
  <si>
    <t>Fabricacion de otros productos quimicos n.c.p., incluye la extraccion y refinacion de aceites esenciales y resinoides, la fabricacion de aceites y grasas modificadas quimicamente.</t>
  </si>
  <si>
    <t>Fabricacion de otros productos quimicos ncp, incluye la fabricacion de productos para   el   acabado   del   cuero,   preparaciones   mordientes,   para   el   teñido, preparaciones ignifugas, fijadores del color</t>
  </si>
  <si>
    <t>Fabricacion de otros productos quimicos ncp, incluye la fabricacion de aditivos para    aceites    lubricantes:    antidesgaste,    antioxidantes,    antiespumantes, anticorrosivos,    antiherrumbre,    estabilizantes,    adherentes,    preparaciones plastificantes, etcetera, la fabricacion de liquidos para frenos hidraulicos</t>
  </si>
  <si>
    <t>Fabricacion  de  otros  productos  quimicos  ncp,  incluye  la  fabricacion  de catalizadores, intercambiadores ionicos, productos para el acabado del cuero como   ligantes,   aditivos  para   concreto,   impermeabilizantes,   estabilizantes, adherente,  antiincrustantes  para  calderas,  lubricantes,  constituidos  por  ceras emulsionantes resinosas</t>
  </si>
  <si>
    <t>Fabricacion de otros productos quimicos ncp, incluye la fabricacion de reactivos compuestos para  analisis quimico, diagnostico y analisis de laboratorio, para tratamiento  de  aguas  y  otros  productos  quimicos  de  uso  industrial,  usos fotograficos</t>
  </si>
  <si>
    <t>Fabricacion de otros productos quimicos ncp, incluye la produccion de biodiesel a partir del aceite refinado de palma africana o a partir de cualquier otra fuente vegetal</t>
  </si>
  <si>
    <t>Fabricacion de llantas y neumaticos de caucho, incluye la fabricacion de llantas y neumaticos de caucho para todo tipo de vehiculos, equipo o maquinaria movil, las llantas neumaticas y las llantas solidas o mullidas; la fabricacion de llantas para aeronaves, maquinas excavadoras, juguetes, muebles y para otros usos.</t>
  </si>
  <si>
    <t>Fabricacion de llantas y neumaticos de caucho, incluye la fabricacion de partes de llantas tales como bandas de rodamiento intercambiables y fajas de proteccion del neumatico; La fabricacion de tiras (perfiles sin vulcanizar) para el reencauche de llantas; La fabricacion de neumaticos (camara de aire) para llantas.</t>
  </si>
  <si>
    <t>Reencauche de llantas usadas, incluye el reencauche de llantas de caucho para todo tipo de vehiculos, aeronaves, equipo y maquinaria movil para uso agricola, industrial y minero; y la sustitucion de bandas de rodamiento para todo tipo de llantas usadas.</t>
  </si>
  <si>
    <t>Fabricacion de formas basicas de caucho y otros productos de caucho n.c.p., incluye la fabricacion de formas basicas tales como planchas, laminas, varillas, tiras, barras, mangueras de caucho, bandas transportadoras, correas, cintas de transmision, perfiles y tubos, la fabricacion de partes para calzado de caucho (tacones, suelas y otras partes de caucho para botas y zapatos) que son materia prima para la produccion de diferentes articulos de caucho.</t>
  </si>
  <si>
    <t>Fabricacion de formas basicas de caucho y otros productos de caucho, ncp, incluye  fabricacion  de   hule,   de  tejidos  textiles  impregnados,   revestidos, recubiertos o laminados con caucho, el encauchado de hilados y tejidos en los que este material es el componente principal</t>
  </si>
  <si>
    <t>Fabricacion de formas basicas de plastico, incluye la elaboracion del plastico en formas basicas tales como: monofilamentos (de dimension transversal mayor a 1 mm), planchas, laminas, barras, varillas, perfiles,  peliculas, hojas, tiras, tubos, mangueras,  formas  planas,  sean  autoadhesivas  o  no;     plastico  celular (espumado), cintas de señalizacion y detencion de seguridad de material plastico; bloques de forma geometrica regular incluso impresos, sin cortar o simplemente cortados de forma rectangular; La fabricacion de etiquetas de material plastico sin impresion, sean autoadhesivas o no</t>
  </si>
  <si>
    <t>Fabricacion de vidrio y productos de vidrio, incluye la fabricacion de vidrio de seguridad constituido por vidrio templado o laminado; incluidos los conformados para parabrisas, ventanas, etcetera; o formado por hojas encoladas; grabados en vidrios, restauracion de vitrales; emplomados, bloques de vidrio para pavimentar y de unidades aislantes de vidrio de capa multiple y la fabricacion de articulos de vidrio  obtenidos  por  prensado  o  moldeado  utilizados  en  la  construccion,  por ejemplo,  baldosas  de  vidrio;  recipientes  de  vidrio,  incluso  tapas,  tapones  y articulos de cierre; las bombas de vidrio para recipientes aislantes; articulos de vidrio  para  la  cocina  y  para  la  mesa,  por  ejemplo,  vasos  y  otros  articulos domesticos de vidrio o cristal</t>
  </si>
  <si>
    <t>Fabricacion de vidrio y productos de vidrio, incluye la fabricacion de vidrios para relojes y analogos; vidrio optico y piezas de vidrio optico sin trabajar opticamente; piezas  de  vidrio  utilizadas  en  bisuteria  entre  ellas  joyas  de  fantasia  como imitaciones de perlas finas y de coral; figuras y adornos de vidrio, grifos, llaves de paso, valvulas y artefactos similares de vidrio</t>
  </si>
  <si>
    <t>Fabricacion  de  productos  refractarios,  incluye  la  fabricacion  de  productos  de ceramica resistentes a elevadas temperaturas, por ejemplo, retortas, crisoles, muflas para la industria metalurgica y quimica, etc; ceramica para aislamiento termico o acustico mediante el moldeado y la cochura de tierras siliceas fosiles, es  decir,  rocas  formadas  por  restos  de  caparazones  de  infusorios  fosiles (diatomeas); articulos refractarios que contengan magnesita, dolomita o cromita</t>
  </si>
  <si>
    <t>Fabricacion  de  productos  refractarios,  incluye  la  fabricacion  de  morteros, hormigones y cementos refractarios constituidos por preparaciones de materiales especificos como dolomita, tierras especiales, etc, en proporciones definidas, mezclados con un aglomerante; utilizados posteriormente en el revestimiento interno de hornos y demas equipos sometidos a altas temperaturas; de ladrillos, bloques, losetas y otros articulos similares de ceramica refractaria</t>
  </si>
  <si>
    <t>Fabricacion de materiales de arcilla para la construccion,  incluye la fabricacion industrial  o  artesanal  de  materiales  de  ceramica  no  refractaria  para  la construccion, tales como: ladrillos, bloques para pisos, tejas, tubos de chimeneas etc; baldosas y losas para pavimentos, losetas, azulejos para la pared o para cañones de chimeneas, cubos de mosaico y productos de ceramica esmaltados o no; artefactos sanitarios de ceramica por ejemplo: lavabos, bañeras, bides, inodoros  y  demas  articulos  de  ceramica  para  uso  en  construccion;   tubos, conductos, canalones y accesorios para tuberias de ceramica; bloques para pisos de arcilla cocida</t>
  </si>
  <si>
    <t>Fabricacion de otros productos de ceramica y porcelana, incluye la fabricacion de vajillas y otros articulos utilizados con fines domesticos o de aseo, estatuillas, muebles de ceramica y otros articulos ornamentales de ceramica</t>
  </si>
  <si>
    <t>Fabricacion de otros productos de ceramica y porcelana, incluye a fabricacion de aparatos y utensilios de ceramica para laboratorio e industria quimica, industria general y agricultura, imanes ceramicos y de ferrita</t>
  </si>
  <si>
    <t>Fabricacion de otros productos de ceramica y porcelana, incluye articulos de porcelana, loza, piedra o arcilla o de alfareria comun: vasijas, tarros de ceramica y articulos similares.</t>
  </si>
  <si>
    <t>Fabricacion de otros productos de ceramica y porcelana, incluye la fabricacion de aisladores electricos  de ceramica, grifos, llaves de  paso, valvulas y articulos similares de materiales de ceramica</t>
  </si>
  <si>
    <t>Fabricacion de otros productos de ceramica y porcelana, incluye la fabricacion de productos de ceramica no refractaria diferentes a aquellos que se utilizan para uso estructural.</t>
  </si>
  <si>
    <t>Fabricacion de otros productos de ceramica y porcelana, incluye la fabricacion de productos de ceramica n.c.p.</t>
  </si>
  <si>
    <t>Fabricacion de articulos de hormigon, cemento y yeso, incluye la fabricacion de componentes estructurales prefabricados de cemento, yeso, hormigon o piedra artificial para obras de construccion o de ingenieria civil; materiales y articulos prefabricados  de  hormigon,  cemento,  yeso  o  piedra  artificial  utilizados  en  la construccion como losetas, losas, baldosas, ladrillos, planchas, laminas, tableros, tubos, postes, etc</t>
  </si>
  <si>
    <t>Fabricacion de articulos de hormigon, cemento y yeso, incluye la fabricacion de mezclas  preparadas  y  secas  para  la  elaboracion  de  hormigon  y  mortero constituidas por arena, piedra, sustancia aglomerante (cemento) y agua; morteros en polvo</t>
  </si>
  <si>
    <t>Fabricacion de articulos de hormigon, cemento y yeso, incluye la fabricacion de materiales de construccion compuestos de sustancias vegetales (lana de madera, paja, cañas, juncos), aglomeradas con cemento, yeso u otro aglutinante mineral</t>
  </si>
  <si>
    <t>Fabricacion de articulos de hormigon, cemento y yeso, incluye la fabricacion de otros  articulos  de  hormigon,  cemento  y  yeso  tales  como  estatuas,  muebles, bajorrelieves y altorrelieves, jarrones, macetas, etc; articulos de hormigon no refractario</t>
  </si>
  <si>
    <t>Fabricacion  de  otros  productos  minerales  no  metalicos  ncp,  incluye  la fabricacion de articulos de asfalto o de materiales similares como, por ejemplo, losas, losetas, ladrillos, adhesivos a base de asfalto, brea de alquitran de hulla, etc; productos de fibras de grafito y carbon  (excepto electrodos y productos para aplicaciones electricas); articulos elaborados con otras sustancias minerales no clasificadas en otra parte, incluso mica labrada y articulos de mica, de turba o de grafito (que no sean articulos electricos) o de otras sustancias minerales</t>
  </si>
  <si>
    <t>Industrias  basicas  de  otros  metales  no  ferrosos,  incluye  la  fabricacion  de productos de metales comunes no ferrosos mediante laminado, trefilado, estirado o extrusion, tales como: hojas, planchas, tiras, barras, varillas, perfiles, alambres, tubos, tuberias y  accesorios  para tubos o tuberias,   la  obtencion de polvos, granulos y escamas de metales no ferrosos a partir de estos procesos; produccion de aleaciones de metales comunes como: aluminio, plomo, cinc, estaño, cobre, cromo, manganeso, niquel etc; semiproductos de metales comunes</t>
  </si>
  <si>
    <t>Industrias basicas de otros metales no ferrosos, incluye la fabricacion de papel aluminio   a   partir   de   laminas   de   aluminio   como   componente   primario; contrachapados de hojas delgadas en donde predomine el aluminio; produccion de alambre o laminas para fusibles</t>
  </si>
  <si>
    <t>Tratamiento y revestimiento de metales; mecanizado, incluye las actividades de anodizado,     enchapado,     pulimiento,     cromado,     cincado,     galvanizado (electroplateado), bicromatizado, sulfatado, pavonado, entre otros, son procesos en los que se deposita otro metal sobre una superficie metalica y mediante la aplicacion  de  corriente  electrica  se  le  confieren  propiedades  especificas  de acabado</t>
  </si>
  <si>
    <t>Tratamiento y revestimiento de metales; mecanizado, incluye los tratamientos termicos de metales (temple, recocido, revenido, entre otros) excepto cuando hacen parte de las actividades desarrolladas para la obtencion de productos metalicos de fundicion.</t>
  </si>
  <si>
    <t>Fabricacion  de  articulos  de  cuchilleria,  herramientas  de  mano  y  articulos  de ferreteria, incluye la fabricacion de cuchillos y navajas, articulos de cuchilleria, hojas  de  afeitar,  tijeras,  cucharas,  tenedores,  cucharones,  alicates,  sierras, destornilladores,  herrajes  y  de  herreria  en  general,  la  fabricacion  de  sierras manuales, serruchos y seguetas; hojas para sierras, incluso sierras circulares y de cadena, cuchillas y cizallas para maquinas o para aparatos mecanicos, la fabricacion  de  herramientas  de herreria,  incluso  machos  de  forja  y  yunques; tornos de banco,  lamparas de soldar y herramientas similares</t>
  </si>
  <si>
    <t>Fabricacion  de  articulos  de  cuchilleria,  herramientas  de  mano  y  articulos  de ferreteria, incluye la fabricacion de espadas, bayonetas y armas similares</t>
  </si>
  <si>
    <t>Fabricacion de otros productos elaborados de metal ncp incluye la fabricacion de recipientes utilizados para el envase y transporte de mercancias, latas para productos  alimenticios,  barriles,  tambores,  bidones,  tarros,  cajas,  entre  otros, incluidos los de capacidad superior a 300 L,  bolsas o envoltorios metalicos, talleres de ornamentacion en hierro, de herrerias, cobrerias, termos de metal, jarros y botellas de metal, fabricacion mecanizada de recipientes de lata</t>
  </si>
  <si>
    <t>Fabricacion de otros productos elaborados de metal ncp incluye la fabricacion de sujetadores hechos de metal: clavos, remaches, tachuelas, alfileres, grapas, arandelas  y  productos  similares  sin  rosca  La  fabricacion  de  productos  de tornilleria:  tuercas,  pernos,  tornillos  y  productos  roscados  y  no  roscados  La fabricacion de cables de metal, trenzas y articulos similares de hierro, acero, aluminio o cobre, aislados o no, pero no aptos para conducir electricidad La fabricacion de productos metalicos hechos con alta precision en tornos revolver o automaticos  La fabricacion de muelles, incluso muelles semiacabados de uso general, excepto muelles para relojes (muelles de ballesta, muelles helicoidales, barras de torsion, hojas para muelles, entre otros)</t>
  </si>
  <si>
    <t>Fabricacion de otros productos elaborados de metal ncp incluye la elaboracion de vajillas de mesa de metales comunes, incluidas las enchapadas con metales preciosos, sartenes, cacerolas y otros utensilios de cocina La fabricacion de pequeños  aparatos  de  cocina  accionados  a  mano  para  preparar,  aderezar, acondicionar o servir alimentos La fabricacion de utensilios de mesa y cocina no electricos, por ejemplo: sartenes y cacerolas La fabricacion de baterias de cocina (ej: recipientes para hervir el agua), esponjillas metalicas, fabricacion de articulos sanitarios de metal como por ejemplo, bañeras, pilas, platones, lavabos y otros articulos sanitarios y de aseo, esmaltados o no</t>
  </si>
  <si>
    <t>Fabricacion de otros productos elaborados de metal ncp incluye la fabricacion de herramientas mecanicas simples de medicion elaboradas en metal, pesas de metal usadas para el levantamiento de pesas, imanes metalicos permanentes, fabricacion de material fijo, piezas ensambladas y de aparatos de señalizacion de vias  ferreas,  fabricacion  de  vallas,  avisos  y  similares  de  metal,  excepto  las iluminadas</t>
  </si>
  <si>
    <t>La fabricacion de otros articulos de metal no clasificados en otra parte, como por ejemplo, cadenas (excepto cadenas de transmision de potencia), helices para barcos y palas para helices, anclas, campanas, marcos para fotos o cuadros, tubos y cajas colapsibles, cierres, hebillas, corchetes, almohadillas metalicas para fregar,  señales  de  transito  y  articulos  similares,  cualquiera  que  sea  el  metal utilizado, excepto metales preciosos, articulos de metal para organos y pianos, trofeos  y  estatuillas  utilizadas  en  metales  comunes  para  decoracion  interior, mangos y estructuras de metal para paraguas, peines y rulos de metal u otros similares</t>
  </si>
  <si>
    <t>Fabricacion de computadoras y de equipo periferico, incluye la fabricacion y/o ensamble de computadoras centrales, computadores analogicos, unidades de discos opticos (CD-RW, CD-ROM, DVD-ROM, DVD-RW, Blu-ray Disc y similares), de  unidades  de  discos  magneticos,  memorias  SD  y  memorias  USB,  y  otros dispositivos   de   almacenamiento,   permanente   de   datos   a   base   de semiconductores;    fabricacion  de  escaner,  lectores  de  tarjetas  inteligentes, cascos de realidad virtual y de proyectores multimedia (video beam), terminales como  cajeros  automaticos;  terminales  de  puntos  de  venta,  no  operados mecanicamente</t>
  </si>
  <si>
    <t>Fabricacion de pilas, baterias y acumuladores electricos, incluye la fabricacion de pilas recargables (acumuladores) y no recargables (pila electrica), la fabricacion de pilas y baterias electricas: pilas de dioxido de manganeso, oxido de mercurio, oxido  de  plata  u  otro  material;  reconstruccion  de  baterias  para  automotores; baterias  de  acido  de  plomo,  niquel-hierro,  niquel-cadmio,  niquel  e  hidruro metalico, litio, pilas secas y pilas humedas</t>
  </si>
  <si>
    <t>Fabricacion de pilas, baterias y acumuladores electricos, incluye la fabricacion de acumuladores   electricos,   incluso   partes   de   acumuladores   tales   como separadores, contenedores, tapas, placas y rejillas de plomo; acumuladores de plomo-acido,  niquel-hierro,  niquel-cadmio  o  de  otro  tipo  como,  por  ejemplo, baterias para automotores y reconstruccion de baterias para automotores</t>
  </si>
  <si>
    <t>Fabricacion de hilos y cables electricos y de fibra optica, incluye la fabricacion de hilos y cables (incluidos los cables coaxiales) recubiertos con material aislante, cables de fibra optica recubiertos individualmente de material aislado, para la transmision de datos codificados (telecomunicaciones, video control de datos, entre otros) o la transmision de imagenes en directo.</t>
  </si>
  <si>
    <t>Fabricacion  de  equipos  electricos  de  iluminacion,  incluye  la  fabricacion  e instalacion de avisos y carteles iluminados, placas de matricula iluminadas y otros anuncios  similares  y  de  equipos  de  iluminacion  para  carretera  (excepto semaforos)</t>
  </si>
  <si>
    <t>Fabricacion de aparatos de uso domestico, incluye fabricacion de maquinas de lavar y secar, secadoras, refrigeradores, congeladores, equipo de lavanderia, aspiradoras, lavaplatos, aparatos para preparar o elaborar alimentos; aparatos termoelectricos de uso domestico como: calentadores de agua, mantas electricas, calentadores de ambiente y ventiladores de uso domestico, hornos electricos, hornos  microondas,  cocinillas  electricas,  planchas  de  cocinar,  tostadores, cafeteras o teteras, sartenes, asadores, parrillas, tapas, y resistencias electricas para calefaccion; trituradores de desperdicios y similares</t>
  </si>
  <si>
    <t>Fabricacion de motores, turbinas y partes para motores de combustion interna, incluye la fabricacion de motores de combustion interna y partes para todo tipo de motores de combustion interna.</t>
  </si>
  <si>
    <t>Fabricacion de motores, turbinas y partes para motores de combustion interna, incluye la reconstruccion de los motores de combustion interna; la fabricacion de motores de combustion interna con embolos de movimiento rectilineo o rotativo, y  de  encendido  por  chispa  electrica  o  por  compresion,  para  usos  moviles  o estacionarios distintos del de propulsion de vehiculos automotores o aeronaves tales como: motores marinos, motores fuera de borda, motores para locomotoras, motores  para  tractores  y  motores  para  maquinaria  agropecuaria,  industrial  y forestal</t>
  </si>
  <si>
    <t>Fabricacion de hornos, hogares y quemadores industriales incluye la fabricacion de hornos, hogares (camaras de combustion) y quemadores industriales y de laboratorio (muflas); La fabricacion de equipo industrial y de laboratorio para calentamiento  por  induccion  y  dielectrico;   La  fabricacion  de  quemadores  e incineradores de combustible liquido, combustible solido, pulverizado y gas; La fabricacion  de  cargadores  mecanicos,  parrillas  mecanicas,  descargadores mecanicos  de  cenizas  y  aparatos  similares;  La  fabricacion  de  equipo  de calefaccion  electrica,  de  montaje  permanente,  para ambientes y  piscinas;  La fabricacion de equipos de calefaccion no electrica, de montaje permanente, para uso domestico, tales como calefaccion solar, calefaccion por vapor, calefaccion por petroleo y equipo de hogares y de calefaccion similares; La fabricacion de hogares electricos de tipo  domestico (hogares electricos de  aire a presion o bombas de calor, etc), hogares no electricos de aire a presion domesticos</t>
  </si>
  <si>
    <t>Fabricacion de maquinaria y equipo de oficina (excepto computadoras y equipo periferico), incluye la fabricacion de otro tipo de maquinaria o equipo de oficina: maquinas  que  clasifican,  empaquetan  o  cuentan  monedas;  expendedoras automaticas de billetes de banco, maquinas para poner bajo sobre o clasificar la correspondencia;   maquinas   de   sufragio   (voto);   maquinas   sacapuntas, dispensadores de cinta, perforadoras, equipo de encuadernado  tipo oficina y engrapadoras, etc</t>
  </si>
  <si>
    <t>Fabricacion  de  herramientas  manuales  con  motor,  incluye  la  fabricacion  de herramienta  manual,  de  percusion,  por  combustion  o  de  aire  comprimido (neumatico)   como:   martillos   mecanicos   y   neumaticos,   remachadoras, engrapadoras y llaves de impacto, etcetera</t>
  </si>
  <si>
    <t>Fabricacion de maquinaria para la elaboracion de alimentos, bebidas y tabaco incluye  la  fabricacion  de  maquinaria  utilizada  principalmente  en  la  industria lechera: descremadoras, homogeneizadoras, maquinaria para transformacion de la  leche  (mantequeras,  malaxadoras  y  moldeadoras);  maquinaria  para  hacer quesos (maquinas de homogeneizar, moldear y prensar); maquinaria utilizada principalmente en la industria de la molienda de granos: maquinas para limpiar, seleccionar  o  clasificar  semillas,  granos  o  leguminosas  secas  (aventadoras, bandas o cintas, cribadoras, separadores ciclonicos, separadores aspiradores, cepilladoras  y  maquinas  similares);  maquinas  para  la  trilla;  maquinaria  para producir harinas, semolas u otros productos molidos (trituradoras, agramadoras, alimentadoras,     cribadoras,     depuradoras     de     afrecho,     mezcladoras, descascarilladoras de arroz, partidoras de guisantes, etc); prensas, trituradoras y maquinas similares utilizadas en la elaboracion de vino, sidra, jugos de frutas o bebidas similares, maquinaria y equipo especial para uso en panaderia y para preparar   macarrones,   espaguetis   y   productos   similares:   mezcladoras, fraccionadoras y moldeadoras de masa, cortadoras, maquinas para depositar tortas, incluidos los hornos de panaderia, entre otros</t>
  </si>
  <si>
    <t>Fabricacion de maquinaria para la elaboracion de alimentos, bebidas y tabaco, incluye la fabricacion de maquinaria y equipo para la preparacion de tabaco y la elaboracion de cigarrillos o cigarros o de tabaco para pipa, tabaco de mascar y rape.</t>
  </si>
  <si>
    <t>Fabricacion de maquinaria para la elaboracion de alimentos, bebidas y tabaco, incluye la fabricacion de maquinaria para la extraccion y la preparacion de grasas o aceites fijos de origen animal o vegetal.</t>
  </si>
  <si>
    <t>Fabricacion de maquinaria para la elaboracion de alimentos, bebidas y tabaco, incluye la fabricacion de maquinas y equipos para la elaboracion y procesamiento de alimentos no clasificados en otra parte: maquinaria para el procesamiento de cacao, chocolate y productos de confiteria; para la fabricacion de azucar; para cerveceria; para procesar carne vacuna y aves de corral (maquinas para depilar y desplumar, cortar y aserrar, picar, cortar en cubitos, y machacar carne, etc); para preparar frutas, nueces, hortalizas y legumbres; para preparar pescado, crustaceos  y  otros  productos  de  mar  comestibles  La  fabricacion  de  otra maquinaria para la preparacion y la elaboracion de alimentos y bebidas</t>
  </si>
  <si>
    <t>Fabricacion de maquinaria para la elaboracion de alimentos, bebidas y tabaco, incluye la fabricacion de secadores para productos agricolas y la fabricacion de maquinaria para filtrar y depurar alimentos; maquinaria para la preparacion de comidas en hoteles y restaurantes (cocinas comerciales).</t>
  </si>
  <si>
    <t>Fabricacion de maquinaria para la elaboracion de productos textiles, prendas de vestir y cueros, incluye la fabricacion de maquinas para extrudir, estirar o cortar fibras, hilados u otros materiales textiles de origen artificial o sintetico; para aplicar pasta al tejido, u otro material de base utilizadas en la fabricacion de linoleo u otros materiales similares para revestimiento de pisos; de enrollar, desenrollar, plegar, cortar y calar telas; para la serigrafia y el estampado de hilados textiles y prendas de vestir; de maquinas para preparar, curtir y trabajar cueros y pieles incluso depiladoras, descarnadoras; batanes de mazo y de tambor, tundidoras y maquinas de acabar, tales como maquinas de cepillar, glasear o granear el cuero</t>
  </si>
  <si>
    <t>Fabricacion de maquinaria para la elaboracion de productos textiles, prendas de vestir  y  cueros,  incluye  la  fabricacion  de  maquinas  de  preparacion  de  fibras textiles,  hilados,  tundidoras  y  maquinas  de  acabar,  tales  como  maquinas  de cepillar, glasear o granear el cuero; para transformar las mechas en hilos incluso las  manuales,  de  retorcer  dos  o  mas  hilos  para  obtener  hilos  retorcidos  y cableados;  fabricacion  de  telares  manuales  Telares  para  tejidos  de  punto (rectilineos y circulares); maquinas para la manufactura y el acabado del fieltro y de textiles no tejidos en piezas o en cortes con formas determinadas, incluso maquinas para la fabricacion de sombreros de fieltro</t>
  </si>
  <si>
    <t>Fabricacion de maquinaria para la elaboracion de productos textiles, prendas de vestir y cueros, incluye la fabricacion de maquinas para lavar y secar del tipo utilizado en lavanderia; maquinas de limpiar en seco; para lavar, blanquear, teñir, aprestar,  acabar,  revestir  e  impregnar  hilados  textiles,  telas  y  articulos confeccionados de materiales textiles</t>
  </si>
  <si>
    <t>Fabricacion  de  otros  tipos  de  maquinaria  de  uso  especial  ncp,  incluye  la fabricacion de maquinas y equipos para elaboracion de caucho o de plasticos y de productos de esos materiales: extrusoras y moldeadoras, maquinas para la fabricacion o el recauchutado de llantas y otras maquinas para la elaboracion de determinados productos de caucho o de plasticos como por ejemplo, los discos gramofonicos; para producir baldosas, ladrillos, pastas de ceramica, moldeadas, tubos, electrodos de grafito, tiza de pizarron, moldes de fundicion, etc;   para ensamblar lamparas, tubos (valvulas) o bombillas electricas o electronicas, en ampollas de vidrio, maquinas para la produccion o el trabajo en caliente de vidrio o  productos  de  cristaleria,  fibras  o  hilados  de  vidrio  como,  por  ejemplo, laminadoras de vidrio; maquinas o aparatos para la separacion de isotopos; para fabricar papel, carton corriente o carton ondulado Maquinaria para el acabado del papel o el carton (maquinas de revestir, rayar o estampar); para balanceo y alineacion de llantas, equipos de balanceo; de camaras de bronceado; y de robots industriales de uso multiple</t>
  </si>
  <si>
    <t>Fabricacion  de  otros  tipos  de  maquinaria  de  uso  especial  ncp,  incluye  la fabricacion  de  secadores  para  madera,  la  pasta  de  madera,  papel  o  carton; maquinaria y equipo para la industria de la pasta o pulpa de papel, el papel y el carton: maquinas diseñadas especialmente para el trabajo en caliente de la pasta de papel, el papel y el carton (por ejemplo, digestores); cortadoras, pulverizadoras o  trituradoras  destinadas  especialmente  a  preparar  la  madera,  el  bambu,  el esparto, la paja, los trapos, los desechos de papel, etc, para la fabricacion de pasta de papel, papel o carton; maquinas que transforman materias celulosicas en pasta de papel (batidoras, refinadoras, coladoras, etc); para la produccion de papel de tamaños o formas determinados o para la produccion de articulos tales como sobres, bolsas de papel, cajas o cajones de carton (por ejemplo, maquinas de cortar en tiras y de rayar, perforar, troquelar, plegar, alimentar, enrollar, fabricar vasos de papel, moldear pasta de papel, etc); maquinaria para encuadernacion, incluso cosedoras de libros, encuadernadoras para el montaje de lomos de espiral plastica o metalica y foliadoras</t>
  </si>
  <si>
    <t>Fabricacion  de  otros  tipos  de  maquinaria  de  uso  especial  ncp,  incluye  la fabricacion    de    artefactos    de    lanzamiento    de    aeronaves,    catapultas transportadoras de aeronaves y equipo relacionado</t>
  </si>
  <si>
    <t>Fabricacion de vehiculos automotores y sus motores, incluye la fabricacion de vehiculos automotores, para el transporte de mercancias: camiones y camionetas, comunes (de platon descubierto, con capota, cerrados, entre otros), camiones con dispositivos de  descarga automatica, camiones cisterna, volquetes, camiones recolectores de basura, camiones y camionetas de uso especial (gruas para auxilio en carretera, carros blindados para el transporte de valores, camiones de bomberos,  camiones  barredores,  unidades  medicas  y  odontologicas  moviles, bibliotecas moviles, entre otros); cabezotes, (tractores) para semirremolques de circulacion por carretera; automoviles de turismo y otros vehiculos automotores, diseñados   principalmente   para   el   transporte   de   personas:   automoviles particulares, vehiculos automotores de transporte de pasajeros, diseñados para transitar  por  todo  terreno  (trineos  motorizados,  carritos  autopropulsados  para campos de golf, vehiculos para  todo terreno, vehiculos deportivos, vehiculos anfibios), y vehiculos automotores para el transporte publico de pasajeros, a saber, autobuses, buses articulados (Transmilenio), entre otros; fabricacion de chasis  con  motor  para  los  vehiculos  descritos  anteriormente;  motores  de combustion interna; igualmente la reconstruccion y/o rectificado</t>
  </si>
  <si>
    <t>Fabricacion de vehiculos automotores y sus motores, incluye la fabricacion de cuatrimotos, carts, vehiculos de carreras y similares; camiones hormigonera para el transporte de concreto premezclado; vehiculos automotores no incluidos en otra parte, y que tengan incorporado el sistema de propulsion con motores de cualquier tipo (motor de combustion interna por chispa electrica o por compresion, motor electrico, motor de nitrogeno liquido, etc.).</t>
  </si>
  <si>
    <t>Fabricacion de partes, piezas (autopartes) y accesorios (lujos) para vehiculos automotores, incluye la fabricacion de partes, piezas y accesorios en todo tipo de material madera, corcho, plastico, caucho, metal y/o combinaciones de estos y otros materiales para vehiculos automotores, incluso para sus carrocerias tales como: frenos, cajas de velocidades, aros de ruedas, amortiguadores, radiadores, silenciadores,   tubos   de   escape   (exhostos),   convertidores   cataliticos   o catalizadores, embragues, volantes, columnas y cajas de direccion, ejes y arboles de transmision, y otras partes, piezas y accesorios no clasificados en otra parte; partes  y  piezas  blindadas  para  vehiculos  automotores;  sistemas  kits  de conversion de gas natural comprimido destinados unicamente para vehiculos automotores;  y  lunetas  con  dispositivos  de  conexion  electrica  a  la  red desempañante para vehiculos automotores; equipo electrico y sus partes para automotores tales como: generadores, alternadores, motores de arranque, bujias, los cables preformados, juegos o mazos de cables para encendido de motores; sistemas de puertas y ventanas electricas, ensamblaje de medidores en el panel de  instrumentos,  reguladores  de  voltaje,  limpiaparabrisas,  eliminadores  de escarcha y desempañadores electricos para automoviles, entre otros</t>
  </si>
  <si>
    <t>Fabricacion de partes, piezas (autopartes) y accesorios (lujos) para vehiculos automotores,  incluye  la  fabricacion  de  parabrisas  y  lunas  de  seguridad enmarcadas;  partes,  piezas  y  accesorios  para  carrocerias  de  vehiculos automotores: cinturones de seguridad, dispositivos inflables de seguridad (airbags o bolsas de aire), puertas y parachoques; asientos para vehiculos automotores, tapizados o sin tapizar; tapizado de vehiculos automotores</t>
  </si>
  <si>
    <t>Fabricacion  de  locomotoras  y  de  material  rodante  para  ferrocarriles,  incluye locomotoras propulsadas por una fuente de energia, diesel, electricas, turbinas de gas y maquinas vapor Tenderes de locomotora</t>
  </si>
  <si>
    <t>Fabricacion de locomotoras y de material rodante para ferrocarriles, incluye la fabricacion  de  vagones  de  pasajeros,  furgones  y  vagones  de  plataforma, cisternas, gruas y similares, autopropulsados de tranvia o de ferrocarril,</t>
  </si>
  <si>
    <t>Fabricacion de locomotoras y de material rodante para ferrocarriles, incluye la fabricacion de partes y piezas especiales de locomotoras o tranvias o de su material rodante, fabricacion de equipo mecanico de señalizacion, seguridad, control o regulacion del trafico para ferrovias, carreteras, vias de navegacion interiores, playas de estacionamiento, instalaciones portuarias o aeropuertos</t>
  </si>
  <si>
    <t>Fabricacion  de  locomotoras  y  de  material  rodante  para  ferrocarriles,  incluye reconstruccion o conversion de locomotoras y vagones de ferrocarril</t>
  </si>
  <si>
    <t>Fabricacion de aeronaves, naves espaciales y de maquinaria conexa, incluye la fabricacion y ensamble de aeronaves, turborreactores, turbohelices y sus partes y piezas, fabricacion de vehiculos aereos de ala fija, giratoria, planeadores.</t>
  </si>
  <si>
    <t>Fabricacion de aeronaves, naves espaciales y de maquinaria conexa, incluye fabricacion  de  naves  espaciales  equipadas  o  no  para  la  vida en  el  espacio, vehiculos de lanzamiento de naves espaciales Lanzamiento de misiles</t>
  </si>
  <si>
    <t>Fabricacion de aeronaves, naves espaciales y de maquinaria conexa, incluye fabricacion de aparatos de entrenamiento de vuelo en tierra, simuladores de vuelo, artefactos y dispositivos para el aterrizaje sobre cubierta, partes, piezas y accesorios de aeronaves.</t>
  </si>
  <si>
    <t>Fabricacion de aeronaves, naves espaciales y de maquinaria conexa, incluye fabricacion  de  helices,  rotores  de  helicoptero  y  palas  de  helice  propulsada, motores, turborreactores, turbopropulsores y turboventiladores para aeronaves</t>
  </si>
  <si>
    <t>Fabricacion de aeronaves, naves espaciales y de maquinaria conexa, incluye la reconstruccion o conversion en fabrica de aeronaves y de motores de aeronaves, fabricacion de motores de reaccion: estatorreactores, pulsorreactores y motores de cohetes</t>
  </si>
  <si>
    <t>Fabricacion de aeronaves, naves espaciales y de maquinaria conexa, incluye fabricacion de vehiculos aereos mas pesados del aire, motorizadas o no, aparatos mas livianos que el aire, globos, dirigibles globos utilizados en  aeronautica y meteorologia</t>
  </si>
  <si>
    <t>Fabricacion de aeronaves, naves espaciales y de maquinaria conexa, incluye fabricacion de vehiculos aereos de ala fija y manejo por tripulaciones utilizados para el transporte de mercancias y pasajeros para uso militar para el deporte y otros fines</t>
  </si>
  <si>
    <t>Fabricacion de motocicletas, incluye la fabricacion de motores para motocicletas y la reconstruccion de los mismos  La fabricacion de sidecares, partes, piezas y accesorios de motocicletas</t>
  </si>
  <si>
    <t>Fabricacion  de  joyas,  bisuteria  y  articulos  conexos,  incluye  la  fabricacion  y acuñado de monedas (incluso monedas de curso legal), medallas y medallones, sean o no de metales preciosos, grabado de objetos personales de metales preciosos y no preciosos</t>
  </si>
  <si>
    <t>Otras  industrias  manufactureras  ncp,  incluye  fabricacion  de  articulos  de celuloide</t>
  </si>
  <si>
    <t>Otras   industrias   manufactureras   ncp   incluye   actividades   de   taxidermia (disecado de animales)</t>
  </si>
  <si>
    <t>Mantenimiento y reparacion especializado de productos elaborados en  metal, incluye el mantenimiento y reparacion especializado (incluso soldadura) realizado a cambio de una retribucion o por contrata, de: tanques, tambores de acero, tubos y  tuberias,  recipientes  especiales  para  transporte  de  liquidos  y  gases; contenedores para transporte multimodal; calderas de agua caliente y de otros generadores  de  vapor;  partes  de  calderas  de  potencia  de  embarcaciones; equipos auxiliares que funcionan con conjuntos de aparatos para generar vapor (generadores de vapor); condensadores, ahorradores, recalentadores, colectores y acumuladores de vapor; reactores nucleares, excepto separadores de isotopos; placas (platework) de calderas de calefaccion central y radiadores</t>
  </si>
  <si>
    <t>Mantenimiento y reparacion especializado de  maquinaria y equipo, incluye el mantenimiento y reparacion de equipo de elevacion y manipulacion de materiales de uso industrial</t>
  </si>
  <si>
    <t>Mantenimiento y reparacion especializada de equipo de transporte, excepto los vehiculos  automotores,  motocicletas  y  bicicletas;  incluye  el  mantenimiento  y reparacion  especializada  de:  buques,  embarcaciones  de  recreo,  aeronaves, locomotoras y vagones ferroviarios, motores de naves y aeronaves</t>
  </si>
  <si>
    <t>Instalacion especializada de maquinaria y equipo industrial, incluye instalacion de equipos, bombas para maquinas de tipo industrial, equipo de control de procesos industriales, equipo de comunicaciones, mainframes (computadoras centrales) y similares, maquinas de aparejos, motores para uso industrial,</t>
  </si>
  <si>
    <t>Comercializacion de energia electrica, incluye la compra de energia electrica y su venta  a  los  usuarios  finales  y  comprende  desde  la  conexion  a  la  red  de distribucion, lectura de medidores, facturacion, recaudacion, hasta la atencion al cliente</t>
  </si>
  <si>
    <t>Produccion de gas, distribucion de combustibles gaseosos por tuberias, incluye la distribucion de gas natural o sintetico por tuberias o a traves de sistemas de distribucion,  el  envasado  y/o  distribucion  de  gases  para  uso  domestico  y/o industrial  Las  actividades  de  bolsas  de  productos  basicos  y  mercados  de capacidad de transporte para combustibles gaseosos</t>
  </si>
  <si>
    <t>Produccion de gas, distribucion de combustibles gaseosos por tuberias, incluye produccion de gases no convencionales como las mezclas de gas de composicion analoga a la del gas de hulla, gas de sintesis  La produccion de gas para su suministro  mediante  la  destilacion  del  carbon  a partir de  subproductos  de  la agricultura o a partir de desechos</t>
  </si>
  <si>
    <t>Evacuacion y tratamiento de aguas residuales, incluye la gestion y operacion de sistemas de alcantarillado y de instalaciones de tratamiento de aguas residuales; el  tratamiento  de  aguas  residuales  (incluso  aguas  residuales  domesticas  e industriales, agua de piscinas, fuentes publicas, etc) por medios fisicos, quimicos y biologicos como disolucion, cribado, filtracion, sedimentacion, etc  y plantas de tratamiento  de  aguas  negras,  vaciado  y  la  limpieza  de  sumideros  y  tanques septicos, pozos y sumideros de alcantarillado; mantenimiento de accion quimica de baños moviles;  La captacion y el transporte de aguas residuales domesticas o industriales de uno o varios usuarios, como tambien agua lluvia por medios de redes  de  alcantarillado,  colectores,  tanques  y  otros  medios  de  transporte (vehiculos cisterna de recoleccion de aguas residuales, etc); El mantenimiento y la limpieza de alcantarillas y desagües</t>
  </si>
  <si>
    <t>Recoleccion  de  desechos  peligrosos,  incluye  la  recoleccion  de  desechos peligrosos  solidos  y  no  solidos,  como  por  ejemplo:  sustancias  explosivas, oxidantes, inflamables, toxicas, irritantes, cancerigenas, corrosivas, infecciosas y otras sustancias y preparados nocivos para la salud humana y el medio ambiente, la recoleccion de desechos peligrosos, los aceites usados de buques y estaciones de servicio, los desechos biologicos peligrosos las pilas y baterias usadas, la operacion  de  estaciones  de  transferencia  de  combustible  nuclear  gastado  o usado  Esta  clase  tambien  puede  abarcar  la  identificacion,  el  tratamiento,  el empaque y el etiquetado de desechos para propositos de transporte</t>
  </si>
  <si>
    <t>Tratamiento y disposicion de desechos no peligrosos, incluye la operacion de rellenos sanitarios, la disposicion de desechos no peligrosos mediante combustion o incineracion u otros metodos con o sin produccion resultante de electricidad o vapor, combustibles sustitutos, biogas, cenizas u otros subproductos para su utilizacion posterior, etc.</t>
  </si>
  <si>
    <t>Construccion de edificios residenciales, incluye solamente la colocacion de techos impermeables.</t>
  </si>
  <si>
    <t>Construccion de otras obras de ingenieria civil, incluye el dragado de vias de navegacion.</t>
  </si>
  <si>
    <t>Instalaciones electricas, incluye instalaciones de sistemas de iluminacion, alarma, alumbrado de calles y señales electricas, alumbrado de pistas de aeropuertos, trasformadores trabajos de centrales de energia.</t>
  </si>
  <si>
    <t>Mantenimiento  y  reparacion  de  vehiculos  automotores,  incluye  servicios  de emergencia  para  vehiculos  automotores,  gruas,  remolques  y  asistencia  de carreteras, reemplazo de llantas y neumaticos, montaje y despinchado de llantas y  conversion a gas vehicular</t>
  </si>
  <si>
    <t>Comercio al por mayor a cambio de una retribucion o por contrata, incluye el comercio al por mayor de productos quimicos incluidos abonos, combustibles, minerales,  metales  y  productos  quimicos  de  uso  industrial  incluidos  abonos; alimentos, bebidas y tabaco; productos textiles, prendas de vestir, pieles, calzado y articulos de cuero; madera y materiales de construccion; maquinaria, incluidos equipo de oficina y ordenadores, equipo industrial, buques y aeronaves,  excepto los mutagenicos, teratogenicos y cancerigenos</t>
  </si>
  <si>
    <t>Comercio al por mayor de materiales de construccion, articulos de ferreteria, pinturas, productos de vidrio, equipo y materiales de fontaneria y calefaccion, incluye  el  comercio  al  por  mayor  de  vidrio  plano,  comercio  al  por  mayor  de articulos de ferreteria y cerraduras, comercio al por mayor de calentadores de agua, y comercio al por mayor de sanitarios (bañeras, lavabos, inodoros y otros sanitarios  de  porcelana),  articulos  de  ferreteria,  estructuras  metalicas  o armazones y  partes de estructuras metalicas (elaboradas de acero), y productos similares para uso estructural, su venta y distribucion con autotransporte</t>
  </si>
  <si>
    <t>Comercio al por mayor de productos quimicos basicos, cauchos y plasticos en formas primarias y productos quimicos de uso agropecuario, incluye plaguicidas y otros productos quimicos de uso agropecuario, productos quimicos organicos e inorganicos basicos, gases industriales, oxigeno en pimpinas para uso industrial y  humano,  extractos  tintoricos  y  curtientes,  colas  quimicas  (pegamentos), metanol, bicarbonato sodico, sal industrial, acidos y azufres entre otros</t>
  </si>
  <si>
    <t>Comercio al por mayor de otros productos n.c.p., incluye el deposito y venta de pirotecnia, coheteria.</t>
  </si>
  <si>
    <t>Comercio al por menor de articulos de ferreteria, pinturas y productos de vidrio en establecimientos especializados, incluye venta de articulos de ferreteria (incluidos articulos   electricos),   solventes,   removedores   de   pintura,   materiales   de construccion, vidrio plano, con autotransporte</t>
  </si>
  <si>
    <t>Comercio  al  por  menor  de  otros  articulos  domesticos  en  establecimientos especializados, incluye el comercio de abonos y plaguicidas, productos quimicos peligrosos, envase y/o reenvasado</t>
  </si>
  <si>
    <t>Transporte ferreo de pasajeros, incluye el transporte de pasajeros por lineas ferreas  interurbanas,  tranvia  y  metro;  los  servicios  de  coche  cama  y  coche restaurante, cuando estan integrados a los servicios de las empresas ferroviarias</t>
  </si>
  <si>
    <t>Transporte ferreo de carga, incluye el transporte de carga sobre lineas principales y por lineas ferreas de corto recorrido.</t>
  </si>
  <si>
    <t>Transporte de pasajeros, incluye el transporte terrestre de pasajeros por sistemas de  transporte  urbano  y  suburbano,  que  abarca  transporte  colectivo  (buses, microbuses y busetas) y los sistemas de transporte masivo a traves de operadores (articulados),  y  la  integracion  de  estas  lineas  con  servicios  conexos  como metrocable</t>
  </si>
  <si>
    <t>Transporte de pasajeros, incluye el transporte terrestre de servicios especiales de pasajeros   por   carretera   como:   turismo,   servicios   de   viajes   contratados, excursiones, transporte de trabajadores (actividades de asalariados), transporte escolar</t>
  </si>
  <si>
    <t>Transporte  de  pasajeros,  incluye  alquiler  o  arrendamiento  de  vehiculos  de pasajeros con conductor</t>
  </si>
  <si>
    <t>Transporte mixto, incluye otros servicios ocasionales de transporte nacionales o municipales dedicados a desplazamiento conjunto de personas y de mercancias en vehiculos especialmente acondicionados.</t>
  </si>
  <si>
    <t>Transporte de carga por carretera, incluye todas las operaciones de transporte de carga por carretera. Se incluye el transporte de una gran variedad de mercancias tales como: Troncos, Ganado, Productos refrigerados, Carga pesada, Carga a granel, incluso el transporte en camiones cisterna de liquidos (ejemplo: la leche que se recoge en las granjas, agua, etcetera). Automoviles, Los servicios de transporte de desperdicios y materiales de desecho, sin incluir el proceso de acopio ni eliminacion. Incluye el alquiler de vehiculos de carga (camiones) con conductor.</t>
  </si>
  <si>
    <t>Transporte de pasajeros maritimo y de cabotaje, incluye el transporte maritimo de pasajeros   en   embarcaciones   de   excursion,   de   crucero   o   de   turismo; transbordadores, taxis acuaticos, etcetera; contempla las actividades de alquiler de embarcaciones</t>
  </si>
  <si>
    <t>Transporte de pasajeros maritimo y de cabotaje, incluye las actividades de alquiler de embarcaciones de placer (con tripulacion).</t>
  </si>
  <si>
    <t>Transporte de carga maritima y de cabotaje, incluye el transporte maritimo y de cabotaje, de carga, transporte de barcazas, plataformas, petroliferas, etcetera., remolcadas o empujadas por remolcadores, servicio de remolcadores.</t>
  </si>
  <si>
    <t>Transporte  fluvial  de  pasajeros,  incluye  el  transporte  de  pasajeros  en  rios, canales,  lagos,  lagunas,  cienagas,  embalses  y  otras  vias  de  navegacion interiores, como radas y puertos, asi como el alquiler de embarcaciones de recreo con tripulacion, para el transporte por vias de navegacion interiores</t>
  </si>
  <si>
    <t>Transporte fluvial de carga, incluye el transporte de carga en rios, canales, lagos, lagunas, cienagas, embalses y otras vias de navegacion interiores, como radas y puertos.</t>
  </si>
  <si>
    <t>Transporte aereo nacional de pasajero, incluye el transporte aereo de pasajeros a nivel nacional, vuelos charter y no regulares, vuelos panoramicos y turisticos, transporte de pasajeros por clubes aereos para instruccion con fines deportivos o recreativos, alquiler de equipo de transporte aereo con operador.</t>
  </si>
  <si>
    <t>Transporte aereo internacional de pasajeros, incluye el transporte de pasajeros a nivel internacional sobre rutas regulares y en horarios definidos.</t>
  </si>
  <si>
    <t>Transporte aereo internacional de pasajeros, incluye el transporte de pasajeros a nivel internacional, vuelos charter, transporte espacial, trabajos aereos especiales (ej.: vuelos panoramicos)</t>
  </si>
  <si>
    <t>Transporte aereo internacional de pasajeros, incluye  el alquiler de equipo de transporte aereo para el transporte internacional (con operador)</t>
  </si>
  <si>
    <t>Transporte aereo nacional de carga, incluye el transporte aereo de carga a nivel nacional, sobre rutas regulares y no regulares de carga, alquiler de equipo de transporte aereo con operario.</t>
  </si>
  <si>
    <t>Transporte aereo internacional de carga, incluye el transporte aereo regular y no regular de carga a nivel internacional, es decir, con origen y destino en dos paises diferentes.</t>
  </si>
  <si>
    <t>Transporte aereo internacional de carga, incluye el lanzamiento de satelites y naves espaciales</t>
  </si>
  <si>
    <t>Transporte  aereo  internacional  de  carga,  incluye  el  alquiler  de  equipo  de transporte aereo con operario para el transporte de carga</t>
  </si>
  <si>
    <t>Actividades de estaciones, vias y servicios complementarios para el transporte terrestre,  incluye  las  actividades  relacionadas  con  el  transporte  terrestre  de pasajeros, animales o carga, terminales de transporte, estaciones ferroviarias o de autobuses, el funcionamiento de infraestructura ferroviaria, el cambio de vias y de agujas, plazas de estacionamiento, actividades relacionadas con remolque y asistencia en carretera La licuefaccion y regasificacion de gas natural para su transporte, cuando se realiza fuera del lugar de la extraccion</t>
  </si>
  <si>
    <t>Actividades de estaciones, vias y servicios complementarios para el transporte terrestre, incluye el servicio de peaje en carreteras, puentes, tuneles</t>
  </si>
  <si>
    <t>Otras  actividades  complementarias  al  transporte,  incluye  la  organizacion  y coordinacion de operaciones de transporte por tierra, mar o aire, servicios de agentes de transito, agencia de aduana, empresas de mudanzas y trasteos La organizacion de envios de grupo e individuales</t>
  </si>
  <si>
    <t>Otras actividades complementarias al transporte, incluye actividades logisticas como por ejemplo: operaciones de planeacion, diseño y soporte de transporte, almacenamiento y distribucion, contratacion de espacio en buques y aeronaves La emision y tramite de documentos de transporte y conocimientos de embarque La  verificacion  de  facturas  y  suministro  de  informacion  sobre  las  tarifas  de transporte; la manipulacion de mercancias como por ejemplo, embalaje temporal, las actividades de transitarios de flete maritimo y flete aereo,</t>
  </si>
  <si>
    <t>Actividades postales nacionales, incluye la recepcion, clasificacion, transporte y entrega de correo ordinario y paquetes y bultos (nacional o internacional), por servicios  postales  que  operan  bajo  la  obligacion  del  servicio  universal,  la recoleccion en los buzones publicos o de las oficinas postales, la venta de sellos por correo</t>
  </si>
  <si>
    <t>Actividades postales nacionales, incluye la distribucion y entrega de cartas y paquetes, asi como las actividades de tramites y similares, uno o mas modos de transporte pueden estar involucrados y la actividad puede llevarse a cabo con transporte propio (privado) o transporte publico</t>
  </si>
  <si>
    <t>Actividades de mensajeria, incluye las actividades de recepcion, clasificacion, transporte y entrega de correo regular y paquetes y bultos por firmas que no operan bajo la obligacion  del servicio universal, asi  como las  actividades de tramites y similares y servicios de entrega a domicilio</t>
  </si>
  <si>
    <t>Las  actividades  de  consorcios  y  de  agencias  de  noticias  o  de  distribucion periodistica, incluye agencias que tienen que ver con el suministro de articulos de noticias y de periodicos que recopilan, redactan y proporcionan material noticiario, fotografico y periodistico a los medios de comunicacion, al igual que servicios de noticias a periodicos, revistas y estaciones de radio y television</t>
  </si>
  <si>
    <t>Actividades de fotografia, incluye fotografia aerea.</t>
  </si>
  <si>
    <t>Actividades de servicios de sistemas de seguridad, incluye el monitoreo de los sistemas  de  seguridad,  de  alarmas  electronicas,  incluso  su  mantenimiento, instalacion,  reparacion,  reconstruccion  y  ajuste  de  dispositivos  mecanicos  o electricos, cajas fuertes y bovedas de seguridad Incluye servicios de cerrajeria y sistemas mecanicos de cierre</t>
  </si>
  <si>
    <t>Otras actividades de limpieza de edificios e instalaciones industriales, incluye actividades de desinfeccion y exterminacion de plagas y roedores en edificios, fabricas, plantas industriales, trenes, buques, entre otros.</t>
  </si>
  <si>
    <t>Otras actividades de limpieza de edificios e instalaciones industriales, incluye limpieza   y   mantenimiento   de   piscinas,   maquinaria   industrial,   edificios  e instalaciones industriales ncp, barrido y lavado de calles, remocion de granizo</t>
  </si>
  <si>
    <t>Actividades de envase y empaque, incluye envase y/o re-envase de sustancias quimicas peligrosas</t>
  </si>
  <si>
    <t>Educacion  media  tecnica  y  de  formacion  laboral,  incluye  las  escuelas  de conduccion   para   los   conductores   profesionales   (camiones,   autobuses, autocares); los establecimientos reconocidos legalmente que ofrecen programas de formacion para el trabajo; la educacion para la rehabilitacion social, como por ejemplo, la impartida en las escuelas de prisiones; academias militares;</t>
  </si>
  <si>
    <t>Otras actividades de atencion de la salud humana, incluye todas las actividades relacionadas con la salud humana que no estan incluidas en ninguna de las demas clases de esta division, el transporte de pacientes en cualquier tipo de ambulancia, incluso el transporte aereo,  servicios medicalizados profesionales a domicilio, complementados con alguna de las actividades siguientes: servicios de cuidados personales, ayuda domiciliaria y acompañamiento, las actividades de instituciones que prestan servicios de atencion de la salud, con alojamiento, que carecen de una supervision directa de medicos titulados, las actividades desarrolladas por profesionales que proporcionan «medicina tradicional» o «medicina alternativa».</t>
  </si>
  <si>
    <t>Pompas funebres y actividades relacionadas, se incluye la preparacion de los muertos  para  el  entierro  o  la  cremacion,  embalsamamiento  y  los  servicios mortuorios</t>
  </si>
  <si>
    <t>PRODUCCION AGRICOLA NCP EN UNIDADES ESPECIALIZADAS INCLUYE SOLAMENTE A EMPRESAS DEDICADAS A LA INDUSTRIA DE LA PRODUCCIÓN DE CAUCHO NATURAL Y/O SINTETICA</t>
  </si>
  <si>
    <t>EMPRESAS DEDICADAS A ACTIVIDADES DE SERVICIOS, AGRICOLAS Y GANADEROS, EXCEPTO LAS EMPRESAS DEDICADAS A ACTIVIDADES VETERINARIAS INCLUYE SOLAMENTE A EMPRESAS DEDICADAS A SERVICIOS DE FUMIGACIÓN, FERTILIZACIÓN AGRICOLA POR MEDIO DE AVIONES.</t>
  </si>
  <si>
    <t>EXTRACCION Y AGLOMERACION DE HULLA (CARBON DE PIEDRA) INCLUYE SOLAMENTE A EMPRESAS DEDICADAS A LA EXPLOTACIÓN DE CARBONERAS, GASIFICACIÓN DE CARBON IN SITU Y PRODUCCIÓN DEL CARBÓN AGLOMERADO</t>
  </si>
  <si>
    <t>EXTRACCION Y AGLOMERACION DE CARBON LIGNITICO</t>
  </si>
  <si>
    <t>EXTRACCION Y AGLOMERACION DE TURBA</t>
  </si>
  <si>
    <t>EXTRACCION DE PETROLEO CRUDO Y DE GAS NATURAL INCLUYE SOLAMENTE A EMPRESAS DEDICADAS A LA EXPLORACIÓN, EXPLOTACIÓN Y/O REFINACIÓN DE PETROLEO Y GAS NATURAL</t>
  </si>
  <si>
    <t>EMPRESAS DEDICADAS A ACTIVIDADES DE SERVICIOS RELACIONADAS CON LA EXTRACCION DE PETROLEO Y GAS, EXCEPTO LAS EMPRESAS DEDICADAS A ACTIVIDADES DE PROSPECCION INCLUYE SOLAMENTE A EMPRESAS DEDICADAS A LA PERFORACIÓN DE POZOS</t>
  </si>
  <si>
    <t>EXTRACCION DE MINERALES DE URANIO Y DE TORIO INCLUYE SOLAMENTE A EMPRESAS DEDICADAS A LA EXPLOTACIÓN DE MINAS NO METÁLICAS.</t>
  </si>
  <si>
    <t>EXTRACCION DEL MINERAL DE HIERRO O HIERRO SINTERIZADOS INCLUYE SOLAMENTE A EMPRESAS DEDICADAS A LA EXPLOTRACIÓN DE MINAS METÁLICAS</t>
  </si>
  <si>
    <t>EXTRACCION DE METALES PRECIOSOS INCLUYE SOLAMENTE A EMPRESAS DEDICADAS A LAS EMPRESAS DEDICADAS A ACTIVIDADES DE BENEFICIO Y EMPRESAS DEDICADAS A ACTIVIDADES CONEXAS</t>
  </si>
  <si>
    <t>EXTRACCION DE MINERALES DE NIQUEL</t>
  </si>
  <si>
    <t>EXTRACCION DE OTROS MINERALES METALIFEROS NO FERROSOS, EXCEPTO NIQUEL</t>
  </si>
  <si>
    <t>EXTRACCION DE PIEDRA, ARENA Y ARCILLAS COMUNES INCLUYE SOLAMENTE EMPRESAS DEDICADAS A LA EXPLOTACIÓN DE ARENERAS, CASCAJEROS, ARCILLA Y DEMÁS MATERIALES DE CONSTRUCCIÓN, EXPLOTACIÓN DE CANTERAS, PREDERAS</t>
  </si>
  <si>
    <t>EXTRACCION DE YESO Y ANHIDRITA</t>
  </si>
  <si>
    <t>EXTRACCION DE CAOLIN, ARCILLAS DE USO INDUSTRIAL Y BENTONITAS</t>
  </si>
  <si>
    <t>EXTRACCION DE ARENAS Y GRAVAS SILICEAS INCLUYE SOLAMENTE A EMPRESAS DEDICADAS A LA EXPLOTACIÓN DE MINAS DE ARENA</t>
  </si>
  <si>
    <t>EXTRACCION DE CALIZA Y DOLOMITA</t>
  </si>
  <si>
    <t>EXPLOTACION DE MINERALES PARA LA FABRICACION DE ABONOS Y PRODUCTOS QUIMICOS</t>
  </si>
  <si>
    <t>EXTRACCION DE HALITA (SAL)</t>
  </si>
  <si>
    <t>EXTRACCION DE ESMERALDAS</t>
  </si>
  <si>
    <t>EXTRACCION DE OTRAS PIEDRAS PRECIOSAS Y SEMIPRECIOSAS</t>
  </si>
  <si>
    <t>EXTRACCION DE OTROS MINERALES NO METALICOS NCP INCLUYE SOLAMENTE A EMPRESAS DEDICADAS A MINAS Y CANTERAS DE BARITA, ASBESTO, TALCO, YACIMIENTOS DE ASFALTO Y BETUNES NATURALES, FELDESPATOS, MICA, MAGNESITAS</t>
  </si>
  <si>
    <t>TEJEDURA DE PRODUCTOS TEXTILES INXCLUYE LA FABRICACIÓN DE TEJIDOS DE FIBRA DE VIDRIO</t>
  </si>
  <si>
    <t>ASERRADO, ACEPILLADO E IMPREGNACION DE LA MADERA INCLUYE SOLAMENTE EMPRESAS DEDICADAS A LOS ASERRADEROS</t>
  </si>
  <si>
    <t>FABRICACION Y MONTAJE DE PARTES Y PIEZAS DE CARPINTERIA PARA EDIFICIOS Y CONSTRUCCIONES</t>
  </si>
  <si>
    <t>FABRICACION DE PRODUCTOS DE LA REFINACION DEL PETROLEO, ELABORADOS EN REFINERIA.</t>
  </si>
  <si>
    <t>ELABORACION DE PRODUCTOS DERIVADOS DEL PETROLEO, FUERA DE REFINERIA COMO BASES LUBRICANTES, COMBUSTIBLES Y DISOLVENTES ADICIONANDO ANTIOXIDANTES, Y ANTIDESGASTE Y ANTICORROSIVO</t>
  </si>
  <si>
    <t>ELABORACION DE COMBUSTIBLE NUCLEAR INCLUYE SOLAMENTE A EMPRESAS DEDICADAS A LAS INSTITUCIONES O CENTROS DE CEINCIAS NUCLEARES Y/O ENERGIAS ALTERNATIVAS QUE MANEJEN RADIOISOTOPOS, MANEJO DE RESIDUOS CIENCIAS NUCLEARES, ELABORACIÓN DE COMBUSTIBLE NUCLEAR</t>
  </si>
  <si>
    <t>FABRICACION DE SUSTANCIAS QUIMICAS BASICAS POR TRANSFORMACION QUIMICA: TOLUENO, BENCENO, XILENO, XILOL, ETILENO, INCLUYE SOLAMENTE A EMPRESAS DEDICADAS A LA FABRICACIÓN DE PRODUCTOS TÓXICOS Y/O CAUSTICOS (QUÍMICOS INDUSTRIALES), LA FABRICACION DE ELEMENTOS QUIMICOS NO METALICOS Y NO RADIOACTIVOS DE LA TABLA PERIODICA</t>
  </si>
  <si>
    <t>FABRICACION DE PLASTICOS EN FORMAS PRIMARIAS INCLUYE SOLAMENTE A EMPRESAS DEDICADAS A FABRICACIÓN DE POLIETILENO, POLIPROPILENO, POLIOLEFINAS, POLIMEROS NATURALES, RESINAS EPOXICAS, FENOLICAS Y SIMILARES</t>
  </si>
  <si>
    <t>FABRICACION DE CAUCHO SINTETICO Y GOMAS EN FORMAS PRIMARIAS A PARTIR DE ACEITES POR MEZCLA CAUCHO NATURAL Y SINTETICO</t>
  </si>
  <si>
    <t>FABRICACION DE PLAGUICIDAS Y OTROS PRODUCTOS QUIMICOS DE USO AGROPECUARIO</t>
  </si>
  <si>
    <t>FABRICACION DE OTROS PRODUCTOS QUIMICOS NCP INCLUYE SOLAMENTE A EMPRESAS DEDICADAS A LA FABRICACIÓN, DEPÓSITO Y/O VENTA DE EXPLOSIVOS.</t>
  </si>
  <si>
    <t>FABRICACION DE VIDRIO Y DE PRODUCTOS DE VIDRIO</t>
  </si>
  <si>
    <t>FABRICACION DE CEMENTO, CAL Y YESO INCLUYE SOLAMENTE A EMPRESAS DEDICADAS A LA FABRICACIÓN DE CEMENTOS</t>
  </si>
  <si>
    <t>FABRICACION DE ARTICULOS DE HORMIGON, CEMENTO Y YESO INCLUYE SOLAMENTE EMPRESAS DEDICADAS A FABRICACIÓN DE PRODUCTOS CON CONTENIDOS DE ASBESTO, TRABAJOS DE AISLAMIENTO TÉRMICO EN ASBESTO.</t>
  </si>
  <si>
    <t>CORTE, TALLADO Y ACABADO DE LA PIEDRA INCLUYE SOLAMENTE A EMPRESAS DEDICADAS A LA TALLA DE PIEDRA</t>
  </si>
  <si>
    <t>FABRICACION DE OTROS PRODUCTOS MINERALES NO METALICOS NCP INCLUYE SOLAMENTE A EMPRESAS DEDICADAS A LA FABRICACIÓN DE PRODUCTOS DE LANA DE VIDRIO PARA AISLAMIENTO TÉRMICO, LANA DE ESCORIA, DE ROCA Y MINERALES, HILADOS Y TELAS DE ASBESTO</t>
  </si>
  <si>
    <t>INDUSTRIAS BASICAS DE HIERRO Y DE ACERO. HORNOS DE COQUE PARA OBTENCION DE ACERO</t>
  </si>
  <si>
    <t>INDUSTRIAS BASICAS DE OTROS METALES NO FERROSOS</t>
  </si>
  <si>
    <t>FUNDICION DE HIERRO Y DE ACERO</t>
  </si>
  <si>
    <t>FUNDICION DE METALES NO FERROSOS</t>
  </si>
  <si>
    <t>FORJA, PRENSADO, ESTAMPADO Y LAMINADO DE METAL; PULVIMETALURGIA INCLUYE SOLAMENTE A EMPRESAS DEDICADAS A LAS PLANTAS DE LAMINACIÓN.</t>
  </si>
  <si>
    <t>TRATAMIENTO Y REVESTIMIENTO DE METALES; TRABAJOS DE INGENIERIA MECANICA EN GENERAL REALIZADOS A CAMBIO DE UNA RETRIBUCION O POR CONTRATA INCLUYE SOLAMENTE A EMPRESAS DEDICADAS A LA LIMPIEZA CON CHORRO DE ARENA</t>
  </si>
  <si>
    <t>FABRICACION DE OTROS PRODUCTOS ELABORADOS DE METAL NCP INCLUYE SOLAMENTE A EMPRESAS DEDICADAS A LA FABRICACIÓN DE CAJAS FUERTES.</t>
  </si>
  <si>
    <t>FABRICACION DE MOTORES Y TURBINAS, EXCEPTO MOTORES PARA AERONAVES, VEHICULOS AUTOMOTORES Y MOTOCICLETAS</t>
  </si>
  <si>
    <t>FABRICACION DE BOMBAS, COMPRESORES, GRIFOS Y VALVULAS</t>
  </si>
  <si>
    <t>FABRICACION DE COJINETES, ENGRANAJES, TRENES DE ENGRANAJES Y PIEZAS DE TRANSMISION INCLUYE SOLAMENTE A EMPRESAS DEDICADAS A LA FABRICACIÓN DE MAQUINARIA PESADA</t>
  </si>
  <si>
    <t>FABRICACION DE EQUIPO DE ELEVACION Y MANIPULACION</t>
  </si>
  <si>
    <t>FABRICACION DE OTROS TIPOS DE MAQUINARIA DE USO GENERAL NCP INCLUYE SOLAMENTE A EMPRESAS DEDICADAS A LOS TANQUES CISTERNA Y CONTENEDORES METÁLICOS, CALANDRIAS, DISEÑO Y MONTAJE DE CALEFACCIÓN Y/O REFRIGERACIÓN DE USO COMERCIAL, FABRICACIÓN DE PLANTAS DESTILADORAS Y RECTIFICADORAS.</t>
  </si>
  <si>
    <t>FABRICACION DE MAQUINAS HERRAMIENTA P</t>
  </si>
  <si>
    <t>FABRICACION DE MAQUINARIA PARA LA METALURGIA,</t>
  </si>
  <si>
    <t>FABRICACION DE MAQUINARIA PARA LA EXPLOTACION DE MINAS Y CANTERAS Y PARA LA CONSTRUCCION</t>
  </si>
  <si>
    <t>FABRICACION DE ARMAS Y MUNICIONES INCLUYE SOLAMENTE LA FABRICACIÓN DE PARQUE Y MUNICIONES, FABRICACIÓN DE TANQUE Y OTROS VEHICULOS DE COMBATE</t>
  </si>
  <si>
    <t>FABRICACION DE EQUIPO MEDICO Y QUIRURGICO Y DE APARATOS ORTESICOS Y PROTESICOS, INCLUYE SOLAMENTE A EMPRESAS DEDICADAS A LA FABRICACIÓN DE EQUIPOS A BASE DE RAYOS X, BETA O GAMMA</t>
  </si>
  <si>
    <t>RECICLAJE DE DESPERDICIOS Y DE DESECHOS METALICOS</t>
  </si>
  <si>
    <t>TRABAJOS DE DEMOLICION Y PREPARACION DE TERRENOS PARA LA CONSTRUCCION DE EDIFICACIONES INCLUYE SOLAMENTE A EMPRESAS DEDICADAS A TRABAJOS DE DEMOLICIÓN Y EXCAVACIÓN.</t>
  </si>
  <si>
    <t>TRABAJOS DE PREPARACION DE TERRENOS PARA OBRAS CIVILES</t>
  </si>
  <si>
    <t>CONSTRUCCION DE EDIFICACIONES PARA USO RESIDENCIAL INCLUYE SOLAMENTE A EMPRESAS DEDICADAS A CONSTRUCCIÓN DE CASAS, EDIFICIOS, CAMINOS, FERROCARRILES, PRESAS, CALLES Y/O OLEODUCTOS.</t>
  </si>
  <si>
    <t>CONSTRUCCION DE EDIFICACIONES PARA USO NO RESIDENCIAL</t>
  </si>
  <si>
    <t>CONSTRUCCION DE OBRAS DE INGENIERIA CIVIL INCLUYE SOLAMENTE A EMPRESAS DEDICADAS A EL MONTAJE Y/O REPARACIÓN DE OLEODUCTOS</t>
  </si>
  <si>
    <t>INSTALACIONES HIDRAULICAS Y TRABAJOS CONEXOS</t>
  </si>
  <si>
    <t>TRABAJOS DE INSTALACION DE EQUIPOS LAS EMPRESAS DEDICADAS A ACTIVIDADES DE CONSTRUCCIÓN NECESARIAS PARA HABILITAR LAS EDIFICACIONES Y LAS OBRAS CIVILES</t>
  </si>
  <si>
    <t>OTROS TRABAJOS DE ACONDICIONAMIENTO</t>
  </si>
  <si>
    <t>INSTALACION DE VIDRIOS Y VENTANAS</t>
  </si>
  <si>
    <t>OTROS TRABAJOS DE TERMINACION Y ACABADO</t>
  </si>
  <si>
    <t>EMPRESAS DEDICADAS AL COMERCIO AL POR MAYOR A CAMBIO DE UNA RETRIBUCION O POR CONTRATA DE PRODUCTOS MANUFACTURADOS INCLUYE SOLAMENTE A EMPRESAS DEDICADAS A PRODRUCTOS QUÍMICOS DE LOS MUTAGENICOS, TERATOGENICOS Y CANCERIGENOS CON O SIN AUTOTRANSPORTE</t>
  </si>
  <si>
    <t>MANTENIMIENTO Y REPARACION DE MAQUINARIA Y EQUIPO INCLUYE SOLAMENTE A EMPRESAS DEDICADAS A EL SERVICIO DE INSTALACIÓN, REPARACIÓN Y/O MANTENIMIENTO DE APARATOS DE RAYOS X, EQUIPOS Y/O FUENTES DE MATERIAL RADIACTIVO SIMILAR.</t>
  </si>
  <si>
    <t>EMPRESAS DEDICADAS AL COMERCIO AL POR MAYOR DE PRODUCTOS DIVERSOS NCP INCLUYE SOLAMENTE A EMPRESAS DEDICADAS A LA FABRICACIÓN, DEPÓSITO Y/O VENTA DE PIROCTENIA, COHETERÍA</t>
  </si>
  <si>
    <t>EMPRESAS DEDICADAS AL COMERCIO AL POR MENOR DE PRODUCTOS DIVERSOS NCP, EN ESTABLECIMIENTOS ESPECIALIZADOS INCLUYE SOLAMENTE A EMPRESAS DEDICADAS A LA VENTA DE ARTÍCULOS DE PIROTECNIA, COHETERIA</t>
  </si>
  <si>
    <t>EMPRESAS DEDICADAS AL TRANSPORTE POR TUBERIAS</t>
  </si>
  <si>
    <t>MANIPULACION DE CARGA INCLUYE SOLAMENTE A EMPRESAS DEDICADAS A EL CARGUE Y/0 DESCARGUE DE EMBARCACIONES, AEREOS, MARITIMAS Y/O FLUVIALES</t>
  </si>
  <si>
    <t>ALMACENAMIENTO Y DEPOSITO INCLUYE SOLAMENTE A EMPRESAS DEDICADAS A EL ALMACENAMIENTO DE SUSTANCIAS QUÍMICAS, GAS, PETROLEO, EXPLOSIVOS</t>
  </si>
  <si>
    <t>EMPRESAS DEDICADAS A ACTIVIDADES DE ESTACIONES DE TRANSPORTE ACUATICO</t>
  </si>
  <si>
    <t>EMPRESAS DEDICADAS A ACTIVIDADES DE AEROPUERTOS INCLUYE SOLAMENTE A EMPRESAS DEDICADAS A LOS SERVICIOS PRESTADOS COMO TECNICOS AERONAUTICOS CON FUNCIONES DE CONTROLADORES DE TRANSITO AEREO, TÉCNICOS AERONAUTICOS CON FUNCIONES DE RADIO OPERADORES.</t>
  </si>
  <si>
    <t>EMPRESAS DEDICADAS A ACTIVIDADES INMOBILIARIAS REALIZADAS CON BIENES PROPIOS O ARRENDADOS INCLUYE SOLAMENTE A EMPRESAS DEDICADAS A ACONDICIONAMIENTO DE TERRENOS</t>
  </si>
  <si>
    <t>ALQUILER DE MAQUINARIA Y EQUIPO DE CONSTRUCCION Y DE INGENIERIA CIVIL CON SUMINISTRO DE OPERARIOS</t>
  </si>
  <si>
    <t>EMPRESAS DEDICADAS A ACTIVIDADES DE ARQUITECTURA E INGENIERIA Y ACTIVIDADES CONEXAS DE ASESORAMIENTO TECNICO INCLUYE SOLAMENTE EMPRESAS DEDICADAS A ACTIVIDADES DE OBRA DE CONSTRUCCIÓN, DIRECCIÓN DE OBRAS DE CONSTRUCCIÓN, ARQUITECTURA, INGENIERIA Y AGRIMESURA, EXPLOTACIÓN Y PROSPECCIÓN GEOLOGICAS, ASESORAMIENTO TÉCNICO CONEXO INCLUYE SOLAMENTE A EMPRESAS DEDICADAS A DISEÑO INDUSTRIAL Y DEMÁQUINAS CON INTERVENCIÓN DIRECTA EN LA OBRA</t>
  </si>
  <si>
    <t>ENSAYOS Y ANALISIS TECNICOS INCLUYE SOLAMENTE A EMPRESAS DEDICADAS A SERVICIOS DE ESTUDIOS DE VULCANOLÓGICOS.</t>
  </si>
  <si>
    <t>EMPRESAS DEDICADAS A ACTIVIDADES DE INVESTIGACION Y SEGURIDAD INCLUYE SOLAMENTE A EMPRESAS DEDICADAS A LOS DACTILOSCOPISTAS EN LOS CARGOS DE DETECTIVE AGENTE, PROFESIONALES ESPECIALIZADOS, PERSONAL DE DETECTIVES EN DISTINTOS GRADOS, DIRECTORES DE ESTABLECIMIENTOS CARCELARIOS, MAYORES, CAPITANES, TENIENTES, SARGENTOS, GUARDIANES, SERVICIOS DE ESCOLTAS, SERVICIOS DE TRANSPORTE DE VALORES</t>
  </si>
  <si>
    <t>EMPRESAS DEDICADAS A ACTIVIDADES DE LIMPIEZA DE EDIFICIOS INCLUYE SOLAMENTE A EMPRESAS DEDICADAS A LOS SERVICIOS DE LIMPIEZA EXTERIOR DE FACHADAS Y/O VENTANAS</t>
  </si>
  <si>
    <t>EMPRESAS DEDICADAS A ACTIVIDADES DE DEFENSA</t>
  </si>
  <si>
    <t>EMPRESAS DEDICADAS A ACTIVIDADES DE LA JUSTICIA INCLUYE SOLAMENTE A EMPRESAS DEDICADAS A LOS SERVICIOS PRESTADOS POR LA JURISDICCIÓN PENAL COMO MAGISTRADOS, JUECES REGIONALES, JUECES PENALES DEL CIRCUITO, FISCALES Y/O SERVICIOS DE SEGURIDAD DE LA FISCALIA GENERAL DE LA NACIÓN, SERVICIOS PRESTADOS POR EL MINISTERIO PÚBLICO EN LO PENAL, COMO PROCURADORES DELEGADOS EN LO PENAL, PROCURADORES DELEGADOS PARA LOS DERECHOS HUMANSO, PROCURADORES DELEGADOS ENTE LA SALA PENAL DE LA CORTE SUPREMA DE JUSTICIA, FUNCIONARIOS Y EMPLEADOS DE LA OFICINA DE INVESTIGACIONES ESPECIALES Y EMPLEADOS DE LOS CUERPOS DE SEGURIDAD.</t>
  </si>
  <si>
    <t>EMPRESAS DEDICADAS A ACTIVIDADES DE LA POLICIA Y PROTECCION CIVIL INCLUYE EL CUERPO DE BOMBEROS</t>
  </si>
  <si>
    <t>EMPRESAS DEDICADAS A ACTIVIDADES DE LAS INSTITUCIONES PRESTADORAS DE SERVICIOS DE SALUD, CON INTERNACION INCLUYE SOLAMENTE A EMPRESAS DEDICADAS A LOS CENTROS DE ATENCIÓN MÉDICA CON RADIODIAGNOSTICO Y/O RADIOTERAPIA, CONSULTORIOS MÉDICOS Y/O ODONTOLOGICOS CUYAS UNIDADES RADIOLOGICOS NO CUMPLEN CON LAS NORMAS DE RADIOPROTECCIÓN VIGENTE.</t>
  </si>
  <si>
    <t>EMPRESAS DEDICADAS A ACTIVIDADES DE APOYO TERAPEUTICO</t>
  </si>
  <si>
    <t>EMPRESAS DEDICADAS A ACTIVIDADES DE MUSEOS Y PRESERVACION DE LUGARES Y EDIFICIOS HISTORICOS</t>
  </si>
  <si>
    <t>EMPRESAS DEDICADAS A ACTIVIDADES DEPORTIVAS Y OTRASACTIVIDADES DE ESPARCIMIENTO INCLUYE SOLAMENTE ACTIVIDADES DEPORTIVAS PROFESIONALES DE TORERO Y/O CUADRILLAS DE RUEDO, PARACAIDISTAS, CORREDORES DE AUTOMOTORES DE ALTA VELOCIDAD, ALPINISTAS, BUCEADORES, BOXEADORES, MOTOCICLISTAS, CICLISTAS Y SIMILARES</t>
  </si>
  <si>
    <t>OTRAS EMPRESAS DEDICADAS A ACTIVIDADES DE SERVICIOS NCP INCLUYE SOLAMENTE A EMPRESAS DEDICADAS A LOS TRABAJOS DE BUCEO Y LOS SERVICIOS DE BUCEO</t>
  </si>
  <si>
    <t>Otros cultivos permanentes ncp, incluye empresas dedicadas a la industria de la produccion de caucho natural o sintetico</t>
  </si>
  <si>
    <t>Actividades de apoyo a la agricultura, incluye la fumigacion y fertilizacion aerea.</t>
  </si>
  <si>
    <t>Extraccion de hulla (carbon de piedra), incluye la extraccion de diversos tipos de hulla: antracita, carbones bituminosos u otros tipos de carbon mineral por el metodo subterraneo comprende labores de acceso o desarrollo, de preparacion, de  arranque  manual  con  pico  o  con  martillo  picador,  perforacion  manual  y explosivos, perforacion semimecanizada y explosivos, perforacion mecanizada y explosivos y otros, y labores auxiliares</t>
  </si>
  <si>
    <t>Extraccion de hulla (carbon de piedra), incluye la extraccion de diversos tipos de hulla: antracita, carbones bituminosos u otros tipos de carbon mineral por el metodo, superficial o a cielo abierto.</t>
  </si>
  <si>
    <t>Extraccion de hulla (carbon de piedra), incluye la explotacion del mineral por el metodo de licuefaccion, al igual que los procesos de beneficio como el lavado, el cribado (tamizado), la clasificacion, la pulverizacion u otras actividades propias de la mineria, la gasificacion del carbon in situ.</t>
  </si>
  <si>
    <t>Extraccion de hulla (carbon de piedra), incluye las operaciones para recuperar el carbon mineral de escombreras.</t>
  </si>
  <si>
    <t>Extraccion de carbon lignito, incluye la extraccion de carbon lignito (carbon pardo), en minas subterraneas, incluso la mineria a traves de metodos de licuefaccion</t>
  </si>
  <si>
    <t>Extraccion de carbon lignito, incluye la extraccion de carbon lignito (carbon pardo) en minas a cielo abierto, incluso la mineria a traves de metodos de licuefaccion</t>
  </si>
  <si>
    <t>Extraccion  de  carbon  lignito,  incluye  las  labores  de  lavado,  deshidratacion, pulverizacion u otras operaciones</t>
  </si>
  <si>
    <t>Extraccion de petroleo crudo, incluye extraccion de petroleo crudo, condensado y bitumen  por  perforacion  de  pozos  en  yacimientos  sobre  tierra  o  plataformas marinas, el drenado y separacion de fracciones liquidas de hidrocarburos</t>
  </si>
  <si>
    <t>Extraccion  de  petroleo  crudo,  incluye  los  procesos  siguientes:  decantacion, desalinizacion,  deshidratacion,  estabilizacion,  eliminacion  de  fracciones  muy livianas  y  otros  procesos,  siempre  y  cuando  no  alteren  las  propiedades fundamentales del producto</t>
  </si>
  <si>
    <t>Extraccion de petroleo crudo, incluye la extraccion y produccion de petroleo crudo, de esquistos y arenas bituminosas.</t>
  </si>
  <si>
    <t>Extraccion  de  gas  natural,  incluye  la  produccion  de  hidrocarburos  crudos  en estado gaseoso (gas natural), el drenaje y separacion de las fracciones liquidas, la desulfuracion del gas</t>
  </si>
  <si>
    <t>Extraccion de gas natural, incluye la extraccion de hidrocarburos condensados</t>
  </si>
  <si>
    <t>Extraccion  de  gas  natural,  incluye  la  extraccion  de  hidrocarburos  liquidos obtenidos a traves de licuefaccion o pirolisis</t>
  </si>
  <si>
    <t>Extraccion del mineral de hierro, incluye la explotacion de minas metalicas, tales como: magnetita, hematita, siderita y limonita.</t>
  </si>
  <si>
    <t>Extraccion del mineral de hierro, incluye el beneficio, sinterizado y aglomeracion de minerales de hierro.</t>
  </si>
  <si>
    <t>Extraccion de minerales de uranio y torio, incluye la extraccion de  minerales valorados principalmente por su contenido de uranio y de torio (pecblenda, etc)</t>
  </si>
  <si>
    <t>Extraccion de minerales de uranio y torio, incluye la produccion de torta amarilla (yellowcake); que se obtiene de la concentracion del oxido de uranio extraido de las minas</t>
  </si>
  <si>
    <t>Extraccion de oro y otros metales preciosos, incluye la extraccion de oro, plata y otros metales del grupo del platino (osmio, iridio, rodio, rutenio y paladio) en los lechos de los rios y aluviones empleando barequeo, motobombas, draguetas, dragas, elevadores, monitores u otros.</t>
  </si>
  <si>
    <t>Extraccion de oro y otros metales preciosos, incluye la extraccion de los metales preciosos se realiza a traves del metodo de veta o filon, que consiste en la extraccion manual, mecanizada o semimecanizada de oro y de plata presentes en las rocas formando venas, vetas o filones; procesos de beneficio del mineral como la trituracion y la molienda (pulverizacion) y otros procesos tales como lavado (mazamorreo).</t>
  </si>
  <si>
    <t>Extraccion de oro y otros metales preciosos, incluye la extraccion de oro o platino de aluviones (concentracion de mineral en el lecho de los rios), el cual se realiza por  diferentes  sistemas  de  extraccion,  tales  como:  barequeo  (mazamorreo); pequeña  mineria,  representada  por  grupos  de  trabajadores  que  utilizan motobombas, elevadores y draguetas; mediana mineria, utilizando maquinaria como retroexcavadoras y buldozeres, y la gran mineria que realiza la extraccion de metales preciosos por medio de dragas de cucharas</t>
  </si>
  <si>
    <t>Extraccion de minerales de niquel, incluye la extraccion de minerales valorados principalmente por su contenido de niquel, tales como: lateritas ferroniqueliferas, pentlandita y pirrotina para la obtencion del ferroniquel</t>
  </si>
  <si>
    <t>Extraccion de otros minerales metaliferos no ferrosos ncp, incluye la extraccion de todos los minerales de metales no ferrosos (excepto niquel, uranio, torio), minerales de aluminio (bauxita), cobre, cromo, manganeso, plomo, zinc, estaño, ferroaleaciones  (cobalto,  molibdeno,  tantalio,  vanadio),  antimonio,  arsenico, bismuto,  mercurio,  plomo,  selenio,  titanio,  tungsteno,  tierras  raras  u  otros minerales metaliferos no ferrosos incluso columbita y tantalita (coltan)</t>
  </si>
  <si>
    <t>Extraccion  de  piedra,  arena,  arcillas  comunes,  yeso  y  anhidrita,  incluye  la extraccion y la explotacion de canteras para producir piedra para construccion y talla en bruto, tallada en masa o bajo forma de piedras groseramente desbastadas o simplemente cortadas mediante aserrado o por otros medios utilizados en las canteras para obtener productos tales como pizarra, marmol, granito y basalto</t>
  </si>
  <si>
    <t>Extraccion de piedra, arena, arcillas comunes, yeso y anhidrita, incluye extraccion de yeso y anhidrita</t>
  </si>
  <si>
    <t>Extraccion  de  piedra,  arena,  arcillas  comunes,  yeso  y  anhidrita,  incluye  la extraccion de arena de peña, la arena de rio y las arenas lavadas y semilavadas Las combinaciones en el sitio de acopio de los productos conocidos como roca muerta (mezcla de arena de peña y piedra) La extraccion y preparacion de las arcillas  utilizadas  principalmente  para  la  elaboracion  de  productos  para construccion como ladrillos, tejas, tubos, etc</t>
  </si>
  <si>
    <t>Extraccion  de  piedra,  arena,  arcillas  comunes,  yeso  y  anhidrita,  incluye  las actividades  propias  de  las  explotaciones  de  tipo  empresarial,  es  decir,  los procesos de extraccion, arranque, acumulacion y cargue del producto arcilloso</t>
  </si>
  <si>
    <t>Extraccion  de  piedra,  arena,  arcillas  comunes,  yeso  y  anhidrita,  incluye  la actividad de explotacion y extraccion de arena de rio, grava y gravilla, la cual va desde la colocacion de tambres en los rios, su acumulacion en montones y su cargue en los vehiculos de transporte La actividad de mezcla manual en el sitio de acopio para producir compuestos conocidos como mixtos (mezcla de arena de rio, grava y gravilla)</t>
  </si>
  <si>
    <t>Extraccion de arcillas de uso industrial, caliza, caolin y bentonitas, incluye la extraccion  de  caolin,  arcillas  grasas,  arcillas  refractarias,  bentonita,  arcillas blanqueadoras, arcillas miscelaneas y otras de uso industrial, diferentes a las utilizadas en la elaboracion de ladrillo, tejas y similares</t>
  </si>
  <si>
    <t>Extraccion  de  arcillas  de  uso  industrial,  caliza,  caolin  y  bentonitas,  incluye extraccion a cielo abierto de caliza y dolomita sin calcinar (rocas carbonatadas), el transporte dentro y fuera de la mina, hasta el sitio de acopio</t>
  </si>
  <si>
    <t>Extraccion de arcillas de uso industrial, caliza, caolin y bentonitas, incluye la extraccion subterranea de caliza y dolomita sin calcinar (rocas carbonatadas), el transporte dentro y fuera de la mina, hasta el sitio de acopio.</t>
  </si>
  <si>
    <t>Extraccion de arcillas de uso industrial, caliza, caolin y bentonitas, incluye la extraccion de arenas y gravas siliceas en agregados naturales de fragmentos de minerales y de rocas sin consolidar.</t>
  </si>
  <si>
    <t>Extraccion de arcillas de uso industrial, caliza, caolin y bentonitas, incluye la extraccion manual o mecanica y las operaciones de trituracion, tamizado, lavado, mezcla y almacenamiento del material y las labores realizadas en cercanias al sitio de extraccion.</t>
  </si>
  <si>
    <t>Extraccion de arcillas de uso industrial, caliza, caolin y bentonitas, incluye la explotacion a cielo abierto o el dragado de yacimientos bajo agua de depositos sedimentarios  marinos  y  continentales  de  las  arenas  y  gravas  industriales relativas a esta clase</t>
  </si>
  <si>
    <t>Extraccion de arcillas de uso industrial, caliza, caolin y bentonitas, incluye algunos procesos de beneficio como trituracion, molienda, clasificacion y otros necesarios para mejorar la calidad y facilitar el transporte, siempre y cuando se hagan cerca al sitio de extraccion y por cuenta del explotador.</t>
  </si>
  <si>
    <t>Extraccion  de  esmeraldas,  piedras  preciosas  y  semipreciosas,  incluye  la extraccion todas las variedades de esmeraldas en bruto, sin trabajar: simplemente hendidas o desbastadas, extraccion de otras piedras preciosas (diamante, rubi, zafiro, entre otras) y semipreciosas en bruto, sin trabajar: simplemente hendidas o desbastadas</t>
  </si>
  <si>
    <t>Extraccion de minerales para la fabricacion de abonos y productos quimicos, incluye la extraccion de minerales de potasio, nitrogeno, fosforo y azufre nativo o combinado  con  otros  elementos  formando  sulfuros,  sulfatos  y  compuestos organicos, roca fosforica, fosfatos naturales y sales de potasio naturales, sulfato y carbonato de bario naturales, entre otros, los minerales cuya explotacion forma parte de esta clase pueden haber sido triturados, molidos, cribados y clasificados, siempre y cuando estos procesos se realicen como parte de la extraccion y por cuenta del explotador</t>
  </si>
  <si>
    <t>Extraccion de minerales para la fabricacion de abonos y productos quimicos, incluye la extraccion, transporte y trituracion del mineral de mena como pirita, calcopirita, cinabrio, covelita, estibina, argentita, galena, esfalerita, tenardita y anhidrita, la extraccion de fluorita o fluorespato.</t>
  </si>
  <si>
    <t>Extraccion de minerales para la fabricacion de abonos y productos quimicos, incluye  la  extraccion  de  minerales  ferrosos  valorados  principalmente  por  su contenido de pirita y pirrotina, que son sulfuros de hierro</t>
  </si>
  <si>
    <t>Extraccion de halita (sal), incluye la extraccion de sal del subsuelo, la extraccion de sal de roca (sal gema), la extraccion de sal del subsuelo, incluso mediante disolucion  con  agua  dulce  de  los  cloruros  solubles  contenidos  en  el  mineral extraido, dando lugar a una salmuera que es transportada por tuberia (salmuera ducto)  a  una  segunda  planta  de  procesamiento  donde  se  inicia  el  proceso industrial  para  obtener  la  sal,  la  trituracion,  la  purificacion  y  la  refinacion (cristalizacion) de sal cuando el proceso de refinacion se lleva a cabo en el sitio de la extraccion por el productor</t>
  </si>
  <si>
    <t>Extraccion  de  otros  minerales  no  metalicos  ncp,  incluye  la  extraccion  y aglomeracion de turba</t>
  </si>
  <si>
    <t>Extraccion de otros minerales no metalicos ncp, incluye la extraccion en minas y canteras de minerales y otros materiales ncp, extraccion de feldespatos en especial las variedades ortoclasa, microclina, albita, oligoclasa y andesina, micas, los minerales principales del grupo de las micas son las moscovitas (mica blanca), la flogopita (mica ambar) y la biotita (mica negra), magnesita, talco (esteatita), pumita, diatomitas llamadas tambien tierras de diatomacea, asfalto natural, rocas asfalticas,  bitumen  natural  solido,  cuarzo  y  grafito  natural  La  extraccion  de asbestos, de los cuales el mas importante es la variedad fibrosa de serpentina llamada crisolito</t>
  </si>
  <si>
    <t>Actividades de apoyo para la extraccion de petroleo y de gas natural, incluye servicios de exploracion relacionados con la extraccion de petroleo y gas, por ejemplo,  metodos  tradicionales  tales  como  el  muestreo  y  la  realizacion  de observaciones geologicas en los posibles yacimientos</t>
  </si>
  <si>
    <t>Actividades de apoyo para la extraccion de petroleo y de gas natural, incluye; la perforacion dirigida y la reperforacion, la perforacion inicial, la ereccion, reparacion y desmantelamiento de torres de perforacion, la cementacion de los tubos de encamisado de los pozos de petroleo y de gas; el bombeo de los pozos, el taponamiento y abandono de pozos, etc.</t>
  </si>
  <si>
    <t>Actividades de apoyo para la extraccion de petroleo y de gas natural, incluye la licuefaccion y la regasificacion de gas natural.</t>
  </si>
  <si>
    <t>Actividades de apoyo para la extraccion de petroleo y de gas natural, incluye los servicios de drenaje y de bombeo y sondeos para la extraccion de petroleo o gas.</t>
  </si>
  <si>
    <t>Actividades de apoyo para la extraccion de petroleo y de gas natural, incluye servicios de prevencion y extincion de incendios en campos de petroleo y gas.</t>
  </si>
  <si>
    <t>Actividades de apoyo para otras actividades de explotacion de minas y canteras a cambio de una retribucion o por contrata, necesario para las actividades mineras de  las  divisiones  de  extraccion  de  carbon  de  piedra  y  lignito,  extraccion  de minerales metaliferos y extraccion de otras minas y canteras, incluye los servicios de exploracion; por ejemplo, metodos de prospeccion tradicionales, como la toma de muestras y la realizacion de observaciones geologicas en posibles sitios de explotacion</t>
  </si>
  <si>
    <t>Actividades de apoyo para otras actividades de explotacion de minas y canteras, a cambio de una retribucion o por contrata Incluye los servicios de drenaje, bombeo y pruebas de perforacion y sondeo</t>
  </si>
  <si>
    <t>Tejeduria de productos textiles, incluye la fabricacion de telas tejidas con hilados de fibras de vidrio.</t>
  </si>
  <si>
    <t>Aserrado, acepillado e impregnacion de la madera, incluye las actividades de los aserraderos y plantas acepilladoras, el tableado, descortezado y desmenuzado de troncos, la transformacion de madera rebanada o desenrollada de un espesor mayor al que se utiliza en los tableros contrachapados.</t>
  </si>
  <si>
    <t>Fabricacion de partes y piezas de madera, de carpinteria y ebanisteria para la construccion, incluye fabricacion, montaje, instalacion de productos de madera utilizados  principalmente  en  la  industria  de  la  construccion,  como  tableros, armarios empotrados y articulos que formen parte de la estructura, instalacion de partes o piezas de carpinteria</t>
  </si>
  <si>
    <t>Fabricacion de partes y piezas de madera, de carpinteria y ebanisteria para la construccion, incluye la fabricacion de casas y/o edificios prefabricados o de elementos similares constitutivos principalmente de madera.</t>
  </si>
  <si>
    <t>Fabricacion de partes y piezas de madera, de carpinteria y ebanisteria para la construccion,  incluye,  la  fabricacion  e  instalacion  de  armazones  de  madera laminadas, encoladas y armazones de madera prefabricados con uniones de metal, prefabricados y divisiones de madera de caracter fijo</t>
  </si>
  <si>
    <t>Fabricacion de productos de hornos de coque, incluye la produccion de coque y semicoque  a  partir  de  la  hulla  y  el  lignito  ya  sea  en  grandes  baterias  de coquizacion o pequeños hornos de colmena, La produccion de gas de coqueria, aunque generalmente el funcionamiento de hornos de coque sea utilizado parcial o totalmente para el abastecimiento de los mismos hornos; La produccion de alquitran de hulla y de lignito crudo, brea y coque de brea, aglomeracion de coque</t>
  </si>
  <si>
    <t>Fabricacion de productos de la refinacion del petroleo, incluye la produccion de combustibles  gaseosos  como  etano,  propano  y  butano  Esta  mezcla  al comprimirla pasa al estado liquido y se conoce como gas licuado de petroleo (GLP) y combustibles liquidos como gasolinas, queroseno, diesel, bencina, etc</t>
  </si>
  <si>
    <t>Fabricacion de productos de la refinacion del petroleo, incluye el procesamiento de  derivados  del  petroleo  tales  como  las  bases  lubricantes,  combustibles, disolventes, etcetera, mediante la adicion de antioxidantes, anticorrosivos</t>
  </si>
  <si>
    <t>Fabricacion de productos de la refinacion del petroleo, incluye el procesamiento y la mezcla de disolventes derivados del petroleo para la obtencion de otros con propiedades y aplicaciones particulares como por ejemplo, thinner</t>
  </si>
  <si>
    <t>Fabricacion de productos de la refinacion del petroleo, incluye la produccion de productos  petroquimicos  e  industriales,  tales  como:  disolventes  alifaticos, benceno, tolueno y xilenos mezclados, propileno, ciclohexano, bases lubricantes, azufre petroquimico y arotar (alquitran), entre otros</t>
  </si>
  <si>
    <t>Fabricacion de productos de la refinacion del petroleo, incluye la fabricacion y obtencion de derivados de la refinacion y purificacion de las bases lubricantes como la vaselina, cera parafinica, parafina y ceras, la produccion de aceite de alumbrado, grasas lubricantes y otros productos, a partir del petroleo crudo y de minerales  bituminosos  (excepto  el  carbon  o  hulla),  o  que  resultan  de  su procesamiento por destilacion fraccionada, o extraccion con solventes como el asfalto, acidos naftenicos, etc</t>
  </si>
  <si>
    <t>Fabricacion   de   sustancias   y   productos   quimicos   basicos,   incluye   el enriquecimiento  de  minerales  de  uranio  y  torio  y  produccion  de  elementos combustibles   para   reactores   nucleares,   fabricacion   y   preparacion   de radiofarmacos terapeuticos utilizados en medicina nuclear, instituciones o centros de ciencias nucleares o energias alternativas que manejen radioisotopos y manejo de residuos nucleares</t>
  </si>
  <si>
    <t>Fabricacion de sustancias y productos quimicos basicos, incluye la fabricacion y el enriquecimiento de minerales de uranio y torio y la produccion de elementos combustibles para reactores nucleares, hidroxidos: soda caustica, radiofarmacos, sales organicas, fabricacion de productos toxicos y/o causticos.</t>
  </si>
  <si>
    <t>Fabricacion de sustancias y productos quimicos basicos, incluye la fabricacion de hidrocarburos  saturados  aislados  y  sus  isotopos,  insaturados,  compuestos aromaticos (ciclicos insaturados como: benceno, tolueno, estireno), compuestos aromaticos (ciclicos insaturados como: benceno, tolueno, estireno); sus derivados halogenados  (cloruro  de  vinilo,  cloroformo),  derivados  sulfonados,  nitrados  o nitrosados,   etcetera,   sustancias   o   productos   quimicos   que   pueden   ser cancerigenos, teratogenicos y/o mutagenicos</t>
  </si>
  <si>
    <t>Fabricacion de plasticos en formas primarias, incluye la fabricacion de polimeros de etileno, propileno, estireno; policloruro de vinilo (PVC), teflon (politetrafluoruro de  etileno);  poliacetatos  de  vinilo,  resinas  acrilicas,  poliolefinas,  poliuretanos, resinas epoxicas, alquidicas, fenolicas y similares La fabricacion de poliacetales, resinas  alquidicas,  resina  de   poliesteres   y  polieteres,   resinas  epoxicas, policarbonatos, poliamidas, amino-resinas, resinas fenolicas (baquelita), resinas urea-formol, poliuretanos, politerpenos sinteticos y siliconas</t>
  </si>
  <si>
    <t>Fabricacion de plasticos en formas primarias, incluye la fabricacion de celulosa y sus    derivados    quimicos    como    nitrocelulosa,    acetato    de    celulosa, carboximetilcelulosa, etc</t>
  </si>
  <si>
    <t>Fabricacion de caucho sintetico en formas primarias liquidos y pastas (incluido el latex,  aunque  este  prevulcanizado,  y  ademas  dispersiones  y  disoluciones), bloques  irregulares,  trozos,  balas,  polvo,  granulos  y  masas  no  coherentes similares, incluye la produccion de caucho sintetico o gomas sinteticas a partir de aceite vegetal, en formas primarias como el facticio</t>
  </si>
  <si>
    <t>Fabricacion de caucho sintetico en formas primarias, liquidos y pastas (incluido el latex,  aunque  este  prevulcanizado,  y  ademas  dispersiones  y  disoluciones), bloques  irregulares,  trozos,  balas,  polvo,  granulos  y  masas  no  coherentes similares, incluye la obtencion de productos por mezclado de caucho sintetico y caucho natural en formas primarias</t>
  </si>
  <si>
    <t>Fabricacion  de  plaguicidas  y  otros  productos  quimicos  de  uso  agropecuario, incluye la preparacion de insecticidas, raticidas, fungicidas, herbicidas, productos antigerminacion de plantas y reguladores del crecimiento y demas productos agroquimicos ncp</t>
  </si>
  <si>
    <t>Fabricacion  de  plaguicidas  y  otros  productos  quimicos  de  uso  agropecuario, incluye  la  produccion  de  insecticidas  biologicos  o  bioinsecticidas,  cultivos artificiales de microorganismos para mejoramiento de cultivos agricolas;</t>
  </si>
  <si>
    <t>Fabricacion de otros productos quimicos ncp, incluye la fabricacion, deposito y venta  de  los  explosivos  y  polvoras  preparados  a  partir  de  azufre,  nitratos, nitrocelulosa,  trinitrotolueno  (TNT),  nitroglicerina,  polvora  sin  humo,  polvoras propulsoras,   incluso   propergoles   (combustibles   para   cohetes),   productos pirotecnicos  como  antorchas,  encendedores,  teas,  etc,  otros  preparados explosivos  como  mechas  detonadoras,  de  seguridad  y  mechas  lentas  (o  de mineria), capsulas y cebos fulminantes, etc</t>
  </si>
  <si>
    <t>Fabricacion de otros productos quimicos ncp, incluye la fabricacion de fuegos artificiales,   productos   pirotecnicos,   explosivos   y   polvoras,   preparaciones anticongelantes y de antidetonantes</t>
  </si>
  <si>
    <t>Fabricacion de vidrio y productos de vidrio, incluye fabricacion de vidrio, productos de vidrio en masa y bajo otras formas, trabajado o no, incluidos las laminas, las planchas y los tubos o las varillas; botellas, frascos y otros envases de vidrio o cristal; vidrio plano de distintas caracteristicas fisicas incluso vidrio con armado de alambre y vidrio coloreado o teñido; cristaleria de laboratorio como cajas para el cultivo de microorganismos (caja de Petri), buretas, campanas especiales y cuentagotas generalmente trabajados en vidrio especial, cristaleria higienica y farmaceutica como irrigadores, lavaojos, inhaladores, etc.</t>
  </si>
  <si>
    <t>Fabricacion de vidrio y productos de vidrio, incluye la fabricacion de aislantes de vidrio y accesorios aislantes de vidrio, fabricacion de fibras de vidrio (incluso lana de vidrio) e hilados de fibras de vidrio. Productos no tejidos de fibra de vidrio como esteras, colchones de aislamiento termoacustico, tapetes, paneles, tableros y articulos similares.</t>
  </si>
  <si>
    <t>Fabricacion de cemento y yeso, incluye la fabricacion de clinkers y cementos hidraulicos, incluidos cemento portland, cemento aluminoso, cemento de escorias y cemento hipersulfatado; yesos a partir de yeso calcinado y/o sulfato de calcio.</t>
  </si>
  <si>
    <t>Fabricacion de articulos de hormigon, cemento y yeso, incluye la fabricacion de articulos de asbesto -cemento, fibrocemento de celulosa o materiales similares como:  laminas  lisas  y  onduladas,  tableros,  losetas,  tubos,  tanques  de  agua, cisternas, lavabos, lavaderos, cantaros, marcos para ventanas y otros articulos</t>
  </si>
  <si>
    <t>Corte, tallado y acabado de la piedra, incluye el corte, tallado y acabado de la piedra  para  la  construccion  de  edificios,  carreteras,  muebles  de  piedra, monumentos funerarios, estatuas (no originales artisticas), andenes, techos y otros usos</t>
  </si>
  <si>
    <t>Fabricacion  de  otros  productos  minerales  no  metalicos  ncp,  incluye  la fabricacion de productos de lana de vidrio; materiales aislantes de origen mineral: lana  de  escorias,  lana  de roca  y  otras  lanas  minerales similares,  vermiculita dilatada, arcillas dilatadas, materiales similares para aislamiento termico o sonoro y para absorber el sonido</t>
  </si>
  <si>
    <t>Fabricacion  de  otros  productos  minerales  no  metalicos  ncp,  incluye,  la fabricacion de hilas, hilados y telas de asbesto, materiales de friccion sobre una base de asbesto; cordones y cordeles; elaborados con telas de asbesto como prendas de vestir, cubrecabezas, calzado, papel, fieltro, etc;  de otras sustancias minerales y de celulosa, combinados o no con otros materiales como por ejemplo, placas, bandas, etc</t>
  </si>
  <si>
    <t>Industrias basicas de hierro y de acero,  incluye el funcionamiento de los altos hornos, hornos electricos, convertidores de acero, coladas continuas,  talleres y/o trenes de laminado  y de  acabado, bancos de  trefilacion;  las  operaciones de conversion por reduccion del mineral de hierro en altos hornos y convertidores de oxigeno;  o  de  escoria  o  chatarra  ferrosa  en  hornos  electricos;  o  por  directa reduccion  del  mineral  de  hierro  sin  fusion  para  obtener  acero  en  bruto;  la refundicion de lingotes de chatarra, de hierro o acero</t>
  </si>
  <si>
    <t>Industrias basicas de hierro y de acero, incluye la produccion de ferroaleaciones, la fabricacion de hierro granular (granalla) y polvo de hierro; produccion de arrabio y hierro en lingotes, bloques y en otras formas primarias, incluso hierro especular; produccion de palanquillas, tochos, barras, palastros u otras formas de hierro, acero o acero de aleacion en estado semiacabado.</t>
  </si>
  <si>
    <t>Industrias basicas de hierro y de acero, incluye la produccion de coque, cuando constituye una actividad integrada a los procesos metalurgicos (alto horno) para la obtencion de acero.</t>
  </si>
  <si>
    <t>Industrias basicas de hierro y de acero, incluye la produccion de acero mediante procesos neumaticos o de coccion; lingotes de acero o de acero de aleacion y de otras formas primarias de acero.</t>
  </si>
  <si>
    <t>Industrias basicas de hierro y de acero, incluye la fabricacion de productos de hierro, acero y acero de aleacion, laminados, estirados, trefilados, extrudidos, entre otros procesos de manufactura</t>
  </si>
  <si>
    <t>Industrias  basicas  de  hierro  y  de  acero,  incluye  la  produccion  de  productos ferrosos mediante reduccion directa de hierro y de otros productos de hierro esponjoso La produccion de hierro de pureza excepcional mediante electrolisis u otros procesos quimicos</t>
  </si>
  <si>
    <t>Industrias basicas de otros metales no ferrosos, incluye la produccion de metales comunes no ferrosos (aluminio, plomo, cinc, estaño, cromo, manganeso, niquel, entre otros) utilizando mineral en bruto, mineral en mata, otras materias primas intermedias entre el mineral en bruto y el metal (por ejemplo, alumina), o desechos y chatarra de este tipo de metales; alumina, matas de cobre, y matas de niquel.</t>
  </si>
  <si>
    <t>Industrias  basicas  de  otros  metales  no  ferrosos,  incluye  las  operaciones  de fundicion,  de  refinacion  electrolitica  o  de  otra  indole  para  producir  metales comunes no ferrosos sin labrar o trabajar; la fundicion y la refinacion de niquel, cobre, plomo, cromo, manganeso, cinc, aluminio, estaño u otros metales comunes no ferrosos y aleaciones de esos metales</t>
  </si>
  <si>
    <t>Industrias basicas de otros metales no ferrosos, incluye la fundicion y la refinacion de uranio, la produccion de uranio metalico a partir de la pechblenda (dioxido de uranio) o de otros minerales.</t>
  </si>
  <si>
    <t>Fundicion de hierro y de acero, incluye las actividades de talleres de fundicion de hierro y de acero tales como: modelacion, moldeado, fundicion y colada, limpieza y acabados, tratamiento termico del hierro o acero, entre otras actividades; la fabricacion de productos semiacabados y acabados a partir de la fundicion de: hierro blanco, hierro gris, hierro de grafito, hierro nodular o hierro ductil, hierro maleable, acero.</t>
  </si>
  <si>
    <t>Fundicion de hierro y de acero, incluye la fabricacion de tubos, caños y perfiles huecos y las conexiones de tubos o caños en hierro fundido, hierro gris, hierro ductil, hierro maleable o acero de fundicion; fabricacion de tubos y caños de acero sin costura por fundicion centrifuga, y accesorios para tuberia en acero fundido; fabricacion de piezas de acero con geometrias complejas por medio de la tecnica de microfundicion.</t>
  </si>
  <si>
    <t>Fundicion de metales no ferrosos,  incluye las actividades de talleres de fundicion de metales no ferrosos,  tales como: modelacion, moldeado, fundicion y colada, limpieza  y  acabados,  tratamiento  termico  del  metal,  entre  otras  actividades; fabricacion de productos semi acabados y acabados a partir de la fundicion de aluminio, magnesio, titanio, cinc, entre otros metales no ferrosos y de la aleacion de estos metales; la fabricacion de piezas a partir de la fundicion de metal de alta y baja densidad, y de piezas con geometrias complejas por medio de la tecnica de microfundicion</t>
  </si>
  <si>
    <t>Fabricacion de productos metalicos para uso estructural, incluye la fabricacion, ereccion o montaje de estructuras metalicas y construcciones prefabricadas de metal a partir de piezas de fabricacion propia; la fabricacion de edificaciones y componentes prefabricados en metal (ej: casetas de obra, oficinas, bodegas, hangares,  elementos  modulares  para  exposiciones,  entre  otros);  estructuras metalicas o armazones, partes de estructuras metalicas, elaboradas de acero y productos  similares  tales  como  puentes  y  secciones  de  puentes,  torres,  por ejemplo, para la extraccion en pozos de minas, torres electricas, entre otros; columnas,  vigas,  andamiajes  tubulares,  armaduras,  arcos,  cabios,  es  decir, listones atravesados a las vigas para formar suelos y techos; castilletes para bocas  de  pozos,  soportes  telescopicos,  compuertas  de  esclusas,  muelles, espigones</t>
  </si>
  <si>
    <t>Fabricacion de tanques, depositos y recipientes de metal, excepto los utilizados para el envase o transporte de mercancias, incluye la fabricacion de recipientes de  metal  generalmente  cilindricas  (tubos  o  botellas),  para  gas  comprimido  o licuado (oxigeno liquido, nitrogeno liquido), de cualquier capacidad; calderas y radiadores  para  calefaccion  central,  las  que  se  utilizan,  por  ejemplo,  para calefaccion  de  las  viviendas,  fabricas,  invernaderos,  entre  otros;  tanques, cisternas o recipientes similares de metal utilizados habitualmente como equipo fijo para el almacenamiento o la produccion de los establecimientos industriales Fabricacion de cubas y tanques sin accesorios termicos y metalicos</t>
  </si>
  <si>
    <t>Fabricacion de generadores de vapor, excepto calderas de agua caliente para calefaccion central, incluye la fabricacion de calderas generadoras de vapor de agua y de otros vapores de mediana y alta potencia que permiten aumento de las presiones del orden de 2000 libras</t>
  </si>
  <si>
    <t>Fabricacion de generadores de vapor, excepto calderas de agua caliente para calefaccion central, incluye la fabricacion de piezas para calderas marinas y de potencia,   equipos   auxiliares   para   calderas   tales   como   condensadores, economizadores de agua para su calentamiento previo; recalentadores, cilindros recolectores que recogen el vapor de un grupo de calderas; acumuladores de vapor, es decir, grandes depositos cilindricos de acero en los que se acumula una reserva de vapor Asimismo, se incluyen los deshollinadores, recuperadores de gases  y  dispositivos  sacabarros;  todos  estos  accesorios  se  fabrican  con  las mismas tecnicas y materiales que los de la caldera</t>
  </si>
  <si>
    <t>Fabricacion de generadores de vapor, excepto calderas de agua caliente para calefaccion central, incluye la fabricacion de reactores nucleares para todos los fines, menos para la separacion de isotopos.</t>
  </si>
  <si>
    <t>Fabricacion de armas y municiones, incluye la fabricacion de armamento pesado (piezas de artilleria, cañones moviles, incluidos aquellos montados en vagones de ferrocarril,  lanzallamas,  lanzacohetes,  lanzamisiles  y  lanzaproyectiles;  tubos lanzatorpedos, ametralladoras pesadas, entre otros)</t>
  </si>
  <si>
    <t>Fabricacion de armas y municiones, incluye la fabricacion de misiles balisticos de corto y mediano alcance, cohetes de combate y proyectiles para tanques de guerra.</t>
  </si>
  <si>
    <t>Fabricacion de armas y municiones, incluye la fabricacion de aparatos explosivos tales como bombas, granadas de mano, granadas de fusil, granadas de gas, granadas incendiarias y similares, minas y torpedos.</t>
  </si>
  <si>
    <t>Forja,  prensado,  estampado  y  laminado  de  metal;  pulvimetalurgia,  incluye  la fabricacion de articulos metalicos, acabados o semiacabados, mediante forja, prensado,  estampado  o  laminado  por  medio  de  procesos  en  que  se  utilizan rodillos  de  compresion  o  procesos  de  pulvimetalurgia,  sinterizacion  o  a compresion</t>
  </si>
  <si>
    <t>Tratamiento y revestimiento de metales, mecanizado, incluye procedimientos de limpieza con chorro de arena; los procesos de reduccion de masa de metales como taladrado, torneado, limado, cepillado, fresado, erosion, triturado, aserrado, entre otros procesos de arranque de viruta o de abrasion; El corte y grabado de metales mediante el uso de rayos laser.</t>
  </si>
  <si>
    <t>Fabricacion de otros productos elaborados de metal ncp, incluye la fabricacion de cajas de caudales, cajas fuertes, porticos y puertas de camaras blindadas, acorazadas o reforzadas, entre otros La fabricacion de piezas y accesorios para vias  de  ferrocarril  y  de  tranvia  ensambladas  y  fijadas  (por  ejemplo,  carriles ensamblados, plataformas giratorias, potros de contencion, entre otros)</t>
  </si>
  <si>
    <t>Fabricacion  de  equipo  de  irradiacion  y  equipo  electronico  de  uso  medico  y terapeutico, incluye fabricacion  y mantenimiento   de aparatos, de  irradiacion, electro medicos y electro terapeuticos, industriales, cientificas y de investigacion, generadores     de     alta     tension     (cuando     presentan     caracteristicas radiologicas);paneles,  mesas  y  pantallas  radiologicas  de  control  y  artefactos similares, tales como equipos de imagenes de resonancia magnetica; de escaner CT  (tomografia  Computarizada);  escaner  PET  (Tomografia  por  Emision  de Positrones); equipos MRI (Imagen por Resonancia Magnetica); equipos medicos laser</t>
  </si>
  <si>
    <t>Fabricacion de motores, turbinas y partes para motores de combustion interna, incluye la fabricacion de turbinas de vapor de agua, hidraulicas, eolicas, a gas, turbo calderas y maquinas de vapor estaticas con caldera integral, reconstruccion y mantenimiento de turbinas, turbocalderas y maquinas de vapor estaticas con caldera integral, excepto los turbopropulsores de reaccion o de helice, para la propulsion de aeronaves.</t>
  </si>
  <si>
    <t>Fabricacion de equipos de potencia hidraulica y neumatica incluye la fabricacion de componentes para equipos de potencia hidraulica y neumatica (incluyendo bombas  y  motores  hidraulicos,  cilindros  hidraulicos  y  neumaticos,  valvulas, mangueras, empalmes y accesorios hidraulicos y neumaticos); de dispositivos de preparacion de aire para uso en sistemas neumaticos; por ejemplo, los filtros desunificadores para sistemas neumaticos e hidraulicos y dispositivos de limpieza de  aire;  de  sistemas  de  propulsion  hidraulica  o  neumatica;  de  equipo  de transmision hidraulica</t>
  </si>
  <si>
    <t>Fabricacion de otras bombas, compresores, grifos y valvulas incluye la fabricacion de bombas de aire y vacio, compresores de aire u otros gases, La fabricacion de bombas para liquidos, diferentes de las bombas hidraulicas, que tengan o no dispositivos de medicion, incluso bombas de mano y bombas para motores de combustion  interna  de  embolo  (bombas  de  aceite,  agua  y  combustible  para vehiculos  automotores),  bombas  para  impeler  hormigon  y  otras  bombas,  La fabricacion de grifos, llaves de paso, valvulas y accesorios similares metalicos o de plastico para tubos, calderas, tanques, cubas y artefactos similares, incluso valvulas  reductoras  de  presion  y  valvulas  reguladas  termostaticamente,   La fabricacion de bombas manuales;  La fabricacion de grifos y valvulas sanitarios, la fabricacion de grifos y valvulas de calefaccion</t>
  </si>
  <si>
    <t>Fabricacion  de  cojinetes,  engranajes,  trenes  de  engranajes  y  piezas  de transmision incluye la fabricacion de cojinetes de bola y de rodillo, incluso bolas, agujas, rodillos, anillos de rodadura, anillos de sujecion y otras partes de cojinetes; La fabricacion de equipo mecanico de todo tipo de material para la transmision: manivelas; arboles de transmision, chumaceras, cajas de cojinetes y cojinetes simples para ejes, engranajes, trenes de engranajes, ruedas de friccion; cajas de engranajes y otros dispositivos para cambios de marchas; embragues, incluso embragues centrifugos automaticos y embragues de aire comprimido; volantes, acoplamientos de arboles, fabricacion de poleas; La fabricacion de partes internas del motor, tales como arboles de levas, cigüeñales y volantes, empleados en todo tipo  de  motores  de  combustion  interna,  incluso  para  vehiculos  automotores, aeronaves y motocicletas;  La fabricacion de cadenas de eslabones articulados y cadenas de transmision de potencia mecanica</t>
  </si>
  <si>
    <t>Fabricacion de equipos de elevacion y manipulacion, incluye la fabricacion de maquinas para mover fisicamente materiales, mercancias y personas distintas de los vehiculos de circulacion por carretera; maquinaria sencilla o compleja, para accion  continua  o  intermitente,  estacionaria  o  movil,  y  maquinas  montadas permanentemente en bastidores con ruedas; polipastos y elevadores, cabrias y cabrestantes, gatos; gruas de brazo movil, gruas corrientes, incluso gruas de cable, bastidores, elevadores moviles, camiones de portico alto, esten provistos o no  de  una  grua  u  otro  equipo  de  elevacion   o  manipulacion,  y  sean autopropulsadas o no, como las que se utilizan en fabricas, almacenes, muelles, andenes de ferrocarril y otros lugares, incluso tractores para uso en los andenes de  las  estaciones  ferroviarias;  otra  maquinaria  para  elevacion,  manipulacion, carga o descarga (por ejemplo, montacargas, ascensores, elevadores de liquidos, bandas transportadoras); carretillas de faena, esten provistas o no de equipo de elevacion o manipulacion, y sean autopropulsadas o no, como las que se utilizan en fabricas (incluidas carretillas y carros de mano)</t>
  </si>
  <si>
    <t>Fabricacion de equipos de elevacion y manipulacion, incluye la fabricacion de telefericos,  transportadores  por  cable  y  funiculares;  escaleras  mecanicas  y pasarelas  moviles;  manipuladores  mecanicos  y  robots  industriales  diseñados especificamente   para   elevacion,   especiales   de   equipo   de   elevacion   y manipulacion  carga  y  descarga;  partes  especiales  de  equipo  de  elevacion  y manipulacion, incluso como cangilones, cucharas y pinzas, excepto palas para topadoras, angulares o no</t>
  </si>
  <si>
    <t>Fabricacion de otros tipos de maquinaria y equipo de uso general ncp, incluye fabricacion de calandrias y otras maquinas de laminado, diseño y montaje de calefaccion   y/o   refrigeracion,   fabricacion   de   aparatos   autonomos   de acondicionamiento  de  aire,  intercambiadores  de  calor,  equipos  para  impeler, esparcir y asperjar liquidos y polvos</t>
  </si>
  <si>
    <t>Fabricacion de otros tipos de maquinaria y equipo de uso general n.c.p., incluye fabricacion de maquinas de limpieza mediante aspersion de arena a presion, de limpieza a vapor y otras maquinas similares de proyeccion a chorro,</t>
  </si>
  <si>
    <t>Fabricacion de otros tipos de maquinaria y equipo de uso general ncp, incluye la  fabricacion  de  plantas  destiladoras  y  rectificadoras  para  las  refinerias  de petroleo,  la  industria  quimica,  la  industria  de  elaboracion  de  bebidas,  etc Gasogenos de gas pobre y gas de agua, y gasogenos de acetileno</t>
  </si>
  <si>
    <t>Fabricacion de otros tipos de maquinaria y equipo de uso general ncp, incluye la  fabricacion  de  tanques,  cisternas  y  contenedores  provistos  de  dispositivos mecanicos o termicos, balanzas para vehiculos</t>
  </si>
  <si>
    <t>Fabricacion  de  maquinas  formadoras  de  metal  y  de  maquinas  herramienta, incluye la fabricacion de maquinas herramienta que usan como medio de trabajo rayo laser, ondas ultrasonicas, chorro de plasma, pulso magnetico,  laminado a presion, taladradoras rotatorias y de percusion, prensas hidraulicas, la fabricacion de   prensas   para   la   fabricacion   de   tableros   de   particulas   y   fibras   de contrachapados u otros materiales leñosos para la construccion, y otra maquinaria y equipo para trabajar la madera o el corcho</t>
  </si>
  <si>
    <t>La fabricacion de maquinas y equipo para la manipulacion de metales en caliente: convertidores,  lingoteras,  calderos  de  colada  y  maquinas  de  fundir  del  tipo utilizado en la metalurgia o en talleres de fundicion de metales La fabricacion de maquinas laminadoras de metal y sus rodillos</t>
  </si>
  <si>
    <t>Fabricacion de maquinaria para explotacion de minas y canteras y para obras de construccion, incluye la fabricacion de maquinaria de elevacion y manipulacion, equipo para perforar e hincar destinados o no, a usos subterraneos, ascensores de accion continua o equipo de cintas o bandas transportadoras; La fabricacion de  maquinas  para  hincar  y  arrancar  pilotes,  y  maquinas  compactadoras; mezcladoras de hormigon y mortero, maquinas de moldeamiento, extrusoras, tractores de oruga utilizados en la construccion, maquinas para movimiento de tierra La fabricacion de maquinas utilizadas en la construccion no clasificadas ni incluidas en otra parte: esparcidoras de hormigon, equipo de construccion de carreteras  (por  ejemplo,  esparcidoras  de  asfalto),  maquinaria  y  equipo  para pavimentar  con  hormigon  (estriadoras,  alisadoras,  escaqueadoras),  etc-,  la fabricacion de palas para topadoras corrientes y de pala angular y otras partes especiales de las maquinas mencionadas anteriormente</t>
  </si>
  <si>
    <t>Fabricacion de maquinaria para explotacion de minas y canteras y para obras de construccion,  incluye  la  fabricacion  de  maquinaria  para  el  tratamiento  de minerales  mediante:  cribado,  clasificacion,  separacion,  lavado,  trituracion, pulverizacion, mezcla, amasado y procesos similares, incluso mezcladoras de hormigon y mortero, maquinas de moldeamiento, extrusoras, etc; La fabricacion de tractores de oruga y tractores utilizados en la construccion o en la explotacion de  minas  La  fabricacion  de  topadoras  corrientes  y  de  pala  angular  y  otras maquinas  para  movimiento  de  tierra,  autopropulsadas  o  no;  explanadoras, niveladoras, traillas, palas mecanicas, excavadoras, cargadoras de cucharon, apisonadoras y aplanadoras</t>
  </si>
  <si>
    <t>Construccion  de  barcos  y  de  estructuras  flotantes,  incluye  construccion  de embarcaciones diseñadas para la navegacion maritima, costera o fluvial tales como: barcos (excepto yates y otras embarcaciones para deportes o recreo), incluida la fabricacion de secciones de buques y barcos; sillas y asientos utilizados en embarcaciones y estructuras flotantes; buques, embarcaciones de fondeo fijo (por ejemplo: barcos faros); aerodeslizadores (excepto los de tipo recreativo); embarcaciones  para  uso  comercial  (barco  transbordador  o  ferry,  barcos mercantes,  petroleros,  remolcadores,  entre  otros)  o  para  el  transporte  de pasajeros, particularmente las embarcaciones de usos multiples; barcos para pesca y embarcaciones pesqueras para el procesamiento de pescado (barcos factoria)</t>
  </si>
  <si>
    <t>Construccion de barcos y de estructuras flotantes, incluye la construccion de buques de guerra o combate, embarcaciones navales auxiliares y artefactos, como los barcos para el transporte de tropas (nodrizas), y barcos hospitales y logisticos; estructuras flotantes: puertos flotantes, pontones, balsas inflables para uso  no  recreativo,  diques  flotantes,  plataformas  de  perforacion  flotante  o sumergible, pistas flotantes, barcazas, boyas, embarcaderos, depositos flotantes, gruas flotantes, entre otros; reconstruccion o conversion de embarcaciones o estructuras flotantes</t>
  </si>
  <si>
    <t>Construccion de barcos y de estructuras flotantes, incluye la construccion de embarcaciones no motorizadas para transporte de carga en puertos (por ejemplo, gabarras); embarcaciones cuyo uso principal no es la navegacion (por ejemplo, dragas); embarcaciones diseñadas o equipadas para la investigacion cientifica</t>
  </si>
  <si>
    <t>La construccion de embarcaciones de recreo equipadas con motor dentro o fuera de borda, o impulsadas por el viento, por canaletes o por remos como yates, pequeñas motonaves, barcos para pesca deportiva, botes de remo, canoas, botes y  balsas  inflables  de  recreo  o  deporte;  de  aerodeslizadores  de  recreo;  de chalanas, esquifes, botes salvavidas a remo, cuteres, kayacs, canoas, botes de carrera, botes de pedal, entre otros</t>
  </si>
  <si>
    <t>La reconstruccion o conversion de embarcaciones de recreo y deporte, realizada en fabrica.</t>
  </si>
  <si>
    <t>Fabricacion de vehiculos militares de combate, incluye la fabricacion de tanques para combate, vehiculos militares anfibios blindados y otros vehiculos militares para combate y abastecimiento.</t>
  </si>
  <si>
    <t>Mantenimiento y reparacion especializado de maquinaria y equipo, incluye el mantenimiento y reparacion de turbinas para la generacion de energia y calor, bombas  y  equipo  hidraulico  o  conexo  de  propulsion  de  fluidos,  maquinaria agricola, silvicola y para la explotacion y tratamiento de la madera; maquinaria para la metalurgia; maquinaria para la mineria, la construccion y para los campos petroliferos y de gas</t>
  </si>
  <si>
    <t>Mantenimiento y reparacion especializada de equipo electronico y optico, incluye el mantenimiento y reparacion a cambio de una retribucion o por contrata de equipos de irradiacion electromedico y electroterapeutico; equipo de resonancia magnetica de imagenes; equipo medico de ultrasonido; marcapasos y equipos de electrocardiografia;  audifonos  para  personas  con  alteracion  auditiva;  equipos electro medicos de endoscopia; aparatos de irradiacion</t>
  </si>
  <si>
    <t>Mantenimiento y reparacion especializada de equipos electricos, incluye equipos de  distribucion,  transmision  y  control  de  energia,  almacenamiento  electrico, transformadores electricos</t>
  </si>
  <si>
    <t>Instalacion especializada de maquinaria y equipo industrial, incluye instalacion especializada realizada cambio de una retribucion o por contrata de  maquinaria agropecuaria y forestal; maquinaria  para la mineria y la construccion, maquinas formadoras  de  metal  y  de  maquinas  herramienta;  maquinaria  y  equipo  para elaboracion  de  alimentos,  bebidas  y  tabaco,    maquinaria  y  equipo  para elaboracion  de  productos  textiles,  prendas  de  vestir  y  cueros,  equipo  de irradiacion y electro medico, motores para buques o locomotoras y turbinas para la generacion de energia y calor, equipos de potencia hidraulica y neumatica, hornos, hogares y quemadores industriales, equipo de elevacion y manipulacion de uso industrial, desmantelado o desguace a gran escala de maquinaria y equipo industrial, las actividades de mecanicos  instaladores, montaje de maquinas</t>
  </si>
  <si>
    <t>La actividad de personas naturales o juridicas que producen energia electrica y tienen por lo menos una planta y/o unidad de generacion conectada al Sistema Interconectado  Nacional,  bien  sea  que  desarrollen  esa  actividad  en  forma exclusiva o en forma combinada con otra u otras actividades del sector electrico, cualquiera de ellas sea la actividad principal</t>
  </si>
  <si>
    <t>La  gestion  de  las  instalaciones  de  generacion  de  energia  electrica,  ya  sean termicas, hidroelectricas, de turbina de gas, de diesel y de energias renovables (obtenidas de fuentes naturales virtualmente inagotables, unas por la inmensa cantidad de energia que contienen, y otras porque son capaces de regenerarse por medios naturales, ejemplo: la energia eolica, solar, etc)</t>
  </si>
  <si>
    <t>La cogeneracion que consiste en el proceso de produccion combinada de energia electrica y energia termica, que hace parte integrante de una actividad productiva, destinadas ambas al consumo propio o de terceros y destinadas a procesos industriales o comerciales.</t>
  </si>
  <si>
    <t>Transmision de energia electrica, incluye el transporte de energia por sistemas de transmision  y  la  operacion,  mantenimiento  y  expansion  de  sistemas  de transmision, por cables soportados por torres metalicas o postes con tensiones ≥ a 220 KV, desde las instalaciones de generacion hasta el sistema de distribucion</t>
  </si>
  <si>
    <t>Distribucion de energia electrica, incluye el transporte de energia electrica a traves de una red a voltajes inferiores a 220 kv, en forma exclusiva o combinada por lineas,  postes,  contadores,  transformadores,  cables  e  instalaciones  electricas desde la central electrica o del sistema de transmision hasta el consumidor</t>
  </si>
  <si>
    <t>Tratamiento  y  disposicion  de  desechos  peligrosos,  incluye  la  remocion  y  el tratamiento previos a la disposicion de desechos peligrosos solidos o no solidos, desechos  explosivos,  oxidantes,  inflamables,  toxicos,  irritantes,  cancerigenos, corrosivos o infecciosos y otras sustancias, y preparaciones perjudiciales para la salud humana y el medio ambiente, remocion y el almacenamiento de desechos nucleares radioactivos procedentes de hospitales, de animales vivos o muertos contaminados  (toxicos)  y  otros  desechos  contaminantes,  la  disposicion  de articulos usados tales como refrigeradores, con el objeto de eliminar los desechos peligrosos, la eliminacion de desechos de la industria farmaceutica</t>
  </si>
  <si>
    <t>Recuperacion  de  materiales,  incluye  procesamiento  de  desechos  metalicos, chatarra y otros articulos para convertirlos en materias primas secundarias  Por lo general mediante procesos de transformacion mecanicos o quimicos Incluye la recuperacion, separacion y clasificacion en categorias distintas de materiales recuperables mezclados, como: productos metalurgicos y metalmecanicos, de hierro, acero y de otros metales no ferrosos</t>
  </si>
  <si>
    <t>Actividades de saneamiento ambiental y otros servicios de gestion de desechos, incluye la descontaminacion de suelos y aguas subterraneas en el lugar de la contaminacion, ya sea in situ (en el sitio) o ex situ (fuera del lugar), usando metodos biologicos, quimicos o mecanicos, sitios industriales, incluso plantas nucleares y alrededores, limpieza de aguas superficiales; limpieza de derrames de petroleo y otros contaminantes en tierra, en aguas superficiales, mares y oceanos, incluso areas costeras, la disminucion de asbesto, pintura con plomo y otros materiales toxicos, la remocion de minas terrestres y artefactos similares (incluso  su  detonacion),  y  otras  actividades  especializadas  de  control  de  la contaminacion</t>
  </si>
  <si>
    <t>Construccion de edificios residenciales, incluye la construccion de todo tipo de edificios residenciales, casas y edificios, montaje de cubiertas metalicas, puertas, ventanas,  construcciones  prefabricadas,  reforma  o  renovacion  de  estructuras residenciales existentes</t>
  </si>
  <si>
    <t>Construccion de edificios no residenciales, incluye construccion de todo tipo de edificios  no  residenciales,  reforma  o  renovacion  de  estructuras  existentes, construcciones prefabricadas</t>
  </si>
  <si>
    <t>Construccion  de  edificios  no  residenciales,  incluye  montaje  de  cubiertas metalicas, puertas, ventanas y demas elementos metalicos</t>
  </si>
  <si>
    <t>Construccion  de  carreteras  y  vias  de  ferrocarril,  incluye  la  construccion, conservacion y reparacion de carreteras, calles y otras vias, puentes y viaductos, tuneles, lineas de ferrocarril y de metro, pistas de aeropuertos</t>
  </si>
  <si>
    <t>Construccion de carreteras y vias de ferrocarril, incluye las obras de superficie en calles, carreteras, autopistas, puentes o tuneles como asfaltado, pintura y otros tipos de marcado e instalacion de barreras de emergencia, señales de trafico similares y otros trabajos de acondicionamiento.</t>
  </si>
  <si>
    <t>Construccion de proyectos de servicio publico, incluye la construccion de obras de ingenieria civil relacionadas con tuberias de larga distancia, lineas transmision de  energia  electrica  y  comunicaciones,  tuberias  urbanas,  lineas  urbanas  de transmision de energia electrica y comunicaciones; obras auxiliares en zonas urbanas  Construccion  de  conductos  principales  y  acometidas  de  redes  de distribucion de agua Sistemas de riego (canales)</t>
  </si>
  <si>
    <t>Construccion  de  otras  obras  de  ingenieria  civil,  incluye  la  construccion, conservacion y reparacion de instalaciones industriales (excepto edificios) como refinerias, fabricas de productos quimicos, vias de navegacion, obras portuarias y  fluviales,  puertos  deportivos,  instalaciones  deportivas  o  de  esparcimiento, esclusas, represas y diques, subdivision de terrenos con mejora</t>
  </si>
  <si>
    <t>Demolicion, incluye demolicion o derribo de edificios y otras estructuras.</t>
  </si>
  <si>
    <t>Preparacion  del  terreno,  incluye  la  preparacion  del  terreno  para  posteriores actividades de construccion de obras civiles El movimiento de tierras: excavacion, nivelacion  y  ordenacion  de  terrenos  de  construccion,  excavacion  de  zanjas, remocion de piedras, voladura, etcetera</t>
  </si>
  <si>
    <t>Preparacion  del  terreno,  incluye  la  preparacion  del  terreno  para  posteriores actividades, explotacion de minas y canteras, drenaje de terrenos de construccion y de tierras agricolas o forestales</t>
  </si>
  <si>
    <t>Preparacion del terreno, incluye perforaciones de prueba, sondeos de exploracion y recogida de muestras de sondeo para actividades de construccion y para fines geofisicos, geologicos o similares.</t>
  </si>
  <si>
    <t>Instalaciones  de  fontaneria,  calefaccion  y  aire  acondicionado,  incluye  la instalacion  en  edificios  y  otros  proyectos  de  construccion  de  sistemas  de calefaccion (electricos, de gas y de gasoleo), calderas, torres de refrigeracion, tuberias de vapor, sistemas de aspersores contra incendios</t>
  </si>
  <si>
    <t>Otras instalaciones especializadas, incluye la instalacion de equipos en edificios y   obras   de   construccion   de   ascensores,   escaleras   mecanicas,   puertas automaticas  y  giratorias,  pararrayos,  sistemas  de  limpieza  por  aspiracion, aislamiento  termico,  acustico  o  contra  las  vibraciones  y  otros  incluyendo  su mantenimiento y reparacion</t>
  </si>
  <si>
    <t>Terminacion  y  acabado  de  edificios  y  obras  de  ingenieria  civil,  incluye  la colocacion en edificios y otros proyectos de construccion de baldosas y losas de ceramica, hormigon o piedra tallada, parque y otros revestimientos de madera para pisos</t>
  </si>
  <si>
    <t>Terminacion y acabado de edificios y obras de ingenieria civil, incluye instalacion de puertas, ventanas y marcos de puertas y ventanas de madera o de otros materiales.</t>
  </si>
  <si>
    <t>Terminacion y acabado de edificios y obras de ingenieria civil, incluye acabado de interiores,  de  yeso  y  estuco  para  interiores  y  exteriores,  como  techos, revestimientos  de  madera  para  paredes,   tabiques  movibles,  etcetera,  otras actividades de terminacion de edificios ncp</t>
  </si>
  <si>
    <t>Terminacion y acabado de edificios y obras de ingenieria civil, incluye Instalacion de mobiliario, vidrios, pintura de obras de ingenieria civil, la limpieza de edificios nuevos despues de su construccion.</t>
  </si>
  <si>
    <t>Otras actividades especializadas para la construccion de edificios y obras de ingenieria civil, incluye actividades como cimentacion, incluida la hincadura de pilotes, obras de aislamiento contra el agua y la humedad, deshumidifacacion de edificios,  profundizacion  de  pozos,  levantamiento  de  elementos  de  acero  no fabricados por la propia unidad constructora, curvado de acero, Colocacion de mampuestos  de  ladrillo  y  de  piedra,  Construccion  de  techos  para  edificios residenciales,  Instalacion  y  desmonte  de  andamios  y  plataformas  de  trabajo, Construccion de chimeneas y hornos industriales, trabajos en lugares de dificil acceso  que  requieren  la  utilizacion  de  tecnicas  de  escalada  y  del  equipo correspondiente, como por ejemplo, los trabajos a gran altura en estructuras elevadas</t>
  </si>
  <si>
    <t>Otras actividades especializadas para la construccion de edificios y obras de ingenieria civil, incluye obras subterraneas, construccion de piscinas, ereccion o instalacion de estructuras metalicas.</t>
  </si>
  <si>
    <t>Otras actividades especializadas para la construccion de edificios y obras de ingenieria civil, incluye limpieza de exteriores de edificios con vapor, con chorro de arena y con otros medios.</t>
  </si>
  <si>
    <t>Otras actividades especializadas para la construccion de edificios y obras de ingenieria civil, incluye el alquiler de maquinaria y equipo de construccion (con operadores)</t>
  </si>
  <si>
    <t>Comercio al por mayor a cambio de una retribucion o por contrata, incluye el comercio  al  por  mayor  de  productos  quimicos  mutagenicos,  teratogenicos  y cancerigenos</t>
  </si>
  <si>
    <t>Transporte por tuberias, incluye el transporte por tuberias de gases, liquidos, lechadas y algunos derivados del petroleo. La explotacion de gasolineras.</t>
  </si>
  <si>
    <t>Almacenamiento y deposito, incluye almacenamiento y deposito de gas y petroleo, sustancias quimicas y explosivos y tanques de almacenamiento, almacenamiento en zonas francas portuarias, maritimas y fluviales</t>
  </si>
  <si>
    <t>Actividades de puertos y servicios complementarios para el transporte acuatico, incluye  las  actividades  relacionadas  con  el  transporte  por  via  acuatica  de pasajeros, animales o carga, el funcionamiento de esclusas, funcionamiento de instalaciones  terminales  como  puertos  y  muelles,  atracaderos,  faros,  las actividades de navegacion, practicaje y atracada, las actividades de gabarraje y salvamento</t>
  </si>
  <si>
    <t>Actividades de aeropuertos, servicios de navegacion aerea y demas actividades conexas al transporte aereo, incluye las actividades relacionadas con el transporte aereo de pasajeros, animales o carga, operacion de instalaciones terminales, como terminales de aeropuerto, etcetera; servicios de navegacion aerea y de prevencion de incendios y bomberos en los aeropuertos.</t>
  </si>
  <si>
    <t>Manipulacion de carga, incluye el cargue y/o el descargue de embarcaciones, aereas, maritimas y/o fluviales, actividades de estiba y desestiba</t>
  </si>
  <si>
    <t>Actividades inmobiliarias realizadas con bienes propios o arrendados, incluye solamente acondicionamiento y subdivision de terrenos en lotes sin mejora de los mismos</t>
  </si>
  <si>
    <t>Actividades  de  arquitectura  e  ingenieria  y  otras  actividades  conexas  de consultoria tecnica, incluye  actividades de consultoria de arquitectura: diseño de edificios y dibujo de planos de construccion, planificacion urbana y arquitectura paisajista,  diseño de ingenieria, consultoria en maquinaria, procesos y plantas industriales,  ingenieria  civil,  hidraulica  y  de  trafico,  proyectos  de  ordenacion hidrica,   proyectos de ingenieria electrica con presencia  en las instalaciones donde se desarrolla el proyecto (con intervencion directa en obras);  elaboracion y realizacion de proyectos de ingenieria electrica y electronica ,ingenieria de minas,  ingenieria  quimica,  mecanica,  industrial  y  de  sistemas,  e  ingenieria especializada en sistemas de seguridad y actividades de gestion de proyectos relacionadas con la construccion</t>
  </si>
  <si>
    <t>Ensayos y analisis tecnicos, incluye la realizacion de ensayos fisicos, quimicos y otros ensayos analiticos de todo tipo de materiales y productos, los ensayos acusticos y de vibraciones,  analisis de la composicion y pureza de minerales,  en el ambito de la higiene alimentaria, incluidas actividades de ensayo y control veterinario en relacion con la produccion de alimentos, ensayos radiograficos de soldaduras  y juntas, para determinar las propiedades fisicas y el rendimiento de productos y materiales, certificacion de productos, como bienes de consumo, vehiculos   automotores,   aeronaves,   contenedores   presurizados,   centrales nucleares y actividades de laboratorios policiales, etcetera</t>
  </si>
  <si>
    <t>Ensayos  y  analisis  tecnicos,  incluye  los  ensayos  de  calificacion  y  fiabilidad, ensayos de rendimiento de maquinaria completa: motores, automoviles, equipo electronico etcetera, analisis de defectos, ensayos y mediciones de indicadores ambientales: contaminacion del aire, agua, ruido, entre otros</t>
  </si>
  <si>
    <t>Ensayos y analisis tecnicos, incluye las actividades inspecciones periodicas de seguridad  en  carretera  de  vehiculos  automotores,  ensayos  basados  en  la utilizacion de maquetas o modelos (de aeronaves, de embarcaciones, etcetera)</t>
  </si>
  <si>
    <t>Actividades de seguridad privada, incluye los servicios de vehiculos blindados, transporte de valores, servicios de escolta, detectives de almacenes y privados.</t>
  </si>
  <si>
    <t>Actividades  de  detectives  e  investigadores  privados,  incluye  los  servicios  de investigacion,  detectives,  investigadores  privados,  independiente  del  tipo  de cliente o proposito de la investigacion</t>
  </si>
  <si>
    <t>Otras actividades de limpieza de edificios e instalaciones industriales, incluye la limpieza  exterior  de  edificios  de  todo  tipo,  incluyendo  oficinas,  fabricas, almacenes,  instituciones,  otros  negocios  y  establecimientos  profesionales  y edificios con multiples unidades residenciales</t>
  </si>
  <si>
    <t>Otras actividades de limpieza de edificios e instalaciones industriales, incluye la limpieza interior de camiones cisterna y buques petroleros, limpieza de ventanas, chimeneas,  estufas,  incineradores,  calderas,  hornos,  ductos  de  ventilacion  y unidades de escape (extractores de aire)</t>
  </si>
  <si>
    <t>Actividades  de  paisajismo  y  servicios  de  mantenimiento  conexo,  incluye vegetacion para: edificios (terrazas, fachadas, interiores y exteriores), Edificios publicos y semipublicos (escuelas, hospitales, edificios administrativos, iglesias, entre otros)  Parques y jardines para: ajardinamiento de vias publicas (carreteras, lineas de ferrocarril y de tranvias, canales, puertos), agua embalsada y corriente (fuentes, estanques, piscinas, acequias, corrientes de agua, sistemas para aguas residuales), plantas de proteccion contra el ruido, el viento, la erosion, la visibilidad y los reflejos del sol</t>
  </si>
  <si>
    <t>Actividades de defensa, incluye la administracion, la supervision y la gestion de asuntos y fuerzas de defensa militar: Ejercito, Marina, Fuerza Aerea; mandos y fuerzas de ingenieria, transporte, comunicaciones, inteligencia militar, suministro de materiales, personal y otras fuerzas de indole conexa y fuerzas auxiliares de reserva y para el sistema de defensa; asi como la logistica militar</t>
  </si>
  <si>
    <t>Actividades  de  defensa,  incluye  el  apoyo  a  la  elaboracion  de  planes  de contingencia y la realizacion de ejercicios en los que las instituciones civiles y las poblaciones  estan  involucradas,  tales  como  las  actividades  de  desminado  y erradicacion de cultivos ilicitos entre otros</t>
  </si>
  <si>
    <t>Actividades de defensa, incluye las actividades de salud para el personal militar en el campo, administracion, el funcionamiento y el apoyo  de las fuerzas de defensa  civil;  la  administracion  de  las  politicas  de  investigacion  y  desarrollo relacionadas con la defensa, y de los fondos correspondientes</t>
  </si>
  <si>
    <t>Orden publico y actividades de seguridad, incluye administracion y funcionamiento de  servicios  regulares  y  auxiliares  de  las  fuerzas  de  policia  en  los  puertos, fronteras,  guardacostas,  incluyendo  la  regulacion  del  trafico,  el  registro  de extranjeros y el mantenimiento de los registros de detencion apoyados por los poderes publicos y otras fuerzas especiales de policia</t>
  </si>
  <si>
    <t>Orden publico y actividades de seguridad, incluye administracion y funcionamiento de servicios regulares y auxiliares de los cuerpos de bomberos en la prevencion y la extincion de incendios, salvamento de personas y animales, asistencia en catastrofes civiles, inundaciones, accidentes de trafico, suministro de viveres para utilizar en caso de desastres y emergencias nacionales, entre otros;</t>
  </si>
  <si>
    <t>Orden publico y actividades de seguridad, incluye administracion y funcionamiento de  servicios  regulares  y  auxiliares  de  la  administracion  y  el  funcionamiento administrativo de derecho civil y penal de los tribunales y el sistema judicial militar, incluida  la  representacion  legal  y  el  asesoramiento  en  nombre  del  Gobierno (defensa); el arbitraje de las acciones civiles</t>
  </si>
  <si>
    <t>Orden publico y actividades de seguridad, incluye administracion y funcionamiento de  servicios  regulares  y  auxiliares  de  la  administracion  penitenciaria  y  la prestacion de los servicios penitenciarios, incluidos los servicios de rehabilitacion, independientemente de que su administracion y operacion sean realizadas por unidades de las administraciones publicas o por particulares; la presentacion de los fallos y de la interpretacion de la ley;</t>
  </si>
  <si>
    <t>Administracion de justicia, Cortes, Tribunales y Juzgados que administran justicia en materia constitucional, contenciosa administrativa, civil, penal, laboral, agraria, de familia, de paz y disciplinaria; incluye solamente los jueces y magistrados</t>
  </si>
  <si>
    <t>Administracion de justicia, incluye el arbitraje, que es el mecanismo por medio del cual las partes involucradas en un conflicto de caracter transigible defieren su solucion  a  un  tribunal  arbitral,  el  cual  queda  transitoriamente  investido  de  la facultad  de  administrar  justicia,  profiriendo  una  decision  denominada  laudo arbitral</t>
  </si>
  <si>
    <t>Administracion de justicia, incluye la administracion de prisiones y la prestacion de servicios correccionales, incluso servicios de rehabilitacion; Instituto Nacional Penitenciario Colombiano (Inpec).</t>
  </si>
  <si>
    <t>Administracion de justicia, incluye la investigacion de los delitos y la posterior acusacion  de  los  infractores  ante  los  juzgados  y  tribunales  competentes,  la direccion y coordinacion de las funciones de policia judicial, al igual que velar por la proteccion de testigos Incluye la Fiscalia General de la Nacion, Medicina Legal y Ciencias Forenses</t>
  </si>
  <si>
    <t>Actividades  de  hospitales  y  clinicas,  con  internacion,  incluye  el  servicio  de personal medico general y especializado y paramedico en: servicios de apoyo diagnostico:  imagenologia  (rayos  x,  ecografia,  TAC,  RMN,  gammagrafia, etcetera)</t>
  </si>
  <si>
    <t>Actividades de apoyo terapeutico, incluye las actividades de bancos de sangre, bancos de esperma, bancos de organos para transplantes, etc, incluye tambien las unidades renales</t>
  </si>
  <si>
    <t>Artes plasticas y visuales, incluye la fabricacion de esculturas, bustos y estatuas de bronce originales y otros metales</t>
  </si>
  <si>
    <t>Actividades  y  funcionamiento  de  museos,  conservacion  de  edificios  y  sitios historicos, incluye la preservacion y restauracion de lugares y edificios historicos</t>
  </si>
  <si>
    <t>Actividades de clubes deportivos, incluye actividades deportivas profesionales: boxeo, lucha, fisicoculturismo, levantamiento de pesas, corredor de automotores de alta velocidad, toreros y sus cuadrillas, paracaidista, tiro al blanco, entre otros, ciclista, buceo y similares</t>
  </si>
  <si>
    <t>Identificación Operativo</t>
  </si>
  <si>
    <t>Nombre Operativo</t>
  </si>
  <si>
    <t>CODIGO</t>
  </si>
  <si>
    <t>SI SE LLENA O NO LAS DOS OPCIONES DE PREGUNTA 5 HAY ERROR</t>
  </si>
  <si>
    <t>2. ¿Estoy obligada(o) a declarar Impuesto de Renta para el año 2025? (Ver artículo 592 del Estatuto Tributario)</t>
  </si>
  <si>
    <t>1. ¿Mis ingresos del año gravable 2025 fueron superiores a $ 73´323.600  equivalentes a 1.400 UVT?</t>
  </si>
  <si>
    <t>RP VIGENCIA FUTURA</t>
  </si>
  <si>
    <t>30.1</t>
  </si>
  <si>
    <t>VIGENCIA FUTURA</t>
  </si>
  <si>
    <r>
      <t xml:space="preserve">ingresos del año gravable 2025 fueron superiores a $73,323,600 </t>
    </r>
    <r>
      <rPr>
        <b/>
        <u/>
        <sz val="11"/>
        <color theme="1"/>
        <rFont val="Calibri"/>
        <family val="2"/>
        <scheme val="minor"/>
      </rPr>
      <t xml:space="preserve"> O</t>
    </r>
    <r>
      <rPr>
        <sz val="11"/>
        <color theme="1"/>
        <rFont val="Calibri"/>
        <family val="2"/>
        <scheme val="minor"/>
      </rPr>
      <t xml:space="preserve"> declara Impuesto de Renta </t>
    </r>
  </si>
  <si>
    <r>
      <t xml:space="preserve">ingresos del año gravable 2025 fueron superiores a $73,323,600 </t>
    </r>
    <r>
      <rPr>
        <b/>
        <u/>
        <sz val="11"/>
        <color theme="1"/>
        <rFont val="Calibri"/>
        <family val="2"/>
        <scheme val="minor"/>
      </rPr>
      <t xml:space="preserve"> O </t>
    </r>
    <r>
      <rPr>
        <sz val="11"/>
        <color theme="1"/>
        <rFont val="Calibri"/>
        <family val="2"/>
        <scheme val="minor"/>
      </rPr>
      <t xml:space="preserve">declara Impuesto de Renta </t>
    </r>
  </si>
  <si>
    <r>
      <rPr>
        <b/>
        <u/>
        <sz val="11"/>
        <color theme="1"/>
        <rFont val="Calibri"/>
        <family val="2"/>
        <scheme val="minor"/>
      </rPr>
      <t xml:space="preserve"> </t>
    </r>
    <r>
      <rPr>
        <sz val="11"/>
        <color theme="1"/>
        <rFont val="Calibri"/>
        <family val="2"/>
        <scheme val="minor"/>
      </rPr>
      <t xml:space="preserve">ingresos del año gravable 2025 </t>
    </r>
    <r>
      <rPr>
        <b/>
        <u/>
        <sz val="11"/>
        <color theme="1"/>
        <rFont val="Calibri"/>
        <family val="2"/>
        <scheme val="minor"/>
      </rPr>
      <t>NO</t>
    </r>
    <r>
      <rPr>
        <sz val="11"/>
        <color theme="1"/>
        <rFont val="Calibri"/>
        <family val="2"/>
        <scheme val="minor"/>
      </rPr>
      <t xml:space="preserve"> fueron superiores a $73,323,600  </t>
    </r>
    <r>
      <rPr>
        <b/>
        <u/>
        <sz val="11"/>
        <color theme="1"/>
        <rFont val="Calibri"/>
        <family val="2"/>
        <scheme val="minor"/>
      </rPr>
      <t xml:space="preserve">O NO </t>
    </r>
    <r>
      <rPr>
        <sz val="11"/>
        <color theme="1"/>
        <rFont val="Calibri"/>
        <family val="2"/>
        <scheme val="minor"/>
      </rPr>
      <t xml:space="preserve">declara Impuesto de Renta </t>
    </r>
  </si>
  <si>
    <t>juramentación</t>
  </si>
  <si>
    <t>4. El trabajador empleará costos y gastos de acuerdo al  Decreto 2231 de 2023</t>
  </si>
  <si>
    <r>
      <t xml:space="preserve">3.¿Pertenezco al Régimen Simple de Tributación -SIMPLE?  (LEY 2010 DE 2019) </t>
    </r>
    <r>
      <rPr>
        <b/>
        <sz val="10"/>
        <color rgb="FFFF0000"/>
        <rFont val="Calibri"/>
        <family val="2"/>
        <scheme val="minor"/>
      </rPr>
      <t>SI LA DIAN NO ME HA CATALOGADO COMO SIMPLE COLOCO LA "X" EN NO</t>
    </r>
  </si>
  <si>
    <t>VALOR TOTAL INTERES PAGADO</t>
  </si>
  <si>
    <t>Banco Popular</t>
  </si>
  <si>
    <t>BBVA Colombia</t>
  </si>
  <si>
    <t>Banco Agrario</t>
  </si>
  <si>
    <t>Banco Davibank</t>
  </si>
  <si>
    <t>Banco Caja Social BCSC SA</t>
  </si>
  <si>
    <t>CITIBANK OF NEW YORK</t>
  </si>
  <si>
    <t>MUFG BANK LTD. - NEW YORK</t>
  </si>
  <si>
    <t>Bancoomeva</t>
  </si>
  <si>
    <t>Cooperativa Financiera de Antioquia</t>
  </si>
  <si>
    <t>Nequi</t>
  </si>
  <si>
    <t>Banco Multibank S.A.</t>
  </si>
  <si>
    <t>Banco Serfinanza S.A</t>
  </si>
  <si>
    <t>JP MORGAN CHASE N.Y.</t>
  </si>
  <si>
    <t>HSBC MÉXICO, S.A.</t>
  </si>
  <si>
    <t>SUNTRUST BANK</t>
  </si>
  <si>
    <t>Banco Mundo Mujer</t>
  </si>
  <si>
    <t>FÉDÉRATION DES CAISSES DESJARDINS DU QUÉBEC</t>
  </si>
  <si>
    <t>DUMY1</t>
  </si>
  <si>
    <t>JP MORGAN CHASE BANK</t>
  </si>
  <si>
    <t>BANQUE &amp; CAISSE EPARGNE ETAT</t>
  </si>
  <si>
    <t>MOVII</t>
  </si>
  <si>
    <t>POWWI</t>
  </si>
  <si>
    <t>BANCOLOMBIA PUERTO RICO</t>
  </si>
  <si>
    <t>BBVA</t>
  </si>
  <si>
    <t>NU BANK</t>
  </si>
  <si>
    <t>RappiPay Compañía de Financiamiento S.A.</t>
  </si>
  <si>
    <t>LULO BANK</t>
  </si>
  <si>
    <t>BTG PACTUAL</t>
  </si>
  <si>
    <t>J. P. MORGAN</t>
  </si>
  <si>
    <t>BANQUE ET CAISSE D'EPARGNE DE L'ÉTAT</t>
  </si>
  <si>
    <t>UMB BANK</t>
  </si>
  <si>
    <t>WELLS FARGO</t>
  </si>
  <si>
    <t>U.S. Bank National Association</t>
  </si>
  <si>
    <t>BNP PARIBAS</t>
  </si>
  <si>
    <t>Daviplata</t>
  </si>
  <si>
    <t>I. OBJETIVO</t>
  </si>
  <si>
    <t>II. ALCANCE</t>
  </si>
  <si>
    <t>III. RESPONSABLE</t>
  </si>
  <si>
    <t>IV. FRECUENCIA</t>
  </si>
  <si>
    <t>La actualización del formato debe realizarse:
•	Al inicio del contrato.
•	Cuando exista cambio en la información tributaria o bancaria.
•	Cuando la Secretaría de Educación del Distrito lo solicite.</t>
  </si>
  <si>
    <t>V. INSTRUCCIONES GENERALES DE DILIGENCIAMIENTO</t>
  </si>
  <si>
    <r>
      <t xml:space="preserve">VI. </t>
    </r>
    <r>
      <rPr>
        <b/>
        <sz val="11"/>
        <rFont val="Arial"/>
        <family val="2"/>
      </rPr>
      <t>OBSERVACIONES FINALES</t>
    </r>
  </si>
  <si>
    <t>Establecer las instrucciones para el correcto diligenciamiento del formato mediante el cual las personas naturales vinculadas mediante contrato reportan las deducciones tributarias aplicables para efectos fiscales, conforme a la normatividad vigente en Colombia y lineamientos establecidos por la Dirección de Impuestos y Aduanas Nacionales (DIAN).</t>
  </si>
  <si>
    <r>
      <t>VI.</t>
    </r>
    <r>
      <rPr>
        <b/>
        <sz val="11"/>
        <rFont val="Arial"/>
        <family val="2"/>
      </rPr>
      <t>DILIGENCIAMIENTO DEL FORMATO</t>
    </r>
  </si>
  <si>
    <t>VII. RESPONSABILIDAD DEL DECLARANTE</t>
  </si>
  <si>
    <t>El diligenciamiento del presente formato implica que el declarante certifica que la información suministrada es veraz, que los documentos anexos corresponden a la realidad y que las deducciones solicitadas cumplen con los requisitos establecidos en la normativa tributaria vigente.</t>
  </si>
  <si>
    <t xml:space="preserve">Establecer las instrucciones para el correcto diligenciamiento del Formato de Actualización de Terceros – Persona Natural, con el fin de registrar y actualizar la información personal, tributaria, bancaria y contractual de los terceros vinculados a la Secretaría de Educación del Distrito, garantizando la confiabilidad de los datos utilizados en los procesos administrativos, financieros y contables de la entidad. </t>
  </si>
  <si>
    <r>
      <t xml:space="preserve">Este instructivo aplica a todas las </t>
    </r>
    <r>
      <rPr>
        <b/>
        <sz val="11"/>
        <rFont val="Arial"/>
        <family val="2"/>
      </rPr>
      <t>personas naturales</t>
    </r>
    <r>
      <rPr>
        <sz val="11"/>
        <rFont val="Arial"/>
        <family val="2"/>
      </rPr>
      <t xml:space="preserve"> que mantengan o vayan a mantener relación contractual o administrativa con la Secretaría de Educación del Distrito, tales como contratistas, prestadores de servicios que requieran registrarse o actualizar su información en la entidad.
Comprende el diligenciamiento del formato, la entrega de los soportes correspondientes y la verificación de la información por parte de las áreas responsables. </t>
    </r>
  </si>
  <si>
    <t>Contratista (Persona Natural)
•	Diligenciar completamente el formato de Excel con la información actualizada.
•Aportar la documentación soporte requerida
•	Garantizar la veracidad de la información suministrada.
Área Financiera / Tesorería / Grupo de actualizaciones de terceros 
•	Revisar la información registrada.
•		Validar los datos tributarios y bancarios frente a soportes recibidos
•	Utilizar la información para incluirla en el sistema Apoteosys para la liquidación de los pagos.</t>
  </si>
  <si>
    <t xml:space="preserve">Correo Electrónico </t>
  </si>
  <si>
    <t>CLASIFICACIÓN Y RESPONSABILIDADES TRIBUTARIAS</t>
  </si>
  <si>
    <t>Régimen IVA</t>
  </si>
  <si>
    <t>DESCRIPCIÓN DE ACTIVIDAD ECONÓMICA FINAL ARL</t>
  </si>
  <si>
    <t>TARIFA</t>
  </si>
  <si>
    <t>El presente formado debe presentarse en formato PDF debidamente FIRMADO por el tercero objeto de actualización de información</t>
  </si>
  <si>
    <t xml:space="preserve">Este instructivo aplica a todas las personas naturales que tengan relación contractual o administrativa con la Secretaría de Educación del Distrito, tales como contratistas, prestadores de servicios que requieran registrarse o actualizar su información en la entidad.
Comprende el diligenciamiento del formato, la entrega de los soportes correspondientes y la verificación de la información por parte de las áreas responsables. </t>
  </si>
  <si>
    <t>Contratista (Persona Natural)
•	Diligenciar completamente el formato de Excel con la información actualizada.
•Aportar la documentación soporte requerida
•	Garantizar la veracidad de la información suministrada.
Área Financiera / Tesorería / Grupo de actualizaciones de terceros 
•	Revisar la información registrada.
•		Validar los datos tributarios y bancarios frente a los soportes recibidos
•	Utilizar la información para incluirla en el sistema Apoteosys para la liquidación de los pagos.</t>
  </si>
  <si>
    <t>1.Diligenciar el formato únicamente en las celdas habilitadas (color amarillo).
2.	El formato debe diligenciarse con información veraz.
3.	Los valores deben registrarse en pesos colombianos (COP).
4.	Todos los campos deben completarse de acuerdo con los certificados o documentos soporte.
5.	Los documentos anexos deben ser legibles y corresponder al mismo año fiscal reportado.
6.	El formato debe presentarse junto con los soportes que acrediten las deducciones solicitadas.</t>
  </si>
  <si>
    <r>
      <t xml:space="preserve">1.	La información suministrada será utilizada para los procesos administrativos, financieros y tributarios de la Secretaría de Educación
2.	El formato debe ser diligenciado en su totalidad.
3.	La Actividad económica informada deberá corresponder a la que realiza el contratista en aplicación del Artículo 11 del Acuerdo 065 de 2002 (Distrito Capital).
4.	El contratista debe diligenciar las responsabilidades tributarias, de acuerdo con su RUT (Renta, IVA, etc.) y si RIT
5.	Corresponde al contratista velar porque su cuenta bancaria esté activa y sin restricciones para recibir pagos electrónicos.
6.Como requisito previo a la radicación de cuentas, cada operativo responsable del diligenciamiento de las cuentas y/o jefe, director de área, debe remitir al buzón </t>
    </r>
    <r>
      <rPr>
        <b/>
        <sz val="11"/>
        <rFont val="Arial"/>
        <family val="2"/>
      </rPr>
      <t>actualizarterceros@educacionbogota.gov.co</t>
    </r>
    <r>
      <rPr>
        <sz val="11"/>
        <rFont val="Arial"/>
        <family val="2"/>
      </rPr>
      <t xml:space="preserve"> los formatos de actualización de terceros en un solo PDF, adjuntando obligatoriamente la certificación bancaria y los soportes de deducciones, si aplican a ello.
7.	El formato debe ser renombrado</t>
    </r>
    <r>
      <rPr>
        <b/>
        <sz val="11"/>
        <rFont val="Arial"/>
        <family val="2"/>
      </rPr>
      <t xml:space="preserve"> NOMBRE_CONTRATO_AÑOCONTRATO</t>
    </r>
  </si>
  <si>
    <t>en calidad de contratista manifiesto bajo la gravedad del juramento que la información es veridica y entiendo que soy responsable por los errores u omisiones que genere a la Entidad Contable Pública -Bogotá D.C. por la inexactitud de la misma, y autorizo a la entidad para actualizar la información en las bases de datos, en especial las de la SED, la SHD, la CGN, DIAN y demás entidades de aseguramiento y control del estado.
Al firmar este documento, autorizo de manera previa, expresa e informada a la Secretaría de Educación del Distrito para que realice el tratamiento de mis datos personales aquí suministrados. Esta información será utilizada con fines de actualización de información del tercero, conforme a la Ley 1581 de 2012 y a la Política de Tratamiento de Datos disponible en www.educacionbogota.gov.co.
Como titular, tengo derecho a conocer, actualizar, rectificar y solicitar la supresión de mis datos, así como a presentar quejas ante la Superintendencia de Industria y Comercio
Con la firma del presente formato doy constancia que conozco las condiciones tributarias y obligaciones del mismo derivado del presente contrato.</t>
  </si>
  <si>
    <t xml:space="preserve">Con la firma del presente formulario certificó la veracidad de la información en él consignada y autorizó a la Secretaria de Educación de Bogotá su uso para la liquidación del FURC y la actualización de la información de las bases de datos de la Entidad, en especial la de Apoteosys y la información reportada a la DIAN.
Al firmar este documento, autorizo de manera previa, expresa e informada a la Secretaría de Educación del Distrito para que realice el tratamiento de mis datos personales aquí suministrados. Esta información será utilizada con fines de actualización de información del tercero, conforme a la Ley 1581 de 2012 y a la Política de Tratamiento de Datos disponible en www.educacionbogota.gov.co.
Como titular, tengo derecho a conocer, actualizar, rectificar y solicitar la supresión de mis datos, así como a presentar quejas ante la Superintendencia de Industria y Comercio
 </t>
  </si>
  <si>
    <t>FORMULARIO DISMINUCIÓN DE LA BASE DE RETENCIÓN EN LA FUENTE PERSONAS NATURALES OPS</t>
  </si>
  <si>
    <t>CÉDULA DE CIUDADANÍA No.</t>
  </si>
  <si>
    <t>DIRECCIÓN REPORTADA EN EL RUT</t>
  </si>
  <si>
    <t>Duración (DÍAS)</t>
  </si>
  <si>
    <t>CRÉDITO HIPOTECARIO</t>
  </si>
  <si>
    <t>La actualización del formato debe realizarse:
•	Cuando exista cambio en la información tributaria o bancaria, o por cambio en la normatividad vigente y/o por ordenamiento de la Secretaría de Educación del Distrito, cuando haya lugar</t>
  </si>
  <si>
    <r>
      <rPr>
        <b/>
        <sz val="11"/>
        <rFont val="Arial"/>
        <family val="2"/>
      </rPr>
      <t xml:space="preserve">DATOS DEL TERCERO
</t>
    </r>
    <r>
      <rPr>
        <sz val="11"/>
        <rFont val="Arial"/>
        <family val="2"/>
      </rPr>
      <t xml:space="preserve">
Todos los campos son datos formulados que vienen del diligenciamiento de la hoja Formato actualizacion de datos.</t>
    </r>
  </si>
  <si>
    <r>
      <rPr>
        <b/>
        <sz val="11"/>
        <rFont val="Arial"/>
        <family val="2"/>
      </rPr>
      <t>POR PAGOS EFECTUADOS POR CONTRATOS DE SALUD NO POS</t>
    </r>
    <r>
      <rPr>
        <sz val="11"/>
        <rFont val="Arial"/>
        <family val="2"/>
      </rPr>
      <t xml:space="preserve">
</t>
    </r>
    <r>
      <rPr>
        <b/>
        <sz val="11"/>
        <rFont val="Arial"/>
        <family val="2"/>
      </rPr>
      <t>Esta sección aplica para deducciones por pagos realizados a planes adicionales de salud.</t>
    </r>
    <r>
      <rPr>
        <sz val="11"/>
        <rFont val="Arial"/>
        <family val="2"/>
      </rPr>
      <t xml:space="preserve">
Nombre de la entidad: Registrar el nombre de la entidad que presta el servicio de salud (EPS, medicina prepagada o plan complementario).
NIT entidad: Indicar el número de identificación tributaria de la entidad.
Valor total pagado: Registrar el valor total pagado durante el período certificado.
Valor mensual: Campo formulado.
Fecha de expedición del certificado: Registrar la fecha en la que la entidad expidió el certificado de pagos.
Fecha corte del certificado: Indicar la fecha hasta la cual se certifican los pagos realizados.
</t>
    </r>
    <r>
      <rPr>
        <b/>
        <sz val="11"/>
        <rFont val="Arial"/>
        <family val="2"/>
      </rPr>
      <t>Documentación soporte</t>
    </r>
    <r>
      <rPr>
        <sz val="11"/>
        <rFont val="Arial"/>
        <family val="2"/>
      </rPr>
      <t xml:space="preserve">
Relacionar los documentos anexos, por ejemplo:
•Certificados por concepto de pagos realizados en la vigencia anterior, para servicios de salud, expedidos por las entidades prestadoras del servicio de medicina prepagada, EPS (Planes complementarios de salud) o compañías aseguradoras (seguros de salud).</t>
    </r>
  </si>
  <si>
    <r>
      <rPr>
        <b/>
        <sz val="11"/>
        <rFont val="Arial"/>
        <family val="2"/>
      </rPr>
      <t>POR PAGO DE CRÉDITOS HIPOTECARIOS</t>
    </r>
    <r>
      <rPr>
        <sz val="11"/>
        <rFont val="Arial"/>
        <family val="2"/>
      </rPr>
      <t xml:space="preserve">
</t>
    </r>
    <r>
      <rPr>
        <b/>
        <sz val="11"/>
        <rFont val="Arial"/>
        <family val="2"/>
      </rPr>
      <t xml:space="preserve">Se diligencia cuando el contribuyente solicita deducción por intereses pagados en créditos hipotecarios para adquisición de vivienda.
</t>
    </r>
    <r>
      <rPr>
        <sz val="11"/>
        <rFont val="Arial"/>
        <family val="2"/>
      </rPr>
      <t xml:space="preserve">Nombre de la entidad: Registrar el nombre de la entidad financiera que otorgó el crédito.
NIT entidad: Indicar el NIT de la entidad financiera.
Valor total interés pagado:Registrar el valor total de los intereses pagados monto màximo deducible durante el período certificado.
Valor mensual: campo formulado
Fecha expedición certificado: Registrar la fecha de emisión del certificado por parte de la entidad financiera.
Fecha corte del certificado: Indicar la fecha hasta la cual se certifican los pagos.
Cantidad de titulares del crédito: Registrar el número de personas que figuran como titulares del crédito hipotecario.
</t>
    </r>
    <r>
      <rPr>
        <b/>
        <sz val="11"/>
        <rFont val="Arial"/>
        <family val="2"/>
      </rPr>
      <t>Documentación soporte</t>
    </r>
    <r>
      <rPr>
        <sz val="11"/>
        <rFont val="Arial"/>
        <family val="2"/>
      </rPr>
      <t xml:space="preserve">
Relacionar los documentos anexos, tales como:
•Certificados por concepto de intereses o costos de financiación pagados en la vigencia anterior, correspondientes a crédito hipotecario o leasing habitacional, expedidos por las entidades del Sistema Financiero.</t>
    </r>
  </si>
  <si>
    <r>
      <rPr>
        <b/>
        <sz val="11"/>
        <rFont val="Arial"/>
        <family val="2"/>
      </rPr>
      <t>POR DEPENDIENTES</t>
    </r>
    <r>
      <rPr>
        <sz val="11"/>
        <rFont val="Arial"/>
        <family val="2"/>
      </rPr>
      <t xml:space="preserve">
</t>
    </r>
    <r>
      <rPr>
        <b/>
        <sz val="11"/>
        <rFont val="Arial"/>
        <family val="2"/>
      </rPr>
      <t>Esta sección se diligencia únicamente si el contribuyente solicita deducción por dependientes.</t>
    </r>
    <r>
      <rPr>
        <sz val="11"/>
        <rFont val="Arial"/>
        <family val="2"/>
      </rPr>
      <t xml:space="preserve">
</t>
    </r>
    <r>
      <rPr>
        <b/>
        <sz val="11"/>
        <rFont val="Arial"/>
        <family val="2"/>
      </rPr>
      <t>Datos del Dependiente</t>
    </r>
    <r>
      <rPr>
        <sz val="11"/>
        <rFont val="Arial"/>
        <family val="2"/>
      </rPr>
      <t xml:space="preserve">
Nombres y Apellidos: registrar el nombre completo del dependiente
No. de Identificación: Indicar el número del documento de identidad del dependiente.
Edad: registrar la edad actual del dependiente.
Parentesco:
Indicar la relación con el contribuyente, por ejemplo:
•	Hijo(a)
•	Cónyuge
•	Padre o madre
•	Otro dependiente económico autorizado por la normatividad.
</t>
    </r>
    <r>
      <rPr>
        <b/>
        <sz val="11"/>
        <rFont val="Arial"/>
        <family val="2"/>
      </rPr>
      <t>Seleccione el motivo de la solicitud</t>
    </r>
    <r>
      <rPr>
        <sz val="11"/>
        <rFont val="Arial"/>
        <family val="2"/>
      </rPr>
      <t xml:space="preserve">
Indicar el motivo por el cual el dependiente puede ser considerado para la deducción (lista desplegable), por ejemplo:
•	Dependiente menor de edad
•	Estudiante hasta los 23 años
•	Dependiente por discapacidad
•	Dependiente económicamente, padres y los hermanos. 
</t>
    </r>
    <r>
      <rPr>
        <b/>
        <sz val="11"/>
        <rFont val="Arial"/>
        <family val="2"/>
      </rPr>
      <t>Valor mensual</t>
    </r>
    <r>
      <rPr>
        <sz val="11"/>
        <rFont val="Arial"/>
        <family val="2"/>
      </rPr>
      <t xml:space="preserve">
Valor mensual, casilla formulada. 
</t>
    </r>
    <r>
      <rPr>
        <b/>
        <sz val="11"/>
        <rFont val="Arial"/>
        <family val="2"/>
      </rPr>
      <t>Indicar los documentos anexos que acreditan la dependencia, (la informacion es formulada de acuerdo con el motivo de la solicitud) tales como:</t>
    </r>
    <r>
      <rPr>
        <sz val="11"/>
        <rFont val="Arial"/>
        <family val="2"/>
      </rPr>
      <t xml:space="preserve">
•	Certificado médico de discapacidad (si aplica)
•	Declaración de dependencia económica, expedida por un contador titulado con su tarjeta profesional. </t>
    </r>
  </si>
  <si>
    <t>1.	Diligenciar el formato únicamente en las celdas habilitadas (color amarillo).
2.	No modificar la estructura del archivo, fórmulas y celdas protegidas.
3.	La información registrada debe coincidir con la contenida en el RUT y RIT vigente, así como la certificación bancaria.
4.	Verificar que los datos sean correctos antes de remitir el archivo.
5.	Adjuntar los soportes requeridos actualizados y la certificación bancaria.</t>
  </si>
  <si>
    <r>
      <rPr>
        <b/>
        <sz val="11"/>
        <rFont val="Arial"/>
        <family val="2"/>
      </rPr>
      <t>INFORMACIÓN GENERAL DEL TERCERO</t>
    </r>
    <r>
      <rPr>
        <sz val="11"/>
        <rFont val="Arial"/>
        <family val="2"/>
      </rPr>
      <t xml:space="preserve">
</t>
    </r>
    <r>
      <rPr>
        <b/>
        <sz val="11"/>
        <rFont val="Arial"/>
        <family val="2"/>
      </rPr>
      <t xml:space="preserve">
En esta sección se deben registrar los datos de identificación del tercero objeto de pago:
</t>
    </r>
    <r>
      <rPr>
        <sz val="11"/>
        <rFont val="Arial"/>
        <family val="2"/>
      </rPr>
      <t xml:space="preserve">
•	Número de Identificación Tributaria (NIT): registrar el número de identificación tributaria correspondiente según el RUT.
•	DV: diligenciar el dígito de verificación indicado en el RUT.
•	Tipo de Contribuyente: "Persona Natural", se encuentra preestablecido, no registrar información en este campo.
•	Tipo de Documento: indicar el tipo de identificación del tercero de acuerdo con lista desplegable
•	Número de Identificación: registrar el número del documento sin puntos ni espacios, sin dígito de verificación del RUT.
</t>
    </r>
    <r>
      <rPr>
        <b/>
        <sz val="11"/>
        <rFont val="Arial"/>
        <family val="2"/>
      </rPr>
      <t>Datos personales</t>
    </r>
    <r>
      <rPr>
        <sz val="11"/>
        <rFont val="Arial"/>
        <family val="2"/>
      </rPr>
      <t xml:space="preserve">
•	Primer Apellido
•	Segundo Apellido
•	Primer Nombre
•	Otros Nombres
•	Nombre Completo: Campo formulado, no registrar información en este campo.
</t>
    </r>
    <r>
      <rPr>
        <b/>
        <sz val="11"/>
        <rFont val="Arial"/>
        <family val="2"/>
      </rPr>
      <t xml:space="preserve">Información pensional
</t>
    </r>
    <r>
      <rPr>
        <sz val="11"/>
        <rFont val="Arial"/>
        <family val="2"/>
      </rPr>
      <t xml:space="preserve">
•	Marcar SI o NO en la pregunta: </t>
    </r>
    <r>
      <rPr>
        <i/>
        <sz val="11"/>
        <rFont val="Arial"/>
        <family val="2"/>
      </rPr>
      <t xml:space="preserve">"¿Es usted pensionado o ya adquirió los derechos para serlo?", </t>
    </r>
    <r>
      <rPr>
        <sz val="11"/>
        <rFont val="Arial"/>
        <family val="2"/>
      </rPr>
      <t>una vez haya sido validado por la supervisión del contrato.</t>
    </r>
  </si>
  <si>
    <r>
      <rPr>
        <b/>
        <sz val="11"/>
        <rFont val="Arial"/>
        <family val="2"/>
      </rPr>
      <t xml:space="preserve">DIRECCIÓN REGISTRADA EN EL RUT
</t>
    </r>
    <r>
      <rPr>
        <sz val="11"/>
        <rFont val="Arial"/>
        <family val="2"/>
      </rPr>
      <t xml:space="preserve">
</t>
    </r>
    <r>
      <rPr>
        <b/>
        <sz val="11"/>
        <rFont val="Arial"/>
        <family val="2"/>
      </rPr>
      <t>Registrar la información de ubicación según lo reportado en el Registro Único Tributario (RUT):</t>
    </r>
    <r>
      <rPr>
        <sz val="11"/>
        <rFont val="Arial"/>
        <family val="2"/>
      </rPr>
      <t xml:space="preserve">
•	Dirección
•	País
•	Departamento (solo si el país es Colombia)
•	Municipio (solo si el país es Colombia)
</t>
    </r>
    <r>
      <rPr>
        <b/>
        <sz val="11"/>
        <rFont val="Arial"/>
        <family val="2"/>
      </rPr>
      <t xml:space="preserve">Datos de contacto
</t>
    </r>
    <r>
      <rPr>
        <sz val="11"/>
        <rFont val="Arial"/>
        <family val="2"/>
      </rPr>
      <t>•	Correo electrónico
•	Teléfono 1, dato obligatorio, si no tiene telefono fijo por favor diligenciar 0
•	Teléfono 2, número de celular</t>
    </r>
  </si>
  <si>
    <r>
      <rPr>
        <b/>
        <sz val="11"/>
        <rFont val="Arial"/>
        <family val="2"/>
      </rPr>
      <t>CLASIFICACIÓN Y RESPONSABILIDADES TRIBUTARIAS</t>
    </r>
    <r>
      <rPr>
        <sz val="11"/>
        <rFont val="Arial"/>
        <family val="2"/>
      </rPr>
      <t xml:space="preserve">
La información debe coincidir con lo registrado en el RUT.
Registrar:
•	Actividad económica RUT, principal
•	Actividad económica RIT (si aplica para el municipio correspondiente) principal
•	Régimen tributario relacionado con el Impuesto a las Ventas - IVA, con base en el RUT
•	Tarifa por mil (x1000) campo formulado, no registrar información en este campo</t>
    </r>
  </si>
  <si>
    <r>
      <rPr>
        <b/>
        <sz val="11"/>
        <rFont val="Arial"/>
        <family val="2"/>
      </rPr>
      <t>DATOS DEL CONTRATO</t>
    </r>
    <r>
      <rPr>
        <sz val="11"/>
        <rFont val="Arial"/>
        <family val="2"/>
      </rPr>
      <t xml:space="preserve">
</t>
    </r>
    <r>
      <rPr>
        <b/>
        <sz val="11"/>
        <rFont val="Arial"/>
        <family val="2"/>
      </rPr>
      <t xml:space="preserve">Esta sección debe diligenciarse con la información del contrato celebrado con la Secretaría de Educación del Distrito:
</t>
    </r>
    <r>
      <rPr>
        <sz val="11"/>
        <rFont val="Arial"/>
        <family val="2"/>
      </rPr>
      <t xml:space="preserve">•	Número de contrato, de conformidad con información SECOP
•	Año del contrato, año de suscripción del contrato en SECOP
•	Valor total del contrato suscrito
•	Duración (días), campo formulado, no registrar información. (valor total del contrato / valor mensual)*30
•	Fecha de acta de inicio (aaaa/mm/dd), de acuerdo con Secop
•	Fecha de terminación del contrato (aaaa/mm/dd) de acuerdo con Secop
•	Cesión: indicar si el contrato fue cedido.
</t>
    </r>
    <r>
      <rPr>
        <b/>
        <sz val="11"/>
        <rFont val="Arial"/>
        <family val="2"/>
      </rPr>
      <t>Información financiera del contrato</t>
    </r>
    <r>
      <rPr>
        <sz val="11"/>
        <rFont val="Arial"/>
        <family val="2"/>
      </rPr>
      <t xml:space="preserve">
•	Valor del pago mensual estipulado en el contrato, validar con </t>
    </r>
    <r>
      <rPr>
        <b/>
        <sz val="11"/>
        <rFont val="Arial"/>
        <family val="2"/>
      </rPr>
      <t>estudios previos</t>
    </r>
    <r>
      <rPr>
        <sz val="11"/>
        <rFont val="Arial"/>
        <family val="2"/>
      </rPr>
      <t xml:space="preserve">
•	CRP 1 y fecha CRP, registrar el número de CRP interno de Apoteosys y la fecha de creación
•	RP vigencia futura (si aplica)
•	CRP 2 y fecha, registrar el número de CRP interno de Apoteosys y la fecha de creación
•	CRP 3 y fecha, registrar el número de CRP interno de Apoteosys y la fecha de creación
•	Código de actividad ARL, diligenciar el código ARL que corresponda a su certificado de afiliación.
</t>
    </r>
    <r>
      <rPr>
        <b/>
        <sz val="11"/>
        <rFont val="Arial"/>
        <family val="2"/>
      </rPr>
      <t xml:space="preserve">Información del seguimiento contractual
</t>
    </r>
    <r>
      <rPr>
        <sz val="11"/>
        <rFont val="Arial"/>
        <family val="2"/>
      </rPr>
      <t xml:space="preserve">•	Área funcional de la Secretaría de Educación del Distrito, lista desplegable
•	Nombre del interventor del contrato
•	Cargo del interventor
•	Nombre del operativo responsable del diligenciamiento de la cuenta y a quien se le debe asociar el CRP.
•	Identificación del operativo responsable del diligenciamiento de la cuenta y a quien se le debe asociar el CRP
</t>
    </r>
    <r>
      <rPr>
        <b/>
        <sz val="11"/>
        <rFont val="Arial"/>
        <family val="2"/>
      </rPr>
      <t>Información del valor del contrato</t>
    </r>
    <r>
      <rPr>
        <sz val="11"/>
        <rFont val="Arial"/>
        <family val="2"/>
      </rPr>
      <t xml:space="preserve">
•	Valor del contrato sin IVA, campo formulado
•	Valor del IVA del contrato, campo formulado</t>
    </r>
  </si>
  <si>
    <r>
      <rPr>
        <b/>
        <sz val="11"/>
        <rFont val="Arial"/>
        <family val="2"/>
      </rPr>
      <t>DISMINUCIÓN DE LA BASE DE RETENCIÓN EN LA FUENTE</t>
    </r>
    <r>
      <rPr>
        <sz val="11"/>
        <rFont val="Arial"/>
        <family val="2"/>
      </rPr>
      <t xml:space="preserve">
En esta sección se registran las deducciones aplicables para el cálculo de la retención en la fuente.
Adjuntar certificados con corte al 31 de diciembre de la vigencia anterior. 
•	Dependientes, seleccionar la pestaña si aplica
•	Crédito hipotecario, seleccionar la pestaña si aplica
•	Salud No POS, seleccionar la pestaña si aplica
</t>
    </r>
    <r>
      <rPr>
        <b/>
        <sz val="11"/>
        <rFont val="Arial"/>
        <family val="2"/>
      </rPr>
      <t>Ahorro para vivienda</t>
    </r>
    <r>
      <rPr>
        <sz val="11"/>
        <rFont val="Arial"/>
        <family val="2"/>
      </rPr>
      <t xml:space="preserve">
Si aplica, registrar:
Cuenta AFC (Ahorro para Fomento a la Construcción)
•	Marcar SI o NO, si marca SI, diligenciar las siguientes casillas
•	Entidad
•	NIT
•	Valor mensual
</t>
    </r>
    <r>
      <rPr>
        <b/>
        <sz val="11"/>
        <rFont val="Arial"/>
        <family val="2"/>
      </rPr>
      <t>Pensiones voluntarias</t>
    </r>
    <r>
      <rPr>
        <sz val="11"/>
        <rFont val="Arial"/>
        <family val="2"/>
      </rPr>
      <t xml:space="preserve">
Si aplica, registrar:
•	Entidad
•	NIT
•	Valor mensual</t>
    </r>
  </si>
  <si>
    <r>
      <rPr>
        <b/>
        <sz val="11"/>
        <rFont val="Arial"/>
        <family val="2"/>
      </rPr>
      <t>CERTIFICACIÓN PARA APLICACIÓN DE RETENCIÓN EN LA FUENTE</t>
    </r>
    <r>
      <rPr>
        <sz val="11"/>
        <rFont val="Arial"/>
        <family val="2"/>
      </rPr>
      <t xml:space="preserve">
(Artículos 383 y 387 del Estatuto Tributario)
</t>
    </r>
    <r>
      <rPr>
        <b/>
        <sz val="11"/>
        <rFont val="Arial"/>
        <family val="2"/>
      </rPr>
      <t>El tercero debe responder SI o NO a las siguientes preguntas:</t>
    </r>
    <r>
      <rPr>
        <sz val="11"/>
        <rFont val="Arial"/>
        <family val="2"/>
      </rPr>
      <t xml:space="preserve">
C1. Si sus ingresos del año gravable inmediantamente anterior fueron superiores a 1.400 UVT 
C2. Si está obligado a declarar impuesto de renta.
C3. Si pertenece al Régimen Simple de Tributación (SIMPLE).
C4. Si el trabajador empleará costos y gastos conforme al Decreto 2231 de 2023.</t>
    </r>
  </si>
  <si>
    <r>
      <rPr>
        <b/>
        <sz val="11"/>
        <rFont val="Arial"/>
        <family val="2"/>
      </rPr>
      <t xml:space="preserve">SISTEMA AUTOMÁTICO DE PAGOS
</t>
    </r>
    <r>
      <rPr>
        <sz val="11"/>
        <rFont val="Arial"/>
        <family val="2"/>
      </rPr>
      <t xml:space="preserve">
Esta sección corresponde a la información bancaria para realizar pagos al tercero.
</t>
    </r>
    <r>
      <rPr>
        <b/>
        <sz val="11"/>
        <rFont val="Arial"/>
        <family val="2"/>
      </rPr>
      <t xml:space="preserve">Registrar:
</t>
    </r>
    <r>
      <rPr>
        <sz val="11"/>
        <rFont val="Arial"/>
        <family val="2"/>
      </rPr>
      <t xml:space="preserve">
•	Banco: nombre de la entidad financiera, lista desplegable con los bancos autorizados por la Superfinanciera.
•	Sucursal: oficina donde fue abierta la cuenta (si aplica).
•	Tipo de cuenta: Ahorros, Corriente o Daviplata
•	Identificación del titular: Campo formulado, no registrar información en este campo.
•	Cuenta bancaria: número de la cuenta sin caracteres especiales.</t>
    </r>
  </si>
  <si>
    <t>13-IF-016</t>
  </si>
  <si>
    <t>V.1.</t>
  </si>
  <si>
    <t xml:space="preserve">FORMULARIO DE ACTUALIZACIÓN DE DATOS PARA PERSONAS NATURALES HONORARIOS Y SERVICIOS PERSONALES ART.103 DEL ET
</t>
  </si>
  <si>
    <t>cacsa@cascsa.com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</si>
</sst>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quot;$&quot;\ * #,##0.00_-;\-&quot;$&quot;\ * #,##0.00_-;_-&quot;$&quot;\ * &quot;-&quot;??_-;_-@_-"/>
    <numFmt numFmtId="165" formatCode="_ &quot;$&quot;* #,##0_ ;_ &quot;$&quot;* \-#,##0_ ;_ &quot;$&quot;* &quot;-&quot;_ ;_ @_ "/>
    <numFmt numFmtId="166" formatCode="_ * #,##0_ ;_ * \-#,##0_ ;_ * &quot;-&quot;_ ;_ @_ "/>
    <numFmt numFmtId="167" formatCode="_ * #,##0.00_ ;_ * \-#,##0.00_ ;_ * &quot;-&quot;??_ ;_ @_ "/>
    <numFmt numFmtId="168" formatCode="_ &quot;$&quot;\ * #,##0_ ;_ &quot;$&quot;\ * \-#,##0_ ;_ &quot;$&quot;\ * &quot;-&quot;_ ;_ @_ "/>
    <numFmt numFmtId="169" formatCode="_ &quot;$&quot;\ * #,##0.00_ ;_ &quot;$&quot;\ * \-#,##0.00_ ;_ &quot;$&quot;\ * &quot;-&quot;??_ ;_ @_ "/>
    <numFmt numFmtId="170" formatCode="&quot;$&quot;#,##0;\-&quot;$&quot;#,##0"/>
    <numFmt numFmtId="171" formatCode="_-&quot;$&quot;* #,##0.00_-;\-&quot;$&quot;* #,##0.00_-;_-&quot;$&quot;* &quot;-&quot;??_-;_-@_-"/>
    <numFmt numFmtId="172" formatCode="_-* #,##0.00\ [$€]_-;\-* #,##0.00\ [$€]_-;_-* &quot;-&quot;??\ [$€]_-;_-@_-"/>
    <numFmt numFmtId="173" formatCode="&quot;$&quot;\ #,##0.00"/>
    <numFmt numFmtId="174" formatCode="&quot;$&quot;#,##0"/>
    <numFmt numFmtId="175" formatCode="_(&quot;$&quot;* #,##0.00_);_(&quot;$&quot;* \(#,##0.00\);_(&quot;$&quot;* &quot;-&quot;??_);_(@_)"/>
    <numFmt numFmtId="176" formatCode="yyyy\-mm\-dd;@"/>
    <numFmt numFmtId="177" formatCode="[$-F800]dddd\,\ mmmm\ dd\,\ yyyy"/>
    <numFmt numFmtId="178" formatCode="#,##0_ ;\-#,##0\ "/>
    <numFmt numFmtId="179" formatCode="&quot;$&quot;\ #,##0"/>
  </numFmts>
  <fonts count="43"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color indexed="8"/>
      <name val="Arial"/>
      <family val="2"/>
    </font>
    <font>
      <sz val="10"/>
      <name val="Tahoma"/>
      <family val="2"/>
    </font>
    <font>
      <sz val="12"/>
      <name val="Britannic Bold"/>
      <family val="2"/>
    </font>
    <font>
      <u/>
      <sz val="10"/>
      <color indexed="12"/>
      <name val="Arial"/>
      <family val="2"/>
    </font>
    <font>
      <sz val="11"/>
      <name val="Calibri"/>
      <family val="2"/>
      <scheme val="minor"/>
    </font>
    <font>
      <b/>
      <sz val="14"/>
      <color theme="1"/>
      <name val="Calibri"/>
      <family val="2"/>
      <scheme val="minor"/>
    </font>
    <font>
      <b/>
      <sz val="10"/>
      <name val="Arial"/>
      <family val="2"/>
    </font>
    <font>
      <b/>
      <sz val="11"/>
      <name val="Calibri"/>
      <family val="2"/>
      <scheme val="minor"/>
    </font>
    <font>
      <sz val="10"/>
      <name val="Calibri"/>
      <family val="2"/>
      <scheme val="minor"/>
    </font>
    <font>
      <b/>
      <sz val="12"/>
      <name val="Calibri"/>
      <family val="2"/>
      <scheme val="minor"/>
    </font>
    <font>
      <b/>
      <sz val="12"/>
      <name val="Arial"/>
      <family val="2"/>
    </font>
    <font>
      <b/>
      <u/>
      <sz val="11"/>
      <color theme="1"/>
      <name val="Calibri"/>
      <family val="2"/>
      <scheme val="minor"/>
    </font>
    <font>
      <b/>
      <sz val="11"/>
      <color indexed="58"/>
      <name val="Calibri"/>
      <family val="2"/>
      <scheme val="minor"/>
    </font>
    <font>
      <sz val="11"/>
      <color indexed="8"/>
      <name val="Calibri"/>
      <family val="2"/>
      <scheme val="minor"/>
    </font>
    <font>
      <b/>
      <sz val="11"/>
      <color theme="0"/>
      <name val="Segoe UI"/>
      <family val="2"/>
    </font>
    <font>
      <b/>
      <sz val="11"/>
      <color rgb="FF9BAD3E"/>
      <name val="Arial"/>
      <family val="2"/>
    </font>
    <font>
      <sz val="11"/>
      <color rgb="FF464646"/>
      <name val="Arial"/>
      <family val="2"/>
    </font>
    <font>
      <b/>
      <sz val="22"/>
      <name val="Calibri"/>
      <family val="2"/>
      <scheme val="minor"/>
    </font>
    <font>
      <b/>
      <sz val="14"/>
      <name val="Calibri"/>
      <family val="2"/>
      <scheme val="minor"/>
    </font>
    <font>
      <b/>
      <sz val="16"/>
      <name val="Calibri"/>
      <family val="2"/>
      <scheme val="minor"/>
    </font>
    <font>
      <sz val="9"/>
      <name val="Calibri"/>
      <family val="2"/>
      <scheme val="minor"/>
    </font>
    <font>
      <sz val="8"/>
      <name val="Calibri"/>
      <family val="2"/>
      <scheme val="minor"/>
    </font>
    <font>
      <sz val="5"/>
      <name val="Calibri"/>
      <family val="2"/>
      <scheme val="minor"/>
    </font>
    <font>
      <sz val="11"/>
      <color theme="4"/>
      <name val="Calibri"/>
      <family val="2"/>
      <scheme val="minor"/>
    </font>
    <font>
      <b/>
      <u/>
      <sz val="14"/>
      <color theme="1"/>
      <name val="Calibri"/>
      <family val="2"/>
      <scheme val="minor"/>
    </font>
    <font>
      <b/>
      <sz val="7"/>
      <name val="Calibri"/>
      <family val="2"/>
      <scheme val="minor"/>
    </font>
    <font>
      <sz val="11"/>
      <color theme="0"/>
      <name val="Calibri"/>
      <family val="2"/>
      <scheme val="minor"/>
    </font>
    <font>
      <sz val="11"/>
      <color theme="0" tint="-0.34998626667073579"/>
      <name val="Calibri"/>
      <family val="2"/>
      <scheme val="minor"/>
    </font>
    <font>
      <b/>
      <sz val="10"/>
      <color rgb="FFFF0000"/>
      <name val="Calibri"/>
      <family val="2"/>
      <scheme val="minor"/>
    </font>
    <font>
      <sz val="11"/>
      <color theme="1"/>
      <name val="Calibri"/>
      <family val="2"/>
    </font>
    <font>
      <sz val="14"/>
      <name val="Calibri"/>
      <family val="2"/>
      <scheme val="minor"/>
    </font>
    <font>
      <b/>
      <sz val="18"/>
      <name val="Calibri"/>
      <family val="2"/>
      <scheme val="minor"/>
    </font>
    <font>
      <sz val="16"/>
      <name val="Calibri"/>
      <family val="2"/>
      <scheme val="minor"/>
    </font>
    <font>
      <sz val="11"/>
      <color rgb="FF000000"/>
      <name val="Calibri"/>
      <family val="2"/>
      <scheme val="minor"/>
    </font>
    <font>
      <sz val="11"/>
      <name val="Arial"/>
      <family val="2"/>
    </font>
    <font>
      <b/>
      <sz val="11"/>
      <color indexed="8"/>
      <name val="Arial"/>
      <family val="2"/>
    </font>
    <font>
      <b/>
      <sz val="11"/>
      <name val="Arial"/>
      <family val="2"/>
    </font>
    <font>
      <i/>
      <sz val="11"/>
      <name val="Arial"/>
      <family val="2"/>
    </font>
    <font>
      <sz val="7"/>
      <name val="Calibri"/>
      <family val="2"/>
      <scheme val="minor"/>
    </font>
  </fonts>
  <fills count="2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59996337778862885"/>
        <bgColor indexed="64"/>
      </patternFill>
    </fill>
    <fill>
      <patternFill patternType="solid">
        <fgColor rgb="FFFFFFFF"/>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5"/>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rgb="FFFAF9F4"/>
        <bgColor indexed="64"/>
      </patternFill>
    </fill>
    <fill>
      <patternFill patternType="solid">
        <fgColor rgb="FFF1EEE0"/>
        <bgColor indexed="64"/>
      </patternFill>
    </fill>
  </fills>
  <borders count="107">
    <border>
      <left/>
      <right/>
      <top/>
      <bottom/>
      <diagonal/>
    </border>
    <border>
      <left/>
      <right/>
      <top/>
      <bottom style="thin">
        <color indexed="64"/>
      </bottom>
      <diagonal/>
    </border>
    <border>
      <left/>
      <right/>
      <top style="double">
        <color auto="1"/>
      </top>
      <bottom/>
      <diagonal/>
    </border>
    <border>
      <left/>
      <right/>
      <top style="double">
        <color auto="1"/>
      </top>
      <bottom style="thin">
        <color auto="1"/>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auto="1"/>
      </left>
      <right style="thin">
        <color auto="1"/>
      </right>
      <top style="thin">
        <color auto="1"/>
      </top>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diagonal/>
    </border>
    <border>
      <left/>
      <right/>
      <top style="double">
        <color auto="1"/>
      </top>
      <bottom style="medium">
        <color indexed="64"/>
      </bottom>
      <diagonal/>
    </border>
  </borders>
  <cellStyleXfs count="22">
    <xf numFmtId="0" fontId="0" fillId="0" borderId="0"/>
    <xf numFmtId="167" fontId="1" fillId="0" borderId="0" applyFont="0" applyFill="0" applyBorder="0" applyAlignment="0" applyProtection="0"/>
    <xf numFmtId="0" fontId="3" fillId="0" borderId="0"/>
    <xf numFmtId="0" fontId="4" fillId="0" borderId="0"/>
    <xf numFmtId="0" fontId="5" fillId="0" borderId="0"/>
    <xf numFmtId="172" fontId="3" fillId="0" borderId="0" applyFont="0" applyFill="0" applyBorder="0" applyAlignment="0" applyProtection="0"/>
    <xf numFmtId="0" fontId="6" fillId="0" borderId="0"/>
    <xf numFmtId="0" fontId="3" fillId="0" borderId="0"/>
    <xf numFmtId="0" fontId="7" fillId="0" borderId="0" applyNumberFormat="0" applyFill="0" applyBorder="0" applyAlignment="0" applyProtection="0">
      <alignment vertical="top"/>
      <protection locked="0"/>
    </xf>
    <xf numFmtId="9" fontId="1"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71" fontId="1" fillId="0" borderId="0" applyFont="0" applyFill="0" applyBorder="0" applyAlignment="0" applyProtection="0"/>
    <xf numFmtId="175" fontId="1" fillId="0" borderId="0" applyFont="0" applyFill="0" applyBorder="0" applyAlignment="0" applyProtection="0"/>
    <xf numFmtId="166" fontId="1" fillId="0" borderId="0" applyFont="0" applyFill="0" applyBorder="0" applyAlignment="0" applyProtection="0"/>
    <xf numFmtId="0" fontId="33" fillId="0" borderId="0"/>
  </cellStyleXfs>
  <cellXfs count="518">
    <xf numFmtId="0" fontId="0" fillId="0" borderId="0" xfId="0"/>
    <xf numFmtId="0" fontId="2" fillId="0" borderId="0" xfId="0" applyFont="1" applyAlignment="1">
      <alignment horizontal="center"/>
    </xf>
    <xf numFmtId="0" fontId="8" fillId="0" borderId="0" xfId="0" applyFont="1" applyAlignment="1">
      <alignment vertical="center"/>
    </xf>
    <xf numFmtId="0" fontId="0" fillId="0" borderId="0" xfId="0" applyAlignment="1">
      <alignment horizontal="center" vertical="center"/>
    </xf>
    <xf numFmtId="0" fontId="11" fillId="0" borderId="0" xfId="0" applyFont="1" applyAlignment="1">
      <alignment vertical="center"/>
    </xf>
    <xf numFmtId="0" fontId="8" fillId="9" borderId="0" xfId="0" applyFont="1" applyFill="1" applyAlignment="1">
      <alignment vertical="center"/>
    </xf>
    <xf numFmtId="0" fontId="12" fillId="0" borderId="0" xfId="0" applyFont="1" applyAlignment="1">
      <alignment vertical="center"/>
    </xf>
    <xf numFmtId="0" fontId="12" fillId="0" borderId="1" xfId="0" applyFont="1" applyBorder="1" applyAlignment="1" applyProtection="1">
      <alignment horizontal="center" vertical="center"/>
      <protection locked="0"/>
    </xf>
    <xf numFmtId="0" fontId="11" fillId="7" borderId="0" xfId="0" applyFont="1" applyFill="1" applyAlignment="1">
      <alignment vertical="center"/>
    </xf>
    <xf numFmtId="0" fontId="2" fillId="0" borderId="35" xfId="0" applyFont="1" applyBorder="1" applyAlignment="1">
      <alignment horizontal="center" vertical="center"/>
    </xf>
    <xf numFmtId="0" fontId="2" fillId="14" borderId="35" xfId="0" applyFont="1" applyFill="1" applyBorder="1" applyAlignment="1">
      <alignment horizontal="center" vertical="center"/>
    </xf>
    <xf numFmtId="0" fontId="2" fillId="14" borderId="43" xfId="0" applyFont="1" applyFill="1" applyBorder="1" applyAlignment="1">
      <alignment horizontal="center" vertical="center"/>
    </xf>
    <xf numFmtId="0" fontId="15" fillId="13" borderId="35" xfId="0" applyFont="1" applyFill="1" applyBorder="1" applyAlignment="1">
      <alignment horizontal="center" vertical="center"/>
    </xf>
    <xf numFmtId="0" fontId="15" fillId="13" borderId="59" xfId="0" applyFont="1" applyFill="1" applyBorder="1" applyAlignment="1">
      <alignment horizontal="center" vertical="center"/>
    </xf>
    <xf numFmtId="0" fontId="15" fillId="13" borderId="61" xfId="0" applyFont="1" applyFill="1" applyBorder="1" applyAlignment="1">
      <alignment horizontal="center" vertical="center"/>
    </xf>
    <xf numFmtId="0" fontId="2" fillId="14" borderId="63" xfId="0" applyFont="1" applyFill="1" applyBorder="1" applyAlignment="1">
      <alignment horizontal="center" vertical="center"/>
    </xf>
    <xf numFmtId="0" fontId="2" fillId="14" borderId="67" xfId="0" applyFont="1" applyFill="1" applyBorder="1" applyAlignment="1">
      <alignment horizontal="center" vertical="center"/>
    </xf>
    <xf numFmtId="0" fontId="17" fillId="2" borderId="7" xfId="3" applyFont="1" applyFill="1" applyBorder="1" applyAlignment="1">
      <alignment horizontal="center" vertical="center" wrapText="1"/>
    </xf>
    <xf numFmtId="0" fontId="17" fillId="2" borderId="6" xfId="3" applyFont="1" applyFill="1" applyBorder="1" applyAlignment="1">
      <alignment horizontal="center" vertical="center" wrapText="1"/>
    </xf>
    <xf numFmtId="0" fontId="16" fillId="2" borderId="7" xfId="2" applyFont="1" applyFill="1" applyBorder="1" applyAlignment="1">
      <alignment horizontal="center" vertical="center" wrapText="1"/>
    </xf>
    <xf numFmtId="0" fontId="16" fillId="2" borderId="6" xfId="2" applyFont="1" applyFill="1" applyBorder="1" applyAlignment="1">
      <alignment horizontal="center" vertical="center" wrapText="1"/>
    </xf>
    <xf numFmtId="0" fontId="8" fillId="0" borderId="54" xfId="2" applyFont="1" applyBorder="1" applyAlignment="1">
      <alignment horizontal="center" vertical="center" wrapText="1"/>
    </xf>
    <xf numFmtId="49" fontId="8" fillId="0" borderId="64" xfId="2" applyNumberFormat="1" applyFont="1" applyBorder="1" applyAlignment="1">
      <alignment horizontal="center" vertical="center" wrapText="1"/>
    </xf>
    <xf numFmtId="0" fontId="8" fillId="0" borderId="68" xfId="2" applyFont="1" applyBorder="1" applyAlignment="1">
      <alignment horizontal="center" vertical="center" wrapText="1"/>
    </xf>
    <xf numFmtId="0" fontId="2" fillId="0" borderId="40" xfId="0" applyFont="1" applyBorder="1" applyAlignment="1">
      <alignment horizontal="center" vertical="center"/>
    </xf>
    <xf numFmtId="0" fontId="8" fillId="7" borderId="0" xfId="0" applyFont="1" applyFill="1" applyAlignment="1">
      <alignment vertical="center"/>
    </xf>
    <xf numFmtId="0" fontId="12" fillId="7" borderId="0" xfId="0" applyFont="1" applyFill="1" applyAlignment="1">
      <alignment vertical="center"/>
    </xf>
    <xf numFmtId="0" fontId="0" fillId="19" borderId="63" xfId="0" applyFill="1" applyBorder="1" applyAlignment="1">
      <alignment horizontal="center" vertical="center"/>
    </xf>
    <xf numFmtId="0" fontId="0" fillId="19" borderId="67" xfId="0" applyFill="1" applyBorder="1" applyAlignment="1">
      <alignment horizontal="center" vertical="center"/>
    </xf>
    <xf numFmtId="0" fontId="0" fillId="8" borderId="46" xfId="0" applyFill="1" applyBorder="1" applyAlignment="1">
      <alignment horizontal="center" vertical="center"/>
    </xf>
    <xf numFmtId="0" fontId="0" fillId="8" borderId="50" xfId="0" applyFill="1" applyBorder="1" applyAlignment="1">
      <alignment horizontal="center" vertical="center"/>
    </xf>
    <xf numFmtId="49" fontId="0" fillId="0" borderId="0" xfId="0" applyNumberFormat="1" applyAlignment="1">
      <alignment horizontal="center" vertical="center"/>
    </xf>
    <xf numFmtId="0" fontId="0" fillId="0" borderId="41" xfId="0" applyBorder="1" applyAlignment="1">
      <alignment horizontal="center" vertical="center"/>
    </xf>
    <xf numFmtId="0" fontId="0" fillId="0" borderId="39" xfId="0" applyBorder="1" applyAlignment="1">
      <alignment horizontal="center" vertical="center"/>
    </xf>
    <xf numFmtId="0" fontId="0" fillId="15" borderId="36" xfId="0" applyFill="1" applyBorder="1" applyAlignment="1">
      <alignment horizontal="center" vertical="center"/>
    </xf>
    <xf numFmtId="0" fontId="0" fillId="15" borderId="44" xfId="0" applyFill="1" applyBorder="1" applyAlignment="1">
      <alignment horizontal="center" vertical="center"/>
    </xf>
    <xf numFmtId="0" fontId="0" fillId="15" borderId="62" xfId="0" applyFill="1" applyBorder="1" applyAlignment="1">
      <alignment horizontal="center" vertical="center"/>
    </xf>
    <xf numFmtId="0" fontId="0" fillId="15" borderId="6" xfId="0" applyFill="1" applyBorder="1" applyAlignment="1">
      <alignment horizontal="center" vertical="center"/>
    </xf>
    <xf numFmtId="0" fontId="0" fillId="15" borderId="39" xfId="0" applyFill="1" applyBorder="1" applyAlignment="1">
      <alignment horizontal="center" vertical="center"/>
    </xf>
    <xf numFmtId="0" fontId="0" fillId="0" borderId="54" xfId="0" applyBorder="1" applyAlignment="1">
      <alignment horizontal="center" vertical="center" wrapText="1"/>
    </xf>
    <xf numFmtId="0" fontId="0" fillId="0" borderId="64" xfId="0" applyBorder="1" applyAlignment="1">
      <alignment horizontal="center" vertical="center" wrapText="1"/>
    </xf>
    <xf numFmtId="0" fontId="0" fillId="0" borderId="51" xfId="0" applyBorder="1" applyAlignment="1">
      <alignment horizontal="center" vertical="center"/>
    </xf>
    <xf numFmtId="0" fontId="0" fillId="0" borderId="34" xfId="0" applyBorder="1" applyAlignment="1">
      <alignment horizontal="center" vertical="center"/>
    </xf>
    <xf numFmtId="0" fontId="0" fillId="0" borderId="52" xfId="0" applyBorder="1" applyAlignment="1">
      <alignment horizontal="center" vertical="center"/>
    </xf>
    <xf numFmtId="0" fontId="0" fillId="19" borderId="39" xfId="0" applyFill="1" applyBorder="1" applyAlignment="1">
      <alignment horizontal="center" vertical="center"/>
    </xf>
    <xf numFmtId="0" fontId="0" fillId="20" borderId="58" xfId="0" applyFill="1" applyBorder="1" applyAlignment="1">
      <alignment horizontal="center" vertical="center"/>
    </xf>
    <xf numFmtId="0" fontId="0" fillId="0" borderId="42" xfId="0" applyBorder="1" applyAlignment="1">
      <alignment horizontal="center" vertical="center"/>
    </xf>
    <xf numFmtId="0" fontId="0" fillId="0" borderId="37" xfId="0" applyBorder="1" applyAlignment="1">
      <alignment horizontal="center" vertical="center"/>
    </xf>
    <xf numFmtId="0" fontId="0" fillId="15" borderId="37" xfId="0" applyFill="1" applyBorder="1" applyAlignment="1">
      <alignment horizontal="center" vertical="center"/>
    </xf>
    <xf numFmtId="0" fontId="0" fillId="15" borderId="42" xfId="0" applyFill="1" applyBorder="1" applyAlignment="1">
      <alignment horizontal="center" vertical="center"/>
    </xf>
    <xf numFmtId="0" fontId="0" fillId="15" borderId="51" xfId="0" applyFill="1" applyBorder="1" applyAlignment="1">
      <alignment horizontal="center" vertical="center"/>
    </xf>
    <xf numFmtId="0" fontId="0" fillId="15" borderId="64" xfId="0" applyFill="1" applyBorder="1" applyAlignment="1">
      <alignment horizontal="center" vertical="center"/>
    </xf>
    <xf numFmtId="0" fontId="0" fillId="15" borderId="38" xfId="0" applyFill="1" applyBorder="1" applyAlignment="1">
      <alignment horizontal="center" vertical="center"/>
    </xf>
    <xf numFmtId="0" fontId="0" fillId="19" borderId="37" xfId="0" applyFill="1" applyBorder="1" applyAlignment="1">
      <alignment horizontal="center" vertical="center"/>
    </xf>
    <xf numFmtId="0" fontId="0" fillId="20" borderId="52" xfId="0" applyFill="1" applyBorder="1" applyAlignment="1">
      <alignment horizontal="center" vertical="center"/>
    </xf>
    <xf numFmtId="0" fontId="0" fillId="15" borderId="52" xfId="0" applyFill="1" applyBorder="1" applyAlignment="1">
      <alignment horizontal="center" vertical="center"/>
    </xf>
    <xf numFmtId="0" fontId="0" fillId="3" borderId="35" xfId="0" applyFill="1" applyBorder="1" applyAlignment="1">
      <alignment horizontal="center" vertical="center"/>
    </xf>
    <xf numFmtId="0" fontId="0" fillId="0" borderId="38" xfId="0" applyBorder="1" applyAlignment="1">
      <alignment horizontal="center" vertical="center"/>
    </xf>
    <xf numFmtId="0" fontId="0" fillId="15" borderId="45" xfId="0" applyFill="1" applyBorder="1" applyAlignment="1">
      <alignment horizontal="center" vertical="center"/>
    </xf>
    <xf numFmtId="0" fontId="0" fillId="15" borderId="46" xfId="0" applyFill="1" applyBorder="1" applyAlignment="1">
      <alignment horizontal="center" vertical="center"/>
    </xf>
    <xf numFmtId="0" fontId="0" fillId="15" borderId="47" xfId="0" applyFill="1" applyBorder="1" applyAlignment="1">
      <alignment horizontal="center" vertical="center"/>
    </xf>
    <xf numFmtId="0" fontId="0" fillId="15" borderId="48" xfId="0" applyFill="1" applyBorder="1" applyAlignment="1">
      <alignment horizontal="center" vertical="center"/>
    </xf>
    <xf numFmtId="0" fontId="0" fillId="15" borderId="49" xfId="0" applyFill="1" applyBorder="1" applyAlignment="1">
      <alignment horizontal="center" vertical="center"/>
    </xf>
    <xf numFmtId="0" fontId="0" fillId="0" borderId="68" xfId="0" applyBorder="1" applyAlignment="1">
      <alignment horizontal="center" vertical="center" wrapText="1"/>
    </xf>
    <xf numFmtId="0" fontId="0" fillId="0" borderId="69" xfId="0" applyBorder="1" applyAlignment="1">
      <alignment horizontal="center" vertical="center" wrapText="1"/>
    </xf>
    <xf numFmtId="0" fontId="0" fillId="0" borderId="0" xfId="0" applyAlignment="1">
      <alignment horizontal="center" vertical="center" wrapText="1"/>
    </xf>
    <xf numFmtId="0" fontId="0" fillId="0" borderId="48" xfId="0" applyBorder="1" applyAlignment="1">
      <alignment horizontal="center" vertical="center"/>
    </xf>
    <xf numFmtId="0" fontId="0" fillId="0" borderId="53" xfId="0" applyBorder="1" applyAlignment="1">
      <alignment horizontal="center" vertical="center"/>
    </xf>
    <xf numFmtId="0" fontId="0" fillId="0" borderId="49" xfId="0" applyBorder="1" applyAlignment="1">
      <alignment horizontal="center" vertical="center"/>
    </xf>
    <xf numFmtId="0" fontId="17" fillId="2" borderId="50" xfId="3" applyFont="1" applyFill="1" applyBorder="1" applyAlignment="1">
      <alignment horizontal="center" vertical="center"/>
    </xf>
    <xf numFmtId="0" fontId="17" fillId="2" borderId="47" xfId="3" applyFont="1" applyFill="1" applyBorder="1" applyAlignment="1">
      <alignment horizontal="center" vertical="center"/>
    </xf>
    <xf numFmtId="0" fontId="17" fillId="18" borderId="51" xfId="3" applyFont="1" applyFill="1" applyBorder="1" applyAlignment="1">
      <alignment horizontal="center" vertical="center"/>
    </xf>
    <xf numFmtId="0" fontId="17" fillId="18" borderId="34" xfId="3" applyFont="1" applyFill="1" applyBorder="1" applyAlignment="1">
      <alignment horizontal="center" vertical="center"/>
    </xf>
    <xf numFmtId="0" fontId="17" fillId="18" borderId="52" xfId="3" applyFont="1" applyFill="1" applyBorder="1" applyAlignment="1">
      <alignment horizontal="center" vertical="center"/>
    </xf>
    <xf numFmtId="0" fontId="0" fillId="18" borderId="65" xfId="0" applyFill="1" applyBorder="1" applyAlignment="1">
      <alignment horizontal="center" vertical="center"/>
    </xf>
    <xf numFmtId="0" fontId="17" fillId="18" borderId="48" xfId="3" applyFont="1" applyFill="1" applyBorder="1" applyAlignment="1">
      <alignment horizontal="center" vertical="center"/>
    </xf>
    <xf numFmtId="0" fontId="17" fillId="18" borderId="53" xfId="3" applyFont="1" applyFill="1" applyBorder="1" applyAlignment="1">
      <alignment horizontal="center" vertical="center"/>
    </xf>
    <xf numFmtId="0" fontId="17" fillId="18" borderId="49" xfId="3" applyFont="1" applyFill="1" applyBorder="1" applyAlignment="1">
      <alignment horizontal="center" vertical="center"/>
    </xf>
    <xf numFmtId="0" fontId="0" fillId="18" borderId="66" xfId="0" applyFill="1" applyBorder="1" applyAlignment="1">
      <alignment horizontal="center" vertical="center"/>
    </xf>
    <xf numFmtId="0" fontId="17" fillId="21" borderId="46" xfId="3" applyFont="1" applyFill="1" applyBorder="1" applyAlignment="1">
      <alignment horizontal="center" vertical="center"/>
    </xf>
    <xf numFmtId="0" fontId="17" fillId="21" borderId="50" xfId="3" applyFont="1" applyFill="1" applyBorder="1" applyAlignment="1">
      <alignment horizontal="center" vertical="center"/>
    </xf>
    <xf numFmtId="0" fontId="17" fillId="21" borderId="47" xfId="3" applyFont="1" applyFill="1" applyBorder="1" applyAlignment="1">
      <alignment horizontal="center" vertical="center"/>
    </xf>
    <xf numFmtId="0" fontId="0" fillId="21" borderId="70" xfId="0" applyFill="1" applyBorder="1" applyAlignment="1">
      <alignment horizontal="center" vertical="center"/>
    </xf>
    <xf numFmtId="0" fontId="0" fillId="22" borderId="0" xfId="0" applyFill="1" applyAlignment="1">
      <alignment horizontal="center" vertical="center"/>
    </xf>
    <xf numFmtId="0" fontId="18" fillId="0" borderId="0" xfId="4" applyFont="1" applyAlignment="1">
      <alignment horizontal="center" vertical="center" wrapText="1"/>
    </xf>
    <xf numFmtId="0" fontId="0" fillId="0" borderId="0" xfId="0" quotePrefix="1" applyAlignment="1">
      <alignment horizontal="center" vertical="center"/>
    </xf>
    <xf numFmtId="0" fontId="10" fillId="0" borderId="59" xfId="0" applyFont="1" applyBorder="1" applyAlignment="1">
      <alignment vertical="center"/>
    </xf>
    <xf numFmtId="0" fontId="10" fillId="0" borderId="63" xfId="0" applyFont="1" applyBorder="1" applyAlignment="1">
      <alignment vertical="center"/>
    </xf>
    <xf numFmtId="0" fontId="0" fillId="20" borderId="46" xfId="0" applyFill="1" applyBorder="1" applyAlignment="1">
      <alignment horizontal="center" vertical="center"/>
    </xf>
    <xf numFmtId="0" fontId="0" fillId="20" borderId="47" xfId="0" applyFill="1" applyBorder="1" applyAlignment="1">
      <alignment horizontal="center" vertical="center"/>
    </xf>
    <xf numFmtId="0" fontId="0" fillId="20" borderId="71" xfId="0" applyFill="1" applyBorder="1" applyAlignment="1">
      <alignment horizontal="center" vertical="center"/>
    </xf>
    <xf numFmtId="0" fontId="0" fillId="20" borderId="73" xfId="0" applyFill="1" applyBorder="1" applyAlignment="1">
      <alignment horizontal="center" vertical="center"/>
    </xf>
    <xf numFmtId="0" fontId="0" fillId="20" borderId="74" xfId="0" applyFill="1" applyBorder="1" applyAlignment="1">
      <alignment horizontal="center" vertical="center"/>
    </xf>
    <xf numFmtId="0" fontId="15" fillId="13" borderId="60" xfId="0" applyFont="1" applyFill="1" applyBorder="1" applyAlignment="1">
      <alignment horizontal="center" vertical="center" wrapText="1"/>
    </xf>
    <xf numFmtId="0" fontId="0" fillId="20" borderId="50" xfId="0" applyFill="1" applyBorder="1" applyAlignment="1">
      <alignment horizontal="center" vertical="center" wrapText="1"/>
    </xf>
    <xf numFmtId="0" fontId="0" fillId="20" borderId="34" xfId="0" applyFill="1" applyBorder="1" applyAlignment="1">
      <alignment horizontal="center" vertical="center" wrapText="1"/>
    </xf>
    <xf numFmtId="0" fontId="0" fillId="20" borderId="75" xfId="0" applyFill="1" applyBorder="1" applyAlignment="1">
      <alignment horizontal="center" vertical="center" wrapText="1"/>
    </xf>
    <xf numFmtId="0" fontId="0" fillId="20" borderId="28" xfId="0" applyFill="1" applyBorder="1" applyAlignment="1">
      <alignment horizontal="center" vertical="center" wrapText="1"/>
    </xf>
    <xf numFmtId="0" fontId="0" fillId="19" borderId="77" xfId="0" applyFill="1" applyBorder="1" applyAlignment="1">
      <alignment horizontal="center" vertical="center"/>
    </xf>
    <xf numFmtId="0" fontId="0" fillId="20" borderId="62" xfId="0" applyFill="1" applyBorder="1" applyAlignment="1">
      <alignment horizontal="center" vertical="center"/>
    </xf>
    <xf numFmtId="171" fontId="0" fillId="0" borderId="0" xfId="18" applyFont="1" applyAlignment="1">
      <alignment horizontal="center" vertical="center"/>
    </xf>
    <xf numFmtId="0" fontId="0" fillId="0" borderId="36" xfId="0" applyBorder="1" applyAlignment="1">
      <alignment horizontal="center" vertical="center"/>
    </xf>
    <xf numFmtId="0" fontId="0" fillId="0" borderId="85" xfId="0" applyBorder="1" applyAlignment="1">
      <alignment horizontal="center" vertical="center"/>
    </xf>
    <xf numFmtId="0" fontId="11" fillId="0" borderId="86" xfId="0" applyFont="1" applyBorder="1" applyAlignment="1">
      <alignment vertical="center" wrapText="1"/>
    </xf>
    <xf numFmtId="0" fontId="8" fillId="0" borderId="87" xfId="0" applyFont="1" applyBorder="1" applyAlignment="1">
      <alignment vertical="center" wrapText="1"/>
    </xf>
    <xf numFmtId="0" fontId="11" fillId="0" borderId="88" xfId="0" applyFont="1" applyBorder="1" applyAlignment="1">
      <alignment vertical="center" wrapText="1"/>
    </xf>
    <xf numFmtId="0" fontId="8" fillId="0" borderId="86" xfId="0" applyFont="1" applyBorder="1" applyAlignment="1">
      <alignment vertical="center" wrapText="1"/>
    </xf>
    <xf numFmtId="0" fontId="8" fillId="0" borderId="89" xfId="0" applyFont="1" applyBorder="1" applyAlignment="1">
      <alignment vertical="center" wrapText="1"/>
    </xf>
    <xf numFmtId="0" fontId="20" fillId="23" borderId="90" xfId="0" applyFont="1" applyFill="1" applyBorder="1" applyAlignment="1">
      <alignment horizontal="left" vertical="center"/>
    </xf>
    <xf numFmtId="0" fontId="20" fillId="24" borderId="90" xfId="0" applyFont="1" applyFill="1" applyBorder="1" applyAlignment="1">
      <alignment horizontal="left" vertical="center"/>
    </xf>
    <xf numFmtId="0" fontId="19" fillId="12" borderId="92" xfId="0" applyFont="1" applyFill="1" applyBorder="1" applyAlignment="1">
      <alignment horizontal="center" vertical="center" wrapText="1"/>
    </xf>
    <xf numFmtId="0" fontId="19" fillId="12" borderId="93" xfId="0" applyFont="1" applyFill="1" applyBorder="1" applyAlignment="1">
      <alignment horizontal="center" vertical="center" wrapText="1"/>
    </xf>
    <xf numFmtId="0" fontId="20" fillId="24" borderId="94" xfId="0" applyFont="1" applyFill="1" applyBorder="1" applyAlignment="1">
      <alignment horizontal="left" vertical="center"/>
    </xf>
    <xf numFmtId="0" fontId="0" fillId="20" borderId="96" xfId="0" applyFill="1" applyBorder="1" applyAlignment="1">
      <alignment horizontal="center" vertical="center"/>
    </xf>
    <xf numFmtId="0" fontId="0" fillId="20" borderId="14" xfId="0" applyFill="1" applyBorder="1" applyAlignment="1">
      <alignment horizontal="center" vertical="center" wrapText="1"/>
    </xf>
    <xf numFmtId="0" fontId="0" fillId="20" borderId="97" xfId="0" applyFill="1" applyBorder="1" applyAlignment="1">
      <alignment horizontal="center" vertical="center"/>
    </xf>
    <xf numFmtId="0" fontId="0" fillId="19" borderId="98" xfId="0" applyFill="1" applyBorder="1" applyAlignment="1">
      <alignment horizontal="center" vertical="center"/>
    </xf>
    <xf numFmtId="0" fontId="0" fillId="19" borderId="36" xfId="0" applyFill="1" applyBorder="1" applyAlignment="1">
      <alignment horizontal="center" vertical="center"/>
    </xf>
    <xf numFmtId="0" fontId="0" fillId="19" borderId="99" xfId="0" applyFill="1" applyBorder="1" applyAlignment="1">
      <alignment horizontal="center" vertical="center"/>
    </xf>
    <xf numFmtId="0" fontId="0" fillId="19" borderId="44" xfId="0" applyFill="1" applyBorder="1" applyAlignment="1">
      <alignment horizontal="center" vertical="center"/>
    </xf>
    <xf numFmtId="0" fontId="0" fillId="19" borderId="79" xfId="0" applyFill="1" applyBorder="1" applyAlignment="1">
      <alignment horizontal="center" vertical="center"/>
    </xf>
    <xf numFmtId="0" fontId="0" fillId="3" borderId="63" xfId="0" applyFill="1" applyBorder="1" applyAlignment="1">
      <alignment horizontal="center" vertical="center"/>
    </xf>
    <xf numFmtId="0" fontId="0" fillId="3" borderId="60" xfId="0" applyFill="1" applyBorder="1" applyAlignment="1">
      <alignment horizontal="center" vertical="center"/>
    </xf>
    <xf numFmtId="0" fontId="0" fillId="3" borderId="61" xfId="0" applyFill="1" applyBorder="1" applyAlignment="1">
      <alignment horizontal="center" vertical="center"/>
    </xf>
    <xf numFmtId="0" fontId="8" fillId="8" borderId="0" xfId="0" applyFont="1" applyFill="1" applyAlignment="1">
      <alignment vertical="center"/>
    </xf>
    <xf numFmtId="0" fontId="11" fillId="8" borderId="0" xfId="0" applyFont="1" applyFill="1" applyAlignment="1">
      <alignment vertical="center"/>
    </xf>
    <xf numFmtId="0" fontId="8" fillId="0" borderId="35" xfId="0" applyFont="1" applyBorder="1" applyAlignment="1" applyProtection="1">
      <alignment horizontal="center" vertical="center"/>
      <protection locked="0"/>
    </xf>
    <xf numFmtId="0" fontId="8" fillId="7" borderId="0" xfId="0" applyFont="1" applyFill="1" applyAlignment="1">
      <alignment horizontal="center" vertical="center"/>
    </xf>
    <xf numFmtId="0" fontId="8" fillId="8" borderId="0" xfId="0" applyFont="1" applyFill="1" applyAlignment="1">
      <alignment horizontal="center" vertical="center"/>
    </xf>
    <xf numFmtId="0" fontId="8" fillId="13" borderId="0" xfId="0" applyFont="1" applyFill="1" applyAlignment="1">
      <alignment horizontal="center" vertical="center"/>
    </xf>
    <xf numFmtId="0" fontId="8" fillId="13" borderId="0" xfId="0" applyFont="1" applyFill="1" applyAlignment="1">
      <alignment vertical="center"/>
    </xf>
    <xf numFmtId="2" fontId="8" fillId="13" borderId="0" xfId="0" applyNumberFormat="1" applyFont="1" applyFill="1" applyAlignment="1">
      <alignment horizontal="center" vertical="center"/>
    </xf>
    <xf numFmtId="0" fontId="8" fillId="3" borderId="0" xfId="0" applyFont="1" applyFill="1" applyAlignment="1">
      <alignment vertical="center"/>
    </xf>
    <xf numFmtId="2" fontId="8" fillId="3" borderId="0" xfId="0" applyNumberFormat="1" applyFont="1" applyFill="1" applyAlignment="1">
      <alignment horizontal="center" vertical="center"/>
    </xf>
    <xf numFmtId="0" fontId="3" fillId="0" borderId="61" xfId="0" applyFont="1" applyBorder="1" applyAlignment="1" applyProtection="1">
      <alignment horizontal="center" vertical="center"/>
      <protection locked="0"/>
    </xf>
    <xf numFmtId="0" fontId="3" fillId="0" borderId="61" xfId="0" applyFont="1" applyBorder="1" applyAlignment="1" applyProtection="1">
      <alignment vertical="center"/>
      <protection locked="0"/>
    </xf>
    <xf numFmtId="0" fontId="8" fillId="0" borderId="60" xfId="0" applyFont="1" applyBorder="1" applyAlignment="1" applyProtection="1">
      <alignment vertical="center"/>
      <protection locked="0"/>
    </xf>
    <xf numFmtId="0" fontId="8" fillId="0" borderId="61" xfId="0" applyFont="1" applyBorder="1" applyAlignment="1" applyProtection="1">
      <alignment vertical="center"/>
      <protection locked="0"/>
    </xf>
    <xf numFmtId="0" fontId="8" fillId="0" borderId="63" xfId="0" applyFont="1" applyBorder="1" applyAlignment="1" applyProtection="1">
      <alignment vertical="center"/>
      <protection locked="0"/>
    </xf>
    <xf numFmtId="0" fontId="12" fillId="8" borderId="0" xfId="0" applyFont="1" applyFill="1" applyAlignment="1">
      <alignment vertical="center"/>
    </xf>
    <xf numFmtId="0" fontId="8" fillId="4" borderId="61" xfId="0" applyFont="1" applyFill="1" applyBorder="1" applyAlignment="1">
      <alignment vertical="center"/>
    </xf>
    <xf numFmtId="0" fontId="8" fillId="0" borderId="0" xfId="0" applyFont="1" applyAlignment="1">
      <alignment horizontal="center" vertical="center" wrapText="1"/>
    </xf>
    <xf numFmtId="173" fontId="8" fillId="3" borderId="0" xfId="0" applyNumberFormat="1" applyFont="1" applyFill="1" applyAlignment="1">
      <alignment horizontal="center" vertical="center"/>
    </xf>
    <xf numFmtId="0" fontId="22" fillId="6" borderId="0" xfId="0" applyFont="1" applyFill="1" applyAlignment="1">
      <alignment vertical="center" wrapText="1"/>
    </xf>
    <xf numFmtId="167" fontId="8" fillId="0" borderId="72" xfId="1" applyFont="1" applyBorder="1" applyAlignment="1">
      <alignment vertical="center"/>
    </xf>
    <xf numFmtId="167" fontId="8" fillId="0" borderId="0" xfId="1" applyFont="1" applyBorder="1" applyAlignment="1">
      <alignment vertical="center"/>
    </xf>
    <xf numFmtId="0" fontId="2" fillId="0" borderId="71" xfId="0" applyFont="1" applyBorder="1" applyAlignment="1">
      <alignment horizontal="center" vertical="center"/>
    </xf>
    <xf numFmtId="0" fontId="2" fillId="0" borderId="46" xfId="0" applyFont="1" applyBorder="1" applyAlignment="1">
      <alignment horizontal="center" vertical="center"/>
    </xf>
    <xf numFmtId="0" fontId="0" fillId="0" borderId="50" xfId="0" applyBorder="1" applyAlignment="1">
      <alignment horizontal="center" vertical="center"/>
    </xf>
    <xf numFmtId="0" fontId="0" fillId="0" borderId="47" xfId="0" applyBorder="1" applyAlignment="1">
      <alignment horizontal="center" vertical="center"/>
    </xf>
    <xf numFmtId="0" fontId="2" fillId="0" borderId="96" xfId="0" applyFont="1" applyBorder="1" applyAlignment="1">
      <alignment horizontal="center" vertical="center"/>
    </xf>
    <xf numFmtId="0" fontId="0" fillId="0" borderId="14" xfId="0" applyBorder="1" applyAlignment="1">
      <alignment horizontal="center" vertical="center"/>
    </xf>
    <xf numFmtId="0" fontId="0" fillId="0" borderId="97" xfId="0" applyBorder="1" applyAlignment="1">
      <alignment horizontal="center" vertical="center"/>
    </xf>
    <xf numFmtId="0" fontId="15" fillId="0" borderId="63" xfId="0" applyFont="1"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15" fillId="4" borderId="63" xfId="0" applyFont="1" applyFill="1" applyBorder="1" applyAlignment="1">
      <alignment horizontal="center" vertical="center"/>
    </xf>
    <xf numFmtId="0" fontId="0" fillId="7" borderId="29" xfId="0" applyFill="1" applyBorder="1" applyAlignment="1">
      <alignment horizontal="center" vertical="center"/>
    </xf>
    <xf numFmtId="0" fontId="0" fillId="0" borderId="99" xfId="0" applyBorder="1" applyAlignment="1">
      <alignment horizontal="center" vertical="center"/>
    </xf>
    <xf numFmtId="0" fontId="0" fillId="5" borderId="85" xfId="0" applyFill="1" applyBorder="1" applyAlignment="1">
      <alignment horizontal="center" vertical="center"/>
    </xf>
    <xf numFmtId="14" fontId="8" fillId="0" borderId="0" xfId="1" applyNumberFormat="1" applyFont="1"/>
    <xf numFmtId="0" fontId="10" fillId="0" borderId="40" xfId="0" applyFont="1" applyBorder="1" applyAlignment="1">
      <alignment vertical="center"/>
    </xf>
    <xf numFmtId="0" fontId="10" fillId="0" borderId="55" xfId="0" applyFont="1" applyBorder="1" applyAlignment="1">
      <alignment vertical="center"/>
    </xf>
    <xf numFmtId="0" fontId="10" fillId="0" borderId="29" xfId="0" applyFont="1" applyBorder="1" applyAlignment="1">
      <alignment vertical="center"/>
    </xf>
    <xf numFmtId="0" fontId="0" fillId="20" borderId="102" xfId="0" applyFill="1" applyBorder="1" applyAlignment="1">
      <alignment horizontal="center" vertical="center" wrapText="1"/>
    </xf>
    <xf numFmtId="0" fontId="0" fillId="5" borderId="0" xfId="0" applyFill="1" applyAlignment="1">
      <alignment horizontal="center" vertical="center"/>
    </xf>
    <xf numFmtId="0" fontId="0" fillId="0" borderId="71" xfId="0" applyBorder="1" applyAlignment="1">
      <alignment horizontal="center" vertical="center" wrapText="1"/>
    </xf>
    <xf numFmtId="0" fontId="0" fillId="14" borderId="52" xfId="0" applyFill="1" applyBorder="1" applyAlignment="1">
      <alignment horizontal="center" vertical="center" wrapText="1"/>
    </xf>
    <xf numFmtId="0" fontId="0" fillId="0" borderId="52" xfId="0" applyBorder="1" applyAlignment="1">
      <alignment horizontal="center" vertical="center" wrapText="1"/>
    </xf>
    <xf numFmtId="14" fontId="0" fillId="0" borderId="52" xfId="0" applyNumberFormat="1" applyBorder="1" applyAlignment="1">
      <alignment horizontal="center" vertical="center" wrapText="1"/>
    </xf>
    <xf numFmtId="0" fontId="0" fillId="16" borderId="46" xfId="0" applyFill="1" applyBorder="1" applyAlignment="1">
      <alignment horizontal="center" vertical="center" wrapText="1"/>
    </xf>
    <xf numFmtId="0" fontId="0" fillId="16" borderId="47" xfId="0" applyFill="1" applyBorder="1" applyAlignment="1">
      <alignment horizontal="center" vertical="center" wrapText="1"/>
    </xf>
    <xf numFmtId="0" fontId="0" fillId="0" borderId="96" xfId="0" applyBorder="1" applyAlignment="1">
      <alignment horizontal="center" vertical="center" wrapText="1"/>
    </xf>
    <xf numFmtId="0" fontId="0" fillId="0" borderId="97" xfId="0" applyBorder="1" applyAlignment="1">
      <alignment horizontal="center" vertical="center" wrapText="1"/>
    </xf>
    <xf numFmtId="0" fontId="0" fillId="5" borderId="63" xfId="0" applyFill="1" applyBorder="1" applyAlignment="1">
      <alignment horizontal="center" vertical="center" wrapText="1"/>
    </xf>
    <xf numFmtId="0" fontId="2" fillId="5" borderId="61" xfId="0" applyFont="1" applyFill="1" applyBorder="1" applyAlignment="1">
      <alignment horizontal="center" vertical="center" wrapText="1"/>
    </xf>
    <xf numFmtId="0" fontId="0" fillId="20" borderId="103" xfId="0" applyFill="1" applyBorder="1" applyAlignment="1">
      <alignment horizontal="center" vertical="center"/>
    </xf>
    <xf numFmtId="0" fontId="0" fillId="20" borderId="64" xfId="0" applyFill="1" applyBorder="1" applyAlignment="1">
      <alignment horizontal="center" vertical="center"/>
    </xf>
    <xf numFmtId="0" fontId="0" fillId="20" borderId="104" xfId="0" applyFill="1" applyBorder="1" applyAlignment="1">
      <alignment horizontal="center" vertical="center"/>
    </xf>
    <xf numFmtId="0" fontId="0" fillId="3" borderId="102" xfId="0" applyFill="1" applyBorder="1" applyAlignment="1">
      <alignment horizontal="center" vertical="center"/>
    </xf>
    <xf numFmtId="164" fontId="0" fillId="0" borderId="0" xfId="0" applyNumberFormat="1" applyAlignment="1">
      <alignment horizontal="center" vertical="center"/>
    </xf>
    <xf numFmtId="171" fontId="0" fillId="0" borderId="0" xfId="0" applyNumberFormat="1" applyAlignment="1">
      <alignment horizontal="center" vertical="center"/>
    </xf>
    <xf numFmtId="1" fontId="20" fillId="23" borderId="91" xfId="0" applyNumberFormat="1" applyFont="1" applyFill="1" applyBorder="1" applyAlignment="1">
      <alignment horizontal="left" vertical="center" wrapText="1"/>
    </xf>
    <xf numFmtId="1" fontId="20" fillId="24" borderId="91" xfId="0" applyNumberFormat="1" applyFont="1" applyFill="1" applyBorder="1" applyAlignment="1">
      <alignment horizontal="left" vertical="center" wrapText="1"/>
    </xf>
    <xf numFmtId="1" fontId="20" fillId="24" borderId="95" xfId="0" applyNumberFormat="1" applyFont="1" applyFill="1" applyBorder="1" applyAlignment="1">
      <alignment horizontal="left" vertical="center" wrapText="1"/>
    </xf>
    <xf numFmtId="0" fontId="30" fillId="0" borderId="0" xfId="0" applyFont="1" applyAlignment="1">
      <alignment vertical="center"/>
    </xf>
    <xf numFmtId="167" fontId="8" fillId="0" borderId="0" xfId="1" applyFont="1" applyAlignment="1" applyProtection="1">
      <alignment vertical="center"/>
    </xf>
    <xf numFmtId="171" fontId="8" fillId="0" borderId="0" xfId="18" applyFont="1" applyAlignment="1" applyProtection="1">
      <alignment vertical="center"/>
    </xf>
    <xf numFmtId="9" fontId="8" fillId="0" borderId="0" xfId="0" applyNumberFormat="1" applyFont="1" applyAlignment="1">
      <alignment vertical="center"/>
    </xf>
    <xf numFmtId="178" fontId="8" fillId="0" borderId="0" xfId="1" applyNumberFormat="1" applyFont="1" applyAlignment="1" applyProtection="1">
      <alignment vertical="center"/>
    </xf>
    <xf numFmtId="167" fontId="8" fillId="0" borderId="0" xfId="0" applyNumberFormat="1" applyFont="1" applyAlignment="1">
      <alignment vertical="center"/>
    </xf>
    <xf numFmtId="178" fontId="8" fillId="0" borderId="0" xfId="0" applyNumberFormat="1" applyFont="1" applyAlignment="1">
      <alignment vertical="center"/>
    </xf>
    <xf numFmtId="169" fontId="8" fillId="0" borderId="0" xfId="0" applyNumberFormat="1" applyFont="1" applyAlignment="1">
      <alignment vertical="center"/>
    </xf>
    <xf numFmtId="0" fontId="31" fillId="0" borderId="0" xfId="0" applyFont="1" applyAlignment="1">
      <alignment vertical="center"/>
    </xf>
    <xf numFmtId="14" fontId="8" fillId="0" borderId="0" xfId="0" applyNumberFormat="1" applyFont="1" applyAlignment="1">
      <alignment vertical="center"/>
    </xf>
    <xf numFmtId="14" fontId="8" fillId="0" borderId="0" xfId="1" applyNumberFormat="1" applyFont="1" applyAlignment="1" applyProtection="1">
      <alignment vertical="center"/>
    </xf>
    <xf numFmtId="2" fontId="8" fillId="0" borderId="0" xfId="1" applyNumberFormat="1" applyFont="1" applyAlignment="1" applyProtection="1">
      <alignment vertical="center"/>
    </xf>
    <xf numFmtId="2" fontId="8" fillId="0" borderId="0" xfId="0" applyNumberFormat="1" applyFont="1" applyAlignment="1">
      <alignment vertical="center"/>
    </xf>
    <xf numFmtId="177" fontId="8" fillId="0" borderId="0" xfId="0" applyNumberFormat="1" applyFont="1" applyAlignment="1">
      <alignment vertical="center"/>
    </xf>
    <xf numFmtId="49" fontId="8" fillId="0" borderId="0" xfId="0" applyNumberFormat="1" applyFont="1" applyAlignment="1">
      <alignment vertical="center"/>
    </xf>
    <xf numFmtId="177" fontId="8" fillId="0" borderId="0" xfId="1" applyNumberFormat="1" applyFont="1" applyAlignment="1" applyProtection="1">
      <alignment vertical="center"/>
    </xf>
    <xf numFmtId="0" fontId="23" fillId="9" borderId="0" xfId="0" applyFont="1" applyFill="1" applyAlignment="1">
      <alignment vertical="center"/>
    </xf>
    <xf numFmtId="0" fontId="11" fillId="9" borderId="0" xfId="0" applyFont="1" applyFill="1" applyAlignment="1">
      <alignment vertical="center"/>
    </xf>
    <xf numFmtId="0" fontId="11" fillId="9" borderId="2" xfId="0" applyFont="1" applyFill="1" applyBorder="1" applyAlignment="1">
      <alignment vertical="center"/>
    </xf>
    <xf numFmtId="0" fontId="12" fillId="9" borderId="0" xfId="0" applyFont="1" applyFill="1" applyAlignment="1">
      <alignment vertical="center"/>
    </xf>
    <xf numFmtId="0" fontId="8" fillId="9" borderId="0" xfId="0" applyFont="1" applyFill="1" applyAlignment="1">
      <alignment horizontal="center" vertical="center" wrapText="1"/>
    </xf>
    <xf numFmtId="173" fontId="8" fillId="9" borderId="0" xfId="0" applyNumberFormat="1" applyFont="1" applyFill="1" applyAlignment="1">
      <alignment horizontal="center" vertical="center"/>
    </xf>
    <xf numFmtId="176" fontId="8" fillId="9" borderId="0" xfId="0" applyNumberFormat="1" applyFont="1" applyFill="1" applyAlignment="1">
      <alignment horizontal="center" vertical="center"/>
    </xf>
    <xf numFmtId="0" fontId="25" fillId="9" borderId="0" xfId="0" applyFont="1" applyFill="1" applyAlignment="1">
      <alignment vertical="center" wrapText="1"/>
    </xf>
    <xf numFmtId="0" fontId="26" fillId="9" borderId="0" xfId="0" applyFont="1" applyFill="1" applyAlignment="1">
      <alignment vertical="center"/>
    </xf>
    <xf numFmtId="0" fontId="0" fillId="0" borderId="30" xfId="0" applyBorder="1" applyAlignment="1">
      <alignment horizontal="center" vertical="center"/>
    </xf>
    <xf numFmtId="0" fontId="0" fillId="0" borderId="31" xfId="0" applyBorder="1" applyAlignment="1">
      <alignment horizontal="center" vertical="center"/>
    </xf>
    <xf numFmtId="0" fontId="8" fillId="0" borderId="87" xfId="21" quotePrefix="1" applyFont="1" applyBorder="1" applyAlignment="1">
      <alignment vertical="center" wrapText="1"/>
    </xf>
    <xf numFmtId="0" fontId="33" fillId="0" borderId="0" xfId="21" quotePrefix="1"/>
    <xf numFmtId="0" fontId="15" fillId="0" borderId="40" xfId="0" applyFont="1" applyBorder="1" applyAlignment="1">
      <alignment horizontal="center" vertical="center"/>
    </xf>
    <xf numFmtId="0" fontId="8" fillId="0" borderId="0" xfId="0" quotePrefix="1" applyFont="1" applyAlignment="1">
      <alignment vertical="center"/>
    </xf>
    <xf numFmtId="0" fontId="8" fillId="9" borderId="33" xfId="0" applyFont="1" applyFill="1" applyBorder="1" applyAlignment="1">
      <alignment vertical="center"/>
    </xf>
    <xf numFmtId="0" fontId="22" fillId="9" borderId="0" xfId="0" applyFont="1" applyFill="1" applyAlignment="1">
      <alignment vertical="center"/>
    </xf>
    <xf numFmtId="0" fontId="8" fillId="9" borderId="25" xfId="0" applyFont="1" applyFill="1" applyBorder="1" applyAlignment="1">
      <alignment vertical="center"/>
    </xf>
    <xf numFmtId="0" fontId="8" fillId="9" borderId="26" xfId="0" applyFont="1" applyFill="1" applyBorder="1" applyAlignment="1">
      <alignment vertical="center"/>
    </xf>
    <xf numFmtId="0" fontId="8" fillId="9" borderId="27" xfId="0" applyFont="1" applyFill="1" applyBorder="1" applyAlignment="1">
      <alignment vertical="center"/>
    </xf>
    <xf numFmtId="0" fontId="8" fillId="9" borderId="24" xfId="0" applyFont="1" applyFill="1" applyBorder="1" applyAlignment="1">
      <alignment vertical="center"/>
    </xf>
    <xf numFmtId="0" fontId="8" fillId="9" borderId="23" xfId="0" applyFont="1" applyFill="1" applyBorder="1" applyAlignment="1">
      <alignment vertical="center"/>
    </xf>
    <xf numFmtId="174" fontId="8" fillId="9" borderId="0" xfId="0" applyNumberFormat="1" applyFont="1" applyFill="1" applyAlignment="1">
      <alignment vertical="center"/>
    </xf>
    <xf numFmtId="14" fontId="8" fillId="9" borderId="0" xfId="0" applyNumberFormat="1" applyFont="1" applyFill="1" applyAlignment="1">
      <alignment vertical="center"/>
    </xf>
    <xf numFmtId="171" fontId="8" fillId="9" borderId="0" xfId="18" applyFont="1" applyFill="1" applyBorder="1" applyAlignment="1" applyProtection="1">
      <alignment vertical="center"/>
    </xf>
    <xf numFmtId="0" fontId="29" fillId="9" borderId="0" xfId="0" applyFont="1" applyFill="1" applyAlignment="1">
      <alignment vertical="center"/>
    </xf>
    <xf numFmtId="1" fontId="8" fillId="9" borderId="0" xfId="0" applyNumberFormat="1" applyFont="1" applyFill="1" applyAlignment="1">
      <alignment vertical="center"/>
    </xf>
    <xf numFmtId="0" fontId="29" fillId="9" borderId="0" xfId="0" applyFont="1" applyFill="1" applyAlignment="1">
      <alignment vertical="center" wrapText="1"/>
    </xf>
    <xf numFmtId="0" fontId="8" fillId="9" borderId="0" xfId="18" applyNumberFormat="1" applyFont="1" applyFill="1" applyBorder="1" applyAlignment="1" applyProtection="1">
      <alignment vertical="center"/>
    </xf>
    <xf numFmtId="0" fontId="8" fillId="9" borderId="22" xfId="0" applyFont="1" applyFill="1" applyBorder="1" applyAlignment="1">
      <alignment vertical="center"/>
    </xf>
    <xf numFmtId="0" fontId="11" fillId="9" borderId="23" xfId="0" applyFont="1" applyFill="1" applyBorder="1" applyAlignment="1">
      <alignment vertical="center"/>
    </xf>
    <xf numFmtId="0" fontId="12" fillId="9" borderId="1" xfId="0" applyFont="1" applyFill="1" applyBorder="1" applyAlignment="1" applyProtection="1">
      <alignment horizontal="center" vertical="center"/>
      <protection locked="0"/>
    </xf>
    <xf numFmtId="0" fontId="8" fillId="9" borderId="72" xfId="0" applyFont="1" applyFill="1" applyBorder="1" applyAlignment="1">
      <alignment vertical="center" wrapText="1"/>
    </xf>
    <xf numFmtId="0" fontId="8" fillId="9" borderId="0" xfId="0" applyFont="1" applyFill="1" applyAlignment="1">
      <alignment vertical="center" wrapText="1"/>
    </xf>
    <xf numFmtId="0" fontId="37" fillId="0" borderId="0" xfId="0" applyFont="1" applyAlignment="1">
      <alignment vertical="top"/>
    </xf>
    <xf numFmtId="0" fontId="8" fillId="4" borderId="61" xfId="0" applyFont="1" applyFill="1" applyBorder="1" applyAlignment="1">
      <alignment horizontal="center" vertical="center"/>
    </xf>
    <xf numFmtId="0" fontId="8" fillId="9" borderId="0" xfId="0" applyFont="1" applyFill="1" applyAlignment="1">
      <alignment horizontal="center" vertical="center"/>
    </xf>
    <xf numFmtId="0" fontId="11" fillId="9" borderId="0" xfId="0" applyFont="1" applyFill="1" applyAlignment="1">
      <alignment horizontal="center" vertical="center"/>
    </xf>
    <xf numFmtId="0" fontId="8" fillId="3" borderId="0" xfId="0" applyFont="1" applyFill="1" applyAlignment="1">
      <alignment horizontal="center" vertical="center"/>
    </xf>
    <xf numFmtId="0" fontId="23" fillId="9" borderId="0" xfId="0" applyFont="1" applyFill="1" applyAlignment="1">
      <alignment horizontal="center" vertical="center"/>
    </xf>
    <xf numFmtId="0" fontId="12" fillId="9" borderId="0" xfId="0" applyFont="1" applyFill="1" applyAlignment="1">
      <alignment horizontal="center" vertical="center"/>
    </xf>
    <xf numFmtId="0" fontId="8" fillId="0" borderId="0" xfId="0" applyFont="1" applyAlignment="1">
      <alignment horizontal="center" vertical="center"/>
    </xf>
    <xf numFmtId="0" fontId="11" fillId="9" borderId="0" xfId="0" applyFont="1" applyFill="1" applyAlignment="1">
      <alignment vertical="center" wrapText="1"/>
    </xf>
    <xf numFmtId="0" fontId="38" fillId="0" borderId="0" xfId="0" applyFont="1" applyAlignment="1">
      <alignment vertical="center"/>
    </xf>
    <xf numFmtId="0" fontId="40" fillId="0" borderId="0" xfId="0" applyFont="1" applyAlignment="1">
      <alignment vertical="center"/>
    </xf>
    <xf numFmtId="0" fontId="38" fillId="0" borderId="0" xfId="0" applyFont="1" applyAlignment="1">
      <alignment horizontal="justify" vertical="center" wrapText="1"/>
    </xf>
    <xf numFmtId="0" fontId="0" fillId="0" borderId="0" xfId="0" applyAlignment="1">
      <alignment horizontal="justify" vertical="center"/>
    </xf>
    <xf numFmtId="0" fontId="19" fillId="12" borderId="92" xfId="0" applyFont="1" applyFill="1" applyBorder="1" applyAlignment="1">
      <alignment horizontal="center" vertical="center"/>
    </xf>
    <xf numFmtId="0" fontId="0" fillId="0" borderId="0" xfId="0" applyAlignment="1">
      <alignment vertical="center"/>
    </xf>
    <xf numFmtId="0" fontId="0" fillId="9" borderId="0" xfId="0" applyFill="1" applyAlignment="1">
      <alignment vertical="center"/>
    </xf>
    <xf numFmtId="0" fontId="38" fillId="0" borderId="102" xfId="0" applyFont="1" applyBorder="1" applyAlignment="1">
      <alignment vertical="center"/>
    </xf>
    <xf numFmtId="0" fontId="34" fillId="9" borderId="29" xfId="0" applyFont="1" applyFill="1" applyBorder="1" applyAlignment="1">
      <alignment horizontal="center" vertical="center" wrapText="1"/>
    </xf>
    <xf numFmtId="0" fontId="34" fillId="9" borderId="30" xfId="0" applyFont="1" applyFill="1" applyBorder="1" applyAlignment="1">
      <alignment horizontal="center" vertical="center" wrapText="1"/>
    </xf>
    <xf numFmtId="0" fontId="34" fillId="9" borderId="31" xfId="0" applyFont="1" applyFill="1" applyBorder="1" applyAlignment="1">
      <alignment horizontal="center" vertical="center" wrapText="1"/>
    </xf>
    <xf numFmtId="0" fontId="34" fillId="9" borderId="72" xfId="0" applyFont="1" applyFill="1" applyBorder="1" applyAlignment="1">
      <alignment horizontal="center" vertical="center" wrapText="1"/>
    </xf>
    <xf numFmtId="0" fontId="34" fillId="9" borderId="0" xfId="0" applyFont="1" applyFill="1" applyAlignment="1">
      <alignment horizontal="center" vertical="center" wrapText="1"/>
    </xf>
    <xf numFmtId="0" fontId="34" fillId="9" borderId="105" xfId="0" applyFont="1" applyFill="1" applyBorder="1" applyAlignment="1">
      <alignment horizontal="center" vertical="center" wrapText="1"/>
    </xf>
    <xf numFmtId="0" fontId="34" fillId="9" borderId="32" xfId="0" applyFont="1" applyFill="1" applyBorder="1" applyAlignment="1">
      <alignment horizontal="center" vertical="center" wrapText="1"/>
    </xf>
    <xf numFmtId="0" fontId="34" fillId="9" borderId="33" xfId="0" applyFont="1" applyFill="1" applyBorder="1" applyAlignment="1">
      <alignment horizontal="center" vertical="center" wrapText="1"/>
    </xf>
    <xf numFmtId="0" fontId="34" fillId="9" borderId="4" xfId="0" applyFont="1" applyFill="1" applyBorder="1" applyAlignment="1">
      <alignment horizontal="center" vertical="center" wrapText="1"/>
    </xf>
    <xf numFmtId="0" fontId="8" fillId="4" borderId="79" xfId="0" applyFont="1" applyFill="1" applyBorder="1" applyAlignment="1">
      <alignment horizontal="center" vertical="center" wrapText="1"/>
    </xf>
    <xf numFmtId="0" fontId="8" fillId="4" borderId="80" xfId="0" applyFont="1" applyFill="1" applyBorder="1" applyAlignment="1">
      <alignment horizontal="center" vertical="center" wrapText="1"/>
    </xf>
    <xf numFmtId="0" fontId="8" fillId="4" borderId="81" xfId="0" applyFont="1" applyFill="1" applyBorder="1" applyAlignment="1">
      <alignment horizontal="center" vertical="center" wrapText="1"/>
    </xf>
    <xf numFmtId="0" fontId="12" fillId="9" borderId="8" xfId="0" applyFont="1" applyFill="1" applyBorder="1" applyAlignment="1">
      <alignment horizontal="justify" vertical="center" wrapText="1"/>
    </xf>
    <xf numFmtId="0" fontId="12" fillId="9" borderId="9" xfId="0" applyFont="1" applyFill="1" applyBorder="1" applyAlignment="1">
      <alignment horizontal="justify" vertical="center" wrapText="1"/>
    </xf>
    <xf numFmtId="0" fontId="12" fillId="9" borderId="10" xfId="0" applyFont="1" applyFill="1" applyBorder="1" applyAlignment="1">
      <alignment horizontal="justify" vertical="center" wrapText="1"/>
    </xf>
    <xf numFmtId="0" fontId="12" fillId="9" borderId="6" xfId="0" applyFont="1" applyFill="1" applyBorder="1" applyAlignment="1">
      <alignment horizontal="justify" vertical="center" wrapText="1"/>
    </xf>
    <xf numFmtId="0" fontId="12" fillId="9" borderId="1" xfId="0" applyFont="1" applyFill="1" applyBorder="1" applyAlignment="1">
      <alignment horizontal="justify" vertical="center" wrapText="1"/>
    </xf>
    <xf numFmtId="0" fontId="12" fillId="9" borderId="7" xfId="0" applyFont="1" applyFill="1" applyBorder="1" applyAlignment="1">
      <alignment horizontal="justify" vertical="center" wrapText="1"/>
    </xf>
    <xf numFmtId="0" fontId="8" fillId="9" borderId="40" xfId="0" applyFont="1" applyFill="1" applyBorder="1" applyAlignment="1" applyProtection="1">
      <alignment horizontal="center" vertical="center"/>
      <protection locked="0"/>
    </xf>
    <xf numFmtId="0" fontId="8" fillId="9" borderId="76" xfId="0" applyFont="1" applyFill="1" applyBorder="1" applyAlignment="1" applyProtection="1">
      <alignment horizontal="center" vertical="center"/>
      <protection locked="0"/>
    </xf>
    <xf numFmtId="0" fontId="8" fillId="9" borderId="5" xfId="0" applyFont="1" applyFill="1" applyBorder="1" applyAlignment="1" applyProtection="1">
      <alignment horizontal="center" vertical="center"/>
      <protection locked="0"/>
    </xf>
    <xf numFmtId="0" fontId="12" fillId="9" borderId="0" xfId="0" applyFont="1" applyFill="1" applyAlignment="1">
      <alignment horizontal="center" vertical="center"/>
    </xf>
    <xf numFmtId="0" fontId="12" fillId="9" borderId="0" xfId="0" applyFont="1" applyFill="1" applyAlignment="1">
      <alignment horizontal="right" vertical="center"/>
    </xf>
    <xf numFmtId="0" fontId="13" fillId="0" borderId="0" xfId="0" applyFont="1" applyAlignment="1">
      <alignment horizontal="center" vertical="center" wrapText="1"/>
    </xf>
    <xf numFmtId="0" fontId="35" fillId="9" borderId="0" xfId="0" applyFont="1" applyFill="1" applyAlignment="1">
      <alignment horizontal="center" vertical="center"/>
    </xf>
    <xf numFmtId="2" fontId="36" fillId="9" borderId="0" xfId="0" applyNumberFormat="1" applyFont="1" applyFill="1" applyAlignment="1">
      <alignment horizontal="center" vertical="center"/>
    </xf>
    <xf numFmtId="0" fontId="34" fillId="9" borderId="0" xfId="0" applyFont="1" applyFill="1" applyAlignment="1">
      <alignment horizontal="center" vertical="center"/>
    </xf>
    <xf numFmtId="0" fontId="11" fillId="9" borderId="2" xfId="0" applyFont="1" applyFill="1" applyBorder="1" applyAlignment="1">
      <alignment horizontal="center" vertical="center"/>
    </xf>
    <xf numFmtId="0" fontId="11" fillId="9" borderId="106" xfId="0" applyFont="1" applyFill="1" applyBorder="1" applyAlignment="1">
      <alignment horizontal="center" vertical="center"/>
    </xf>
    <xf numFmtId="0" fontId="11" fillId="0" borderId="2" xfId="0" applyFont="1" applyBorder="1" applyAlignment="1">
      <alignment horizontal="center" vertical="center"/>
    </xf>
    <xf numFmtId="0" fontId="11" fillId="0" borderId="73" xfId="0" applyFont="1" applyBorder="1" applyAlignment="1">
      <alignment horizontal="center" vertical="center"/>
    </xf>
    <xf numFmtId="0" fontId="11" fillId="0" borderId="75" xfId="0" applyFont="1" applyBorder="1" applyAlignment="1">
      <alignment horizontal="center" vertical="center"/>
    </xf>
    <xf numFmtId="0" fontId="11" fillId="0" borderId="74" xfId="0" applyFont="1" applyBorder="1" applyAlignment="1">
      <alignment horizontal="center" vertical="center"/>
    </xf>
    <xf numFmtId="173" fontId="8" fillId="0" borderId="101" xfId="0" applyNumberFormat="1" applyFont="1" applyBorder="1" applyAlignment="1" applyProtection="1">
      <alignment horizontal="center" vertical="center"/>
      <protection locked="0"/>
    </xf>
    <xf numFmtId="173" fontId="8" fillId="0" borderId="75" xfId="0" applyNumberFormat="1" applyFont="1" applyBorder="1" applyAlignment="1" applyProtection="1">
      <alignment horizontal="center" vertical="center"/>
      <protection locked="0"/>
    </xf>
    <xf numFmtId="173" fontId="8" fillId="0" borderId="74" xfId="0" applyNumberFormat="1" applyFont="1" applyBorder="1" applyAlignment="1" applyProtection="1">
      <alignment horizontal="center" vertical="center"/>
      <protection locked="0"/>
    </xf>
    <xf numFmtId="0" fontId="11" fillId="9" borderId="33" xfId="0" applyFont="1" applyFill="1" applyBorder="1" applyAlignment="1">
      <alignment horizontal="left" vertical="center"/>
    </xf>
    <xf numFmtId="0" fontId="11" fillId="9" borderId="4" xfId="0" applyFont="1" applyFill="1" applyBorder="1" applyAlignment="1">
      <alignment horizontal="left" vertical="center"/>
    </xf>
    <xf numFmtId="0" fontId="22" fillId="6" borderId="0" xfId="0" applyFont="1" applyFill="1" applyAlignment="1">
      <alignment horizontal="center" vertical="center" wrapText="1"/>
    </xf>
    <xf numFmtId="0" fontId="22" fillId="6" borderId="29" xfId="0" applyFont="1" applyFill="1" applyBorder="1" applyAlignment="1">
      <alignment horizontal="center" vertical="center" wrapText="1"/>
    </xf>
    <xf numFmtId="0" fontId="22" fillId="6" borderId="30" xfId="0" applyFont="1" applyFill="1" applyBorder="1" applyAlignment="1">
      <alignment horizontal="center" vertical="center" wrapText="1"/>
    </xf>
    <xf numFmtId="0" fontId="22" fillId="6" borderId="31" xfId="0" applyFont="1" applyFill="1" applyBorder="1" applyAlignment="1">
      <alignment horizontal="center" vertical="center" wrapText="1"/>
    </xf>
    <xf numFmtId="0" fontId="22" fillId="6" borderId="32" xfId="0" applyFont="1" applyFill="1" applyBorder="1" applyAlignment="1">
      <alignment horizontal="center" vertical="center" wrapText="1"/>
    </xf>
    <xf numFmtId="0" fontId="22" fillId="6" borderId="33"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8" fillId="0" borderId="63"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61" xfId="0" applyFont="1" applyBorder="1" applyAlignment="1">
      <alignment horizontal="center" vertical="center" wrapText="1"/>
    </xf>
    <xf numFmtId="173" fontId="8" fillId="0" borderId="73" xfId="0" applyNumberFormat="1"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34" xfId="0" applyFont="1" applyBorder="1" applyAlignment="1" applyProtection="1">
      <alignment horizontal="center" vertical="center"/>
      <protection locked="0"/>
    </xf>
    <xf numFmtId="0" fontId="8" fillId="0" borderId="52" xfId="0" applyFont="1" applyBorder="1" applyAlignment="1" applyProtection="1">
      <alignment horizontal="center" vertical="center"/>
      <protection locked="0"/>
    </xf>
    <xf numFmtId="0" fontId="21" fillId="9" borderId="0" xfId="0" applyFont="1" applyFill="1" applyAlignment="1">
      <alignment horizontal="center" vertical="center"/>
    </xf>
    <xf numFmtId="0" fontId="22" fillId="9" borderId="0" xfId="0" applyFont="1" applyFill="1" applyAlignment="1">
      <alignment horizontal="center" vertical="center"/>
    </xf>
    <xf numFmtId="0" fontId="23" fillId="9" borderId="0" xfId="0" applyFont="1" applyFill="1" applyAlignment="1">
      <alignment horizontal="center" vertical="center" wrapText="1"/>
    </xf>
    <xf numFmtId="0" fontId="23" fillId="9" borderId="0" xfId="0" applyFont="1" applyFill="1" applyAlignment="1">
      <alignment horizontal="center" vertical="center"/>
    </xf>
    <xf numFmtId="165" fontId="8" fillId="0" borderId="44" xfId="0" applyNumberFormat="1" applyFont="1" applyBorder="1" applyAlignment="1">
      <alignment horizontal="center" vertical="center"/>
    </xf>
    <xf numFmtId="165" fontId="8" fillId="0" borderId="70" xfId="0" applyNumberFormat="1" applyFont="1" applyBorder="1" applyAlignment="1">
      <alignment horizontal="center" vertical="center"/>
    </xf>
    <xf numFmtId="165" fontId="8" fillId="0" borderId="78" xfId="0" applyNumberFormat="1" applyFont="1" applyBorder="1" applyAlignment="1">
      <alignment horizontal="center" vertical="center"/>
    </xf>
    <xf numFmtId="165" fontId="8" fillId="0" borderId="79" xfId="0" applyNumberFormat="1" applyFont="1" applyBorder="1" applyAlignment="1">
      <alignment horizontal="center" vertical="center"/>
    </xf>
    <xf numFmtId="165" fontId="8" fillId="0" borderId="80" xfId="0" applyNumberFormat="1" applyFont="1" applyBorder="1" applyAlignment="1">
      <alignment horizontal="center" vertical="center"/>
    </xf>
    <xf numFmtId="165" fontId="8" fillId="0" borderId="81" xfId="0" applyNumberFormat="1" applyFont="1" applyBorder="1" applyAlignment="1">
      <alignment horizontal="center" vertical="center"/>
    </xf>
    <xf numFmtId="0" fontId="8" fillId="0" borderId="63" xfId="0" applyFont="1" applyBorder="1" applyAlignment="1">
      <alignment horizontal="center" vertical="center"/>
    </xf>
    <xf numFmtId="0" fontId="8" fillId="0" borderId="60" xfId="0" applyFont="1" applyBorder="1" applyAlignment="1">
      <alignment horizontal="center" vertical="center"/>
    </xf>
    <xf numFmtId="0" fontId="8" fillId="0" borderId="60" xfId="0" applyFont="1" applyBorder="1" applyAlignment="1" applyProtection="1">
      <alignment horizontal="center" vertical="center"/>
      <protection locked="0"/>
    </xf>
    <xf numFmtId="0" fontId="8" fillId="0" borderId="61" xfId="0" applyFont="1" applyBorder="1" applyAlignment="1" applyProtection="1">
      <alignment horizontal="center" vertical="center"/>
      <protection locked="0"/>
    </xf>
    <xf numFmtId="9" fontId="11" fillId="9" borderId="3" xfId="9" applyFont="1" applyFill="1" applyBorder="1" applyAlignment="1" applyProtection="1">
      <alignment horizontal="center" vertical="center"/>
    </xf>
    <xf numFmtId="176" fontId="8" fillId="0" borderId="40" xfId="0" applyNumberFormat="1" applyFont="1" applyBorder="1" applyAlignment="1" applyProtection="1">
      <alignment horizontal="center" vertical="center"/>
      <protection locked="0"/>
    </xf>
    <xf numFmtId="176" fontId="8" fillId="0" borderId="76" xfId="0" applyNumberFormat="1" applyFont="1" applyBorder="1" applyAlignment="1" applyProtection="1">
      <alignment horizontal="center" vertical="center"/>
      <protection locked="0"/>
    </xf>
    <xf numFmtId="176" fontId="8" fillId="0" borderId="5" xfId="0" applyNumberFormat="1" applyFont="1" applyBorder="1" applyAlignment="1" applyProtection="1">
      <alignment horizontal="center" vertical="center"/>
      <protection locked="0"/>
    </xf>
    <xf numFmtId="0" fontId="11" fillId="9" borderId="3" xfId="0" applyFont="1" applyFill="1" applyBorder="1" applyAlignment="1">
      <alignment horizontal="center" vertical="center"/>
    </xf>
    <xf numFmtId="0" fontId="8" fillId="0" borderId="40" xfId="0" applyFont="1" applyBorder="1" applyAlignment="1" applyProtection="1">
      <alignment horizontal="center" vertical="center"/>
      <protection locked="0"/>
    </xf>
    <xf numFmtId="0" fontId="8" fillId="0" borderId="76"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61" xfId="0" applyFont="1" applyBorder="1" applyAlignment="1">
      <alignment horizontal="center" vertical="center"/>
    </xf>
    <xf numFmtId="0" fontId="11" fillId="9" borderId="0" xfId="0" applyFont="1" applyFill="1" applyAlignment="1">
      <alignment horizontal="center" vertical="center"/>
    </xf>
    <xf numFmtId="0" fontId="11" fillId="0" borderId="63" xfId="0" applyFont="1" applyBorder="1" applyAlignment="1">
      <alignment horizontal="center" vertical="center"/>
    </xf>
    <xf numFmtId="0" fontId="11" fillId="0" borderId="60" xfId="0" applyFont="1" applyBorder="1" applyAlignment="1">
      <alignment horizontal="center" vertical="center"/>
    </xf>
    <xf numFmtId="0" fontId="11" fillId="0" borderId="67" xfId="0" applyFont="1" applyBorder="1" applyAlignment="1">
      <alignment horizontal="center" vertical="center"/>
    </xf>
    <xf numFmtId="0" fontId="12" fillId="4" borderId="29" xfId="0" applyFont="1" applyFill="1" applyBorder="1" applyAlignment="1">
      <alignment horizontal="center" vertical="center" wrapText="1"/>
    </xf>
    <xf numFmtId="0" fontId="12" fillId="4" borderId="30"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12" fillId="4" borderId="32"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8" fillId="0" borderId="63" xfId="0" applyFont="1" applyBorder="1" applyAlignment="1" applyProtection="1">
      <alignment horizontal="center" vertical="center"/>
      <protection locked="0"/>
    </xf>
    <xf numFmtId="0" fontId="11" fillId="0" borderId="44" xfId="0" applyFont="1" applyBorder="1" applyAlignment="1">
      <alignment horizontal="center" vertical="center" wrapText="1"/>
    </xf>
    <xf numFmtId="0" fontId="11" fillId="0" borderId="70" xfId="0" applyFont="1" applyBorder="1" applyAlignment="1">
      <alignment horizontal="center" vertical="center" wrapText="1"/>
    </xf>
    <xf numFmtId="0" fontId="11" fillId="0" borderId="78" xfId="0" applyFont="1" applyBorder="1" applyAlignment="1">
      <alignment horizontal="center" vertical="center" wrapText="1"/>
    </xf>
    <xf numFmtId="0" fontId="8" fillId="4" borderId="40" xfId="0" applyFont="1" applyFill="1" applyBorder="1" applyAlignment="1">
      <alignment horizontal="center" vertical="center"/>
    </xf>
    <xf numFmtId="0" fontId="8" fillId="4" borderId="76" xfId="0" applyFont="1" applyFill="1" applyBorder="1" applyAlignment="1">
      <alignment horizontal="center" vertical="center"/>
    </xf>
    <xf numFmtId="0" fontId="8" fillId="4" borderId="5" xfId="0" applyFont="1" applyFill="1" applyBorder="1" applyAlignment="1">
      <alignment horizontal="center" vertical="center"/>
    </xf>
    <xf numFmtId="0" fontId="3" fillId="0" borderId="67"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11" fillId="0" borderId="46" xfId="0" applyFont="1" applyBorder="1" applyAlignment="1" applyProtection="1">
      <alignment horizontal="center" vertical="center"/>
      <protection locked="0"/>
    </xf>
    <xf numFmtId="0" fontId="11" fillId="0" borderId="50" xfId="0" applyFont="1" applyBorder="1" applyAlignment="1" applyProtection="1">
      <alignment horizontal="center" vertical="center"/>
      <protection locked="0"/>
    </xf>
    <xf numFmtId="0" fontId="11" fillId="0" borderId="47" xfId="0" applyFont="1" applyBorder="1" applyAlignment="1" applyProtection="1">
      <alignment horizontal="center" vertical="center"/>
      <protection locked="0"/>
    </xf>
    <xf numFmtId="0" fontId="8" fillId="11" borderId="40" xfId="0" applyFont="1" applyFill="1" applyBorder="1" applyAlignment="1">
      <alignment horizontal="center" vertical="center" wrapText="1"/>
    </xf>
    <xf numFmtId="0" fontId="8" fillId="11" borderId="76" xfId="0" applyFont="1" applyFill="1" applyBorder="1" applyAlignment="1">
      <alignment horizontal="center" vertical="center" wrapText="1"/>
    </xf>
    <xf numFmtId="0" fontId="8" fillId="11" borderId="5" xfId="0" applyFont="1" applyFill="1" applyBorder="1" applyAlignment="1">
      <alignment horizontal="center" vertical="center" wrapText="1"/>
    </xf>
    <xf numFmtId="2" fontId="8" fillId="0" borderId="76" xfId="0" applyNumberFormat="1" applyFont="1" applyBorder="1" applyAlignment="1" applyProtection="1">
      <alignment horizontal="center" vertical="center"/>
      <protection locked="0"/>
    </xf>
    <xf numFmtId="2" fontId="8" fillId="0" borderId="5" xfId="0" applyNumberFormat="1" applyFont="1" applyBorder="1" applyAlignment="1" applyProtection="1">
      <alignment horizontal="center" vertical="center"/>
      <protection locked="0"/>
    </xf>
    <xf numFmtId="0" fontId="11" fillId="0" borderId="71" xfId="0" applyFont="1" applyBorder="1" applyAlignment="1">
      <alignment horizontal="center" vertical="center"/>
    </xf>
    <xf numFmtId="0" fontId="11" fillId="0" borderId="34" xfId="0" applyFont="1" applyBorder="1" applyAlignment="1">
      <alignment horizontal="center" vertical="center"/>
    </xf>
    <xf numFmtId="0" fontId="11" fillId="0" borderId="52" xfId="0" applyFont="1" applyBorder="1" applyAlignment="1">
      <alignment horizontal="center" vertical="center"/>
    </xf>
    <xf numFmtId="0" fontId="8" fillId="0" borderId="71" xfId="0" applyFont="1" applyBorder="1" applyAlignment="1" applyProtection="1">
      <alignment horizontal="center" vertical="center"/>
      <protection locked="0"/>
    </xf>
    <xf numFmtId="0" fontId="25" fillId="0" borderId="82" xfId="0" applyFont="1" applyBorder="1" applyAlignment="1">
      <alignment horizontal="center" vertical="center" wrapText="1"/>
    </xf>
    <xf numFmtId="0" fontId="25" fillId="0" borderId="83" xfId="0" applyFont="1" applyBorder="1" applyAlignment="1">
      <alignment horizontal="center" vertical="center" wrapText="1"/>
    </xf>
    <xf numFmtId="0" fontId="25" fillId="0" borderId="84" xfId="0" applyFont="1" applyBorder="1" applyAlignment="1">
      <alignment horizontal="center" vertical="center" wrapText="1"/>
    </xf>
    <xf numFmtId="0" fontId="8" fillId="14" borderId="40" xfId="0" applyFont="1" applyFill="1" applyBorder="1" applyAlignment="1" applyProtection="1">
      <alignment horizontal="center" vertical="center"/>
      <protection locked="0"/>
    </xf>
    <xf numFmtId="0" fontId="8" fillId="14" borderId="76" xfId="0" applyFont="1" applyFill="1" applyBorder="1" applyAlignment="1" applyProtection="1">
      <alignment horizontal="center" vertical="center"/>
      <protection locked="0"/>
    </xf>
    <xf numFmtId="0" fontId="8" fillId="14" borderId="5" xfId="0" applyFont="1" applyFill="1" applyBorder="1" applyAlignment="1" applyProtection="1">
      <alignment horizontal="center" vertical="center"/>
      <protection locked="0"/>
    </xf>
    <xf numFmtId="0" fontId="22" fillId="6" borderId="0" xfId="0" applyFont="1" applyFill="1" applyAlignment="1">
      <alignment horizontal="center" vertical="center"/>
    </xf>
    <xf numFmtId="0" fontId="3" fillId="0" borderId="100" xfId="0" applyFont="1" applyBorder="1" applyAlignment="1" applyProtection="1">
      <alignment horizontal="center" vertical="center"/>
      <protection locked="0"/>
    </xf>
    <xf numFmtId="0" fontId="3" fillId="0" borderId="31" xfId="0" applyFont="1" applyBorder="1" applyAlignment="1" applyProtection="1">
      <alignment horizontal="center" vertical="center"/>
      <protection locked="0"/>
    </xf>
    <xf numFmtId="0" fontId="23" fillId="9" borderId="40" xfId="0" applyFont="1" applyFill="1" applyBorder="1" applyAlignment="1">
      <alignment horizontal="center" vertical="center" wrapText="1"/>
    </xf>
    <xf numFmtId="0" fontId="23" fillId="9" borderId="76" xfId="0" applyFont="1" applyFill="1" applyBorder="1" applyAlignment="1">
      <alignment horizontal="center" vertical="center" wrapText="1"/>
    </xf>
    <xf numFmtId="0" fontId="23" fillId="9" borderId="5" xfId="0" applyFont="1" applyFill="1" applyBorder="1" applyAlignment="1">
      <alignment horizontal="center" vertical="center" wrapText="1"/>
    </xf>
    <xf numFmtId="0" fontId="8" fillId="9" borderId="0" xfId="0" applyFont="1" applyFill="1" applyAlignment="1">
      <alignment horizontal="center" vertical="center"/>
    </xf>
    <xf numFmtId="14" fontId="8" fillId="9" borderId="0" xfId="0" applyNumberFormat="1" applyFont="1" applyFill="1" applyAlignment="1">
      <alignment horizontal="center" vertical="center"/>
    </xf>
    <xf numFmtId="0" fontId="7" fillId="0" borderId="40" xfId="8" applyBorder="1" applyAlignment="1" applyProtection="1">
      <alignment horizontal="center" vertical="center"/>
      <protection locked="0"/>
    </xf>
    <xf numFmtId="0" fontId="27" fillId="0" borderId="76" xfId="0" applyFont="1" applyBorder="1" applyAlignment="1" applyProtection="1">
      <alignment horizontal="center" vertical="center"/>
      <protection locked="0"/>
    </xf>
    <xf numFmtId="0" fontId="27" fillId="0" borderId="5" xfId="0" applyFont="1" applyBorder="1" applyAlignment="1" applyProtection="1">
      <alignment horizontal="center" vertical="center"/>
      <protection locked="0"/>
    </xf>
    <xf numFmtId="0" fontId="22" fillId="10" borderId="0" xfId="0" applyFont="1" applyFill="1" applyAlignment="1">
      <alignment horizontal="center" vertical="center"/>
    </xf>
    <xf numFmtId="0" fontId="8" fillId="4" borderId="60" xfId="0" applyFont="1" applyFill="1" applyBorder="1" applyAlignment="1">
      <alignment horizontal="center" vertical="center"/>
    </xf>
    <xf numFmtId="0" fontId="8" fillId="4" borderId="61" xfId="0" applyFont="1" applyFill="1" applyBorder="1" applyAlignment="1">
      <alignment horizontal="center" vertical="center"/>
    </xf>
    <xf numFmtId="2" fontId="8" fillId="0" borderId="40" xfId="0" applyNumberFormat="1" applyFont="1" applyBorder="1" applyAlignment="1" applyProtection="1">
      <alignment horizontal="center" vertical="center" wrapText="1"/>
      <protection locked="0"/>
    </xf>
    <xf numFmtId="2" fontId="8" fillId="0" borderId="76" xfId="0" applyNumberFormat="1" applyFont="1" applyBorder="1" applyAlignment="1" applyProtection="1">
      <alignment horizontal="center" vertical="center" wrapText="1"/>
      <protection locked="0"/>
    </xf>
    <xf numFmtId="2" fontId="8" fillId="0" borderId="59" xfId="0" applyNumberFormat="1" applyFont="1" applyBorder="1" applyAlignment="1" applyProtection="1">
      <alignment horizontal="center" vertical="center" wrapText="1"/>
      <protection locked="0"/>
    </xf>
    <xf numFmtId="0" fontId="8" fillId="3" borderId="0" xfId="0" applyFont="1" applyFill="1" applyAlignment="1">
      <alignment horizontal="center" vertical="center"/>
    </xf>
    <xf numFmtId="0" fontId="8" fillId="17" borderId="0" xfId="0" applyFont="1" applyFill="1" applyAlignment="1">
      <alignment horizontal="center" vertical="center"/>
    </xf>
    <xf numFmtId="0" fontId="11" fillId="4" borderId="63" xfId="0" applyFont="1" applyFill="1" applyBorder="1" applyAlignment="1">
      <alignment horizontal="center" vertical="center"/>
    </xf>
    <xf numFmtId="0" fontId="11" fillId="4" borderId="60" xfId="0" applyFont="1" applyFill="1" applyBorder="1" applyAlignment="1">
      <alignment horizontal="center" vertical="center"/>
    </xf>
    <xf numFmtId="0" fontId="11" fillId="4" borderId="61" xfId="0" applyFont="1" applyFill="1" applyBorder="1" applyAlignment="1">
      <alignment horizontal="center" vertical="center"/>
    </xf>
    <xf numFmtId="167" fontId="11" fillId="9" borderId="2" xfId="1" applyFont="1" applyFill="1" applyBorder="1" applyAlignment="1" applyProtection="1">
      <alignment horizontal="center" vertical="center"/>
    </xf>
    <xf numFmtId="0" fontId="8" fillId="4" borderId="67" xfId="0" applyFont="1" applyFill="1" applyBorder="1" applyAlignment="1">
      <alignment horizontal="center" vertical="center"/>
    </xf>
    <xf numFmtId="0" fontId="8" fillId="0" borderId="59" xfId="0" applyFont="1" applyBorder="1" applyAlignment="1" applyProtection="1">
      <alignment horizontal="center" vertical="center"/>
      <protection locked="0"/>
    </xf>
    <xf numFmtId="3" fontId="8" fillId="0" borderId="40" xfId="0" applyNumberFormat="1" applyFont="1" applyBorder="1" applyAlignment="1" applyProtection="1">
      <alignment horizontal="center" vertical="center"/>
      <protection locked="0"/>
    </xf>
    <xf numFmtId="3" fontId="8" fillId="0" borderId="76" xfId="0" applyNumberFormat="1" applyFont="1" applyBorder="1" applyAlignment="1" applyProtection="1">
      <alignment horizontal="center" vertical="center"/>
      <protection locked="0"/>
    </xf>
    <xf numFmtId="3" fontId="8" fillId="0" borderId="5" xfId="0" applyNumberFormat="1" applyFont="1" applyBorder="1" applyAlignment="1" applyProtection="1">
      <alignment horizontal="center" vertical="center"/>
      <protection locked="0"/>
    </xf>
    <xf numFmtId="0" fontId="11" fillId="0" borderId="40" xfId="0" applyFont="1" applyBorder="1" applyAlignment="1">
      <alignment horizontal="center" vertical="center"/>
    </xf>
    <xf numFmtId="0" fontId="11" fillId="0" borderId="76" xfId="0" applyFont="1" applyBorder="1" applyAlignment="1">
      <alignment horizontal="center" vertical="center"/>
    </xf>
    <xf numFmtId="0" fontId="11" fillId="9" borderId="2" xfId="0" applyFont="1" applyFill="1" applyBorder="1" applyAlignment="1">
      <alignment horizontal="left" vertical="center"/>
    </xf>
    <xf numFmtId="176" fontId="8" fillId="9" borderId="40" xfId="0" applyNumberFormat="1" applyFont="1" applyFill="1" applyBorder="1" applyAlignment="1" applyProtection="1">
      <alignment horizontal="center" vertical="center"/>
      <protection locked="0"/>
    </xf>
    <xf numFmtId="176" fontId="8" fillId="9" borderId="76" xfId="0" applyNumberFormat="1" applyFont="1" applyFill="1" applyBorder="1" applyAlignment="1" applyProtection="1">
      <alignment horizontal="center" vertical="center"/>
      <protection locked="0"/>
    </xf>
    <xf numFmtId="176" fontId="8" fillId="9" borderId="5" xfId="0" applyNumberFormat="1" applyFont="1" applyFill="1" applyBorder="1" applyAlignment="1" applyProtection="1">
      <alignment horizontal="center" vertical="center"/>
      <protection locked="0"/>
    </xf>
    <xf numFmtId="0" fontId="8" fillId="0" borderId="0" xfId="0" applyFont="1" applyAlignment="1">
      <alignment horizontal="center" vertical="center"/>
    </xf>
    <xf numFmtId="0" fontId="8" fillId="4" borderId="59" xfId="0" applyFont="1" applyFill="1" applyBorder="1" applyAlignment="1">
      <alignment horizontal="center" vertical="center"/>
    </xf>
    <xf numFmtId="0" fontId="8" fillId="4" borderId="82" xfId="0" applyFont="1" applyFill="1" applyBorder="1" applyAlignment="1">
      <alignment horizontal="center" vertical="center"/>
    </xf>
    <xf numFmtId="0" fontId="8" fillId="4" borderId="83" xfId="0" applyFont="1" applyFill="1" applyBorder="1" applyAlignment="1">
      <alignment horizontal="center" vertical="center"/>
    </xf>
    <xf numFmtId="0" fontId="8" fillId="4" borderId="84" xfId="0" applyFont="1" applyFill="1" applyBorder="1" applyAlignment="1">
      <alignment horizontal="center" vertical="center"/>
    </xf>
    <xf numFmtId="0" fontId="8" fillId="4" borderId="63" xfId="0" applyFont="1" applyFill="1" applyBorder="1" applyAlignment="1">
      <alignment horizontal="center" vertical="center"/>
    </xf>
    <xf numFmtId="170" fontId="8" fillId="14" borderId="40" xfId="18" applyNumberFormat="1" applyFont="1" applyFill="1" applyBorder="1" applyAlignment="1" applyProtection="1">
      <alignment horizontal="center" vertical="center"/>
      <protection locked="0"/>
    </xf>
    <xf numFmtId="170" fontId="8" fillId="14" borderId="76" xfId="18" applyNumberFormat="1" applyFont="1" applyFill="1" applyBorder="1" applyAlignment="1" applyProtection="1">
      <alignment horizontal="center" vertical="center"/>
      <protection locked="0"/>
    </xf>
    <xf numFmtId="170" fontId="8" fillId="14" borderId="5" xfId="18" applyNumberFormat="1" applyFont="1" applyFill="1" applyBorder="1" applyAlignment="1" applyProtection="1">
      <alignment horizontal="center" vertical="center"/>
      <protection locked="0"/>
    </xf>
    <xf numFmtId="176" fontId="8" fillId="9" borderId="63" xfId="0" applyNumberFormat="1" applyFont="1" applyFill="1" applyBorder="1" applyAlignment="1" applyProtection="1">
      <alignment horizontal="center" vertical="center"/>
      <protection locked="0"/>
    </xf>
    <xf numFmtId="176" fontId="8" fillId="9" borderId="60" xfId="0" applyNumberFormat="1" applyFont="1" applyFill="1" applyBorder="1" applyAlignment="1" applyProtection="1">
      <alignment horizontal="center" vertical="center"/>
      <protection locked="0"/>
    </xf>
    <xf numFmtId="176" fontId="8" fillId="9" borderId="61" xfId="0" applyNumberFormat="1" applyFont="1" applyFill="1" applyBorder="1" applyAlignment="1" applyProtection="1">
      <alignment horizontal="center" vertical="center"/>
      <protection locked="0"/>
    </xf>
    <xf numFmtId="0" fontId="24" fillId="0" borderId="63" xfId="0" applyFont="1" applyBorder="1" applyAlignment="1" applyProtection="1">
      <alignment horizontal="center" vertical="center"/>
      <protection locked="0"/>
    </xf>
    <xf numFmtId="0" fontId="24" fillId="0" borderId="60" xfId="0" applyFont="1" applyBorder="1" applyAlignment="1" applyProtection="1">
      <alignment horizontal="center" vertical="center"/>
      <protection locked="0"/>
    </xf>
    <xf numFmtId="0" fontId="25" fillId="0" borderId="63" xfId="0" applyFont="1" applyBorder="1" applyAlignment="1">
      <alignment horizontal="center" vertical="center" wrapText="1"/>
    </xf>
    <xf numFmtId="0" fontId="25" fillId="0" borderId="60" xfId="0" applyFont="1" applyBorder="1" applyAlignment="1">
      <alignment horizontal="center" vertical="center" wrapText="1"/>
    </xf>
    <xf numFmtId="0" fontId="25" fillId="0" borderId="61" xfId="0" applyFont="1" applyBorder="1" applyAlignment="1">
      <alignment horizontal="center" vertical="center" wrapText="1"/>
    </xf>
    <xf numFmtId="0" fontId="8" fillId="9" borderId="63" xfId="0" applyFont="1" applyFill="1" applyBorder="1" applyAlignment="1" applyProtection="1">
      <alignment horizontal="center" vertical="center"/>
      <protection locked="0"/>
    </xf>
    <xf numFmtId="0" fontId="8" fillId="9" borderId="60" xfId="0" applyFont="1" applyFill="1" applyBorder="1" applyAlignment="1" applyProtection="1">
      <alignment horizontal="center" vertical="center"/>
      <protection locked="0"/>
    </xf>
    <xf numFmtId="0" fontId="8" fillId="9" borderId="61" xfId="0" applyFont="1" applyFill="1" applyBorder="1" applyAlignment="1" applyProtection="1">
      <alignment horizontal="center" vertical="center"/>
      <protection locked="0"/>
    </xf>
    <xf numFmtId="174" fontId="8" fillId="14" borderId="40" xfId="0" applyNumberFormat="1" applyFont="1" applyFill="1" applyBorder="1" applyAlignment="1" applyProtection="1">
      <alignment horizontal="center" vertical="center"/>
      <protection locked="0"/>
    </xf>
    <xf numFmtId="174" fontId="8" fillId="14" borderId="76" xfId="0" applyNumberFormat="1" applyFont="1" applyFill="1" applyBorder="1" applyAlignment="1" applyProtection="1">
      <alignment horizontal="center" vertical="center"/>
      <protection locked="0"/>
    </xf>
    <xf numFmtId="174" fontId="8" fillId="14" borderId="5" xfId="0" applyNumberFormat="1" applyFont="1" applyFill="1" applyBorder="1" applyAlignment="1" applyProtection="1">
      <alignment horizontal="center" vertical="center"/>
      <protection locked="0"/>
    </xf>
    <xf numFmtId="179" fontId="8" fillId="0" borderId="40" xfId="0" applyNumberFormat="1" applyFont="1" applyBorder="1" applyAlignment="1" applyProtection="1">
      <alignment horizontal="center" vertical="center"/>
      <protection locked="0"/>
    </xf>
    <xf numFmtId="179" fontId="8" fillId="0" borderId="76" xfId="0" applyNumberFormat="1" applyFont="1" applyBorder="1" applyAlignment="1" applyProtection="1">
      <alignment horizontal="center" vertical="center"/>
      <protection locked="0"/>
    </xf>
    <xf numFmtId="179" fontId="8" fillId="0" borderId="5" xfId="0" applyNumberFormat="1" applyFont="1" applyBorder="1" applyAlignment="1" applyProtection="1">
      <alignment horizontal="center" vertical="center"/>
      <protection locked="0"/>
    </xf>
    <xf numFmtId="0" fontId="8" fillId="5" borderId="0" xfId="0" applyFont="1" applyFill="1" applyAlignment="1">
      <alignment horizontal="center" vertical="center"/>
    </xf>
    <xf numFmtId="0" fontId="11" fillId="0" borderId="46" xfId="0" applyFont="1" applyBorder="1" applyAlignment="1">
      <alignment horizontal="center" vertical="center"/>
    </xf>
    <xf numFmtId="0" fontId="11" fillId="0" borderId="50" xfId="0" applyFont="1" applyBorder="1" applyAlignment="1">
      <alignment horizontal="center" vertical="center"/>
    </xf>
    <xf numFmtId="0" fontId="11" fillId="0" borderId="47" xfId="0" applyFont="1" applyBorder="1" applyAlignment="1">
      <alignment horizontal="center" vertical="center"/>
    </xf>
    <xf numFmtId="174" fontId="8" fillId="9" borderId="40" xfId="0" applyNumberFormat="1" applyFont="1" applyFill="1" applyBorder="1" applyAlignment="1" applyProtection="1">
      <alignment horizontal="center" vertical="center"/>
      <protection locked="0"/>
    </xf>
    <xf numFmtId="174" fontId="8" fillId="9" borderId="76" xfId="0" applyNumberFormat="1" applyFont="1" applyFill="1" applyBorder="1" applyAlignment="1" applyProtection="1">
      <alignment horizontal="center" vertical="center"/>
      <protection locked="0"/>
    </xf>
    <xf numFmtId="174" fontId="8" fillId="9" borderId="5" xfId="0" applyNumberFormat="1" applyFont="1" applyFill="1" applyBorder="1" applyAlignment="1" applyProtection="1">
      <alignment horizontal="center" vertical="center"/>
      <protection locked="0"/>
    </xf>
    <xf numFmtId="0" fontId="11" fillId="0" borderId="44" xfId="0" applyFont="1" applyBorder="1" applyAlignment="1" applyProtection="1">
      <alignment horizontal="center" vertical="center"/>
      <protection locked="0"/>
    </xf>
    <xf numFmtId="0" fontId="11" fillId="0" borderId="70" xfId="0" applyFont="1" applyBorder="1" applyAlignment="1" applyProtection="1">
      <alignment horizontal="center" vertical="center"/>
      <protection locked="0"/>
    </xf>
    <xf numFmtId="0" fontId="11" fillId="0" borderId="78" xfId="0" applyFont="1" applyBorder="1" applyAlignment="1" applyProtection="1">
      <alignment horizontal="center" vertical="center"/>
      <protection locked="0"/>
    </xf>
    <xf numFmtId="0" fontId="38" fillId="0" borderId="0" xfId="0" applyFont="1" applyAlignment="1">
      <alignment horizontal="justify" vertical="center" wrapText="1"/>
    </xf>
    <xf numFmtId="0" fontId="0" fillId="0" borderId="0" xfId="0" applyAlignment="1">
      <alignment horizontal="justify" vertical="center"/>
    </xf>
    <xf numFmtId="0" fontId="39" fillId="0" borderId="0" xfId="0" applyFont="1" applyAlignment="1">
      <alignment horizontal="left" vertical="center" wrapText="1"/>
    </xf>
    <xf numFmtId="0" fontId="40" fillId="0" borderId="0" xfId="0" applyFont="1" applyAlignment="1">
      <alignment horizontal="center" vertical="center"/>
    </xf>
    <xf numFmtId="0" fontId="11" fillId="9" borderId="26" xfId="0" applyFont="1" applyFill="1" applyBorder="1" applyAlignment="1">
      <alignment horizontal="center" vertical="center"/>
    </xf>
    <xf numFmtId="14" fontId="8" fillId="15" borderId="11" xfId="0" applyNumberFormat="1" applyFont="1" applyFill="1" applyBorder="1" applyAlignment="1" applyProtection="1">
      <alignment vertical="center"/>
      <protection locked="0"/>
    </xf>
    <xf numFmtId="14" fontId="8" fillId="15" borderId="12" xfId="0" applyNumberFormat="1" applyFont="1" applyFill="1" applyBorder="1" applyAlignment="1" applyProtection="1">
      <alignment vertical="center"/>
      <protection locked="0"/>
    </xf>
    <xf numFmtId="14" fontId="8" fillId="15" borderId="13" xfId="0" applyNumberFormat="1" applyFont="1" applyFill="1" applyBorder="1" applyAlignment="1" applyProtection="1">
      <alignment vertical="center"/>
      <protection locked="0"/>
    </xf>
    <xf numFmtId="0" fontId="8" fillId="9" borderId="24" xfId="0" applyFont="1" applyFill="1" applyBorder="1" applyAlignment="1">
      <alignment horizontal="center" vertical="center"/>
    </xf>
    <xf numFmtId="0" fontId="8" fillId="15" borderId="11" xfId="0" applyFont="1" applyFill="1" applyBorder="1" applyAlignment="1" applyProtection="1">
      <alignment vertical="center"/>
      <protection locked="0"/>
    </xf>
    <xf numFmtId="0" fontId="8" fillId="15" borderId="12" xfId="0" applyFont="1" applyFill="1" applyBorder="1" applyAlignment="1" applyProtection="1">
      <alignment vertical="center"/>
      <protection locked="0"/>
    </xf>
    <xf numFmtId="0" fontId="8" fillId="15" borderId="13" xfId="0" applyFont="1" applyFill="1" applyBorder="1" applyAlignment="1" applyProtection="1">
      <alignment vertical="center"/>
      <protection locked="0"/>
    </xf>
    <xf numFmtId="0" fontId="11" fillId="9" borderId="21" xfId="0" applyFont="1" applyFill="1" applyBorder="1" applyAlignment="1">
      <alignment horizontal="center" vertical="center"/>
    </xf>
    <xf numFmtId="0" fontId="11" fillId="9" borderId="0" xfId="0" applyFont="1" applyFill="1" applyAlignment="1">
      <alignment vertical="center" wrapText="1"/>
    </xf>
    <xf numFmtId="0" fontId="11" fillId="9" borderId="24" xfId="0" applyFont="1" applyFill="1" applyBorder="1" applyAlignment="1">
      <alignment vertical="center" wrapText="1"/>
    </xf>
    <xf numFmtId="0" fontId="11" fillId="9" borderId="24" xfId="0" applyFont="1" applyFill="1" applyBorder="1" applyAlignment="1">
      <alignment horizontal="center" vertical="center"/>
    </xf>
    <xf numFmtId="14" fontId="8" fillId="15" borderId="11" xfId="18" applyNumberFormat="1" applyFont="1" applyFill="1" applyBorder="1" applyAlignment="1" applyProtection="1">
      <alignment vertical="center"/>
    </xf>
    <xf numFmtId="14" fontId="8" fillId="15" borderId="12" xfId="18" applyNumberFormat="1" applyFont="1" applyFill="1" applyBorder="1" applyAlignment="1" applyProtection="1">
      <alignment vertical="center"/>
    </xf>
    <xf numFmtId="14" fontId="8" fillId="15" borderId="13" xfId="18" applyNumberFormat="1" applyFont="1" applyFill="1" applyBorder="1" applyAlignment="1" applyProtection="1">
      <alignment vertical="center"/>
    </xf>
    <xf numFmtId="0" fontId="8" fillId="15" borderId="25" xfId="18" applyNumberFormat="1" applyFont="1" applyFill="1" applyBorder="1" applyAlignment="1" applyProtection="1">
      <alignment vertical="center"/>
    </xf>
    <xf numFmtId="0" fontId="8" fillId="15" borderId="26" xfId="18" applyNumberFormat="1" applyFont="1" applyFill="1" applyBorder="1" applyAlignment="1" applyProtection="1">
      <alignment vertical="center"/>
    </xf>
    <xf numFmtId="0" fontId="8" fillId="15" borderId="27" xfId="18" applyNumberFormat="1" applyFont="1" applyFill="1" applyBorder="1" applyAlignment="1" applyProtection="1">
      <alignment vertical="center"/>
    </xf>
    <xf numFmtId="0" fontId="11" fillId="9" borderId="16" xfId="0" applyFont="1" applyFill="1" applyBorder="1" applyAlignment="1">
      <alignment vertical="center"/>
    </xf>
    <xf numFmtId="0" fontId="11" fillId="9" borderId="15" xfId="0" applyFont="1" applyFill="1" applyBorder="1" applyAlignment="1">
      <alignment vertical="center"/>
    </xf>
    <xf numFmtId="1" fontId="8" fillId="9" borderId="0" xfId="0" applyNumberFormat="1" applyFont="1" applyFill="1" applyAlignment="1">
      <alignment vertical="center"/>
    </xf>
    <xf numFmtId="49" fontId="8" fillId="15" borderId="11" xfId="0" applyNumberFormat="1" applyFont="1" applyFill="1" applyBorder="1" applyAlignment="1" applyProtection="1">
      <alignment vertical="center" wrapText="1"/>
      <protection locked="0"/>
    </xf>
    <xf numFmtId="49" fontId="8" fillId="15" borderId="12" xfId="0" applyNumberFormat="1" applyFont="1" applyFill="1" applyBorder="1" applyAlignment="1" applyProtection="1">
      <alignment vertical="center" wrapText="1"/>
      <protection locked="0"/>
    </xf>
    <xf numFmtId="49" fontId="8" fillId="15" borderId="13" xfId="0" applyNumberFormat="1" applyFont="1" applyFill="1" applyBorder="1" applyAlignment="1" applyProtection="1">
      <alignment vertical="center" wrapText="1"/>
      <protection locked="0"/>
    </xf>
    <xf numFmtId="0" fontId="8" fillId="15" borderId="11" xfId="0" applyFont="1" applyFill="1" applyBorder="1" applyAlignment="1">
      <alignment vertical="center"/>
    </xf>
    <xf numFmtId="0" fontId="8" fillId="15" borderId="12" xfId="0" applyFont="1" applyFill="1" applyBorder="1" applyAlignment="1">
      <alignment vertical="center"/>
    </xf>
    <xf numFmtId="0" fontId="8" fillId="15" borderId="13" xfId="0" applyFont="1" applyFill="1" applyBorder="1" applyAlignment="1">
      <alignment vertical="center"/>
    </xf>
    <xf numFmtId="0" fontId="11" fillId="9" borderId="0" xfId="0" applyFont="1" applyFill="1" applyAlignment="1">
      <alignment vertical="center"/>
    </xf>
    <xf numFmtId="167" fontId="8" fillId="15" borderId="11" xfId="1" applyFont="1" applyFill="1" applyBorder="1" applyAlignment="1" applyProtection="1">
      <alignment vertical="center"/>
    </xf>
    <xf numFmtId="167" fontId="8" fillId="15" borderId="12" xfId="1" applyFont="1" applyFill="1" applyBorder="1" applyAlignment="1" applyProtection="1">
      <alignment vertical="center"/>
    </xf>
    <xf numFmtId="167" fontId="8" fillId="15" borderId="13" xfId="1" applyFont="1" applyFill="1" applyBorder="1" applyAlignment="1" applyProtection="1">
      <alignment vertical="center"/>
    </xf>
    <xf numFmtId="177" fontId="8" fillId="9" borderId="0" xfId="1" applyNumberFormat="1" applyFont="1" applyFill="1" applyAlignment="1" applyProtection="1">
      <alignment vertical="center"/>
    </xf>
    <xf numFmtId="0" fontId="42" fillId="9" borderId="0" xfId="0" applyFont="1" applyFill="1" applyAlignment="1">
      <alignment horizontal="left" vertical="center" wrapText="1"/>
    </xf>
    <xf numFmtId="0" fontId="8" fillId="9" borderId="0" xfId="0" applyFont="1" applyFill="1" applyAlignment="1">
      <alignment horizontal="left" vertical="center"/>
    </xf>
    <xf numFmtId="0" fontId="25" fillId="9" borderId="0" xfId="0" applyFont="1" applyFill="1" applyAlignment="1">
      <alignment vertical="center"/>
    </xf>
    <xf numFmtId="0" fontId="12" fillId="9" borderId="40" xfId="0" applyFont="1" applyFill="1" applyBorder="1" applyAlignment="1">
      <alignment horizontal="center" vertical="center" wrapText="1"/>
    </xf>
    <xf numFmtId="0" fontId="12" fillId="9" borderId="76"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42" fillId="9" borderId="0" xfId="0" applyFont="1" applyFill="1" applyAlignment="1">
      <alignment horizontal="center" vertical="center" wrapText="1"/>
    </xf>
    <xf numFmtId="0" fontId="42" fillId="9" borderId="0" xfId="0" applyFont="1" applyFill="1" applyAlignment="1">
      <alignment horizontal="center" vertical="center"/>
    </xf>
    <xf numFmtId="0" fontId="8" fillId="19" borderId="11" xfId="0" applyFont="1" applyFill="1" applyBorder="1" applyAlignment="1" applyProtection="1">
      <alignment vertical="center"/>
      <protection locked="0"/>
    </xf>
    <xf numFmtId="0" fontId="8" fillId="19" borderId="12" xfId="0" applyFont="1" applyFill="1" applyBorder="1" applyAlignment="1" applyProtection="1">
      <alignment vertical="center"/>
      <protection locked="0"/>
    </xf>
    <xf numFmtId="0" fontId="8" fillId="19" borderId="13" xfId="0" applyFont="1" applyFill="1" applyBorder="1" applyAlignment="1" applyProtection="1">
      <alignment vertical="center"/>
      <protection locked="0"/>
    </xf>
    <xf numFmtId="171" fontId="8" fillId="9" borderId="0" xfId="18" applyFont="1" applyFill="1" applyBorder="1" applyAlignment="1" applyProtection="1">
      <alignment vertical="center"/>
    </xf>
    <xf numFmtId="171" fontId="8" fillId="15" borderId="11" xfId="18" applyFont="1" applyFill="1" applyBorder="1" applyAlignment="1" applyProtection="1">
      <alignment vertical="center"/>
      <protection locked="0"/>
    </xf>
    <xf numFmtId="171" fontId="8" fillId="15" borderId="12" xfId="18" applyFont="1" applyFill="1" applyBorder="1" applyAlignment="1" applyProtection="1">
      <alignment vertical="center"/>
      <protection locked="0"/>
    </xf>
    <xf numFmtId="171" fontId="8" fillId="15" borderId="13" xfId="18" applyFont="1" applyFill="1" applyBorder="1" applyAlignment="1" applyProtection="1">
      <alignment vertical="center"/>
      <protection locked="0"/>
    </xf>
    <xf numFmtId="168" fontId="29" fillId="9" borderId="0" xfId="18" applyNumberFormat="1" applyFont="1" applyFill="1" applyBorder="1" applyAlignment="1" applyProtection="1">
      <alignment vertical="center" wrapText="1"/>
    </xf>
    <xf numFmtId="168" fontId="29" fillId="9" borderId="24" xfId="18" applyNumberFormat="1" applyFont="1" applyFill="1" applyBorder="1" applyAlignment="1" applyProtection="1">
      <alignment vertical="center" wrapText="1"/>
    </xf>
    <xf numFmtId="169" fontId="8" fillId="15" borderId="11" xfId="1" applyNumberFormat="1" applyFont="1" applyFill="1" applyBorder="1" applyAlignment="1" applyProtection="1">
      <alignment vertical="center"/>
    </xf>
    <xf numFmtId="169" fontId="8" fillId="15" borderId="12" xfId="1" applyNumberFormat="1" applyFont="1" applyFill="1" applyBorder="1" applyAlignment="1" applyProtection="1">
      <alignment vertical="center"/>
    </xf>
    <xf numFmtId="169" fontId="8" fillId="15" borderId="13" xfId="1" applyNumberFormat="1" applyFont="1" applyFill="1" applyBorder="1" applyAlignment="1" applyProtection="1">
      <alignment vertical="center"/>
    </xf>
    <xf numFmtId="0" fontId="13" fillId="9" borderId="0" xfId="0" applyFont="1" applyFill="1" applyAlignment="1">
      <alignment horizontal="center" vertical="center"/>
    </xf>
    <xf numFmtId="0" fontId="13" fillId="9" borderId="0" xfId="0" applyFont="1" applyFill="1" applyAlignment="1">
      <alignment vertical="center"/>
    </xf>
    <xf numFmtId="0" fontId="14" fillId="9" borderId="0" xfId="0" applyFont="1" applyFill="1" applyAlignment="1">
      <alignment horizontal="center" vertical="center" wrapText="1"/>
    </xf>
    <xf numFmtId="0" fontId="8" fillId="15" borderId="18" xfId="0" applyFont="1" applyFill="1" applyBorder="1" applyAlignment="1" applyProtection="1">
      <alignment vertical="center"/>
      <protection locked="0"/>
    </xf>
    <xf numFmtId="0" fontId="8" fillId="15" borderId="19" xfId="0" applyFont="1" applyFill="1" applyBorder="1" applyAlignment="1" applyProtection="1">
      <alignment vertical="center"/>
      <protection locked="0"/>
    </xf>
    <xf numFmtId="0" fontId="8" fillId="15" borderId="20" xfId="0" applyFont="1" applyFill="1" applyBorder="1" applyAlignment="1" applyProtection="1">
      <alignment vertical="center"/>
      <protection locked="0"/>
    </xf>
    <xf numFmtId="14" fontId="8" fillId="9" borderId="11" xfId="0" applyNumberFormat="1" applyFont="1" applyFill="1" applyBorder="1" applyAlignment="1">
      <alignment vertical="center"/>
    </xf>
    <xf numFmtId="0" fontId="8" fillId="9" borderId="12" xfId="0" applyFont="1" applyFill="1" applyBorder="1" applyAlignment="1">
      <alignment vertical="center"/>
    </xf>
    <xf numFmtId="0" fontId="8" fillId="9" borderId="13" xfId="0" applyFont="1" applyFill="1" applyBorder="1" applyAlignment="1">
      <alignment vertical="center"/>
    </xf>
    <xf numFmtId="0" fontId="13" fillId="9" borderId="0" xfId="0" applyFont="1" applyFill="1" applyAlignment="1">
      <alignment vertical="center" wrapText="1"/>
    </xf>
    <xf numFmtId="3" fontId="8" fillId="15" borderId="11" xfId="0" applyNumberFormat="1" applyFont="1" applyFill="1" applyBorder="1" applyAlignment="1">
      <alignment vertical="center"/>
    </xf>
    <xf numFmtId="0" fontId="11" fillId="9" borderId="17" xfId="0" applyFont="1" applyFill="1" applyBorder="1" applyAlignment="1">
      <alignment vertical="center"/>
    </xf>
    <xf numFmtId="0" fontId="40" fillId="0" borderId="0" xfId="0" applyFont="1" applyAlignment="1">
      <alignment horizontal="justify" vertical="center" wrapText="1"/>
    </xf>
    <xf numFmtId="0" fontId="2" fillId="0" borderId="0" xfId="0" applyFont="1" applyAlignment="1">
      <alignment horizontal="justify" vertical="center"/>
    </xf>
    <xf numFmtId="0" fontId="39" fillId="0" borderId="102" xfId="0" applyFont="1" applyBorder="1" applyAlignment="1">
      <alignment horizontal="left" vertical="center" wrapText="1"/>
    </xf>
    <xf numFmtId="0" fontId="15" fillId="16" borderId="55" xfId="0" applyFont="1" applyFill="1" applyBorder="1" applyAlignment="1">
      <alignment horizontal="center" vertical="center"/>
    </xf>
    <xf numFmtId="0" fontId="15" fillId="16" borderId="56" xfId="0" applyFont="1" applyFill="1" applyBorder="1" applyAlignment="1">
      <alignment horizontal="center" vertical="center"/>
    </xf>
    <xf numFmtId="0" fontId="15" fillId="16" borderId="57" xfId="0" applyFont="1" applyFill="1" applyBorder="1" applyAlignment="1">
      <alignment horizontal="center" vertical="center"/>
    </xf>
    <xf numFmtId="0" fontId="0" fillId="0" borderId="34" xfId="0" applyBorder="1" applyAlignment="1">
      <alignment horizontal="center" vertical="center"/>
    </xf>
    <xf numFmtId="0" fontId="0" fillId="0" borderId="52"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15" fillId="5" borderId="40" xfId="0" applyFont="1" applyFill="1" applyBorder="1" applyAlignment="1">
      <alignment horizontal="center" vertical="center"/>
    </xf>
    <xf numFmtId="0" fontId="15" fillId="5" borderId="76" xfId="0" applyFont="1" applyFill="1" applyBorder="1" applyAlignment="1">
      <alignment horizontal="center" vertical="center"/>
    </xf>
    <xf numFmtId="0" fontId="15" fillId="5" borderId="5"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cellXfs>
  <cellStyles count="22">
    <cellStyle name="Euro" xfId="5" xr:uid="{00000000-0005-0000-0000-000000000000}"/>
    <cellStyle name="Hipervínculo" xfId="8" builtinId="8"/>
    <cellStyle name="Millares" xfId="1" builtinId="3"/>
    <cellStyle name="Millares [0] 2" xfId="20" xr:uid="{00000000-0005-0000-0000-000003000000}"/>
    <cellStyle name="Millares 2" xfId="10" xr:uid="{00000000-0005-0000-0000-000004000000}"/>
    <cellStyle name="Millares 2 2" xfId="11" xr:uid="{00000000-0005-0000-0000-000005000000}"/>
    <cellStyle name="Moneda" xfId="18" builtinId="4"/>
    <cellStyle name="Moneda [0] 2" xfId="12" xr:uid="{00000000-0005-0000-0000-000007000000}"/>
    <cellStyle name="Moneda [0] 2 2" xfId="13" xr:uid="{00000000-0005-0000-0000-000008000000}"/>
    <cellStyle name="Moneda 2" xfId="14" xr:uid="{00000000-0005-0000-0000-000009000000}"/>
    <cellStyle name="Moneda 2 2" xfId="15" xr:uid="{00000000-0005-0000-0000-00000A000000}"/>
    <cellStyle name="Moneda 3" xfId="19" xr:uid="{00000000-0005-0000-0000-00000B000000}"/>
    <cellStyle name="Normal" xfId="0" builtinId="0"/>
    <cellStyle name="Normal 2" xfId="2" xr:uid="{00000000-0005-0000-0000-00000D000000}"/>
    <cellStyle name="Normal 3" xfId="3" xr:uid="{00000000-0005-0000-0000-00000E000000}"/>
    <cellStyle name="Normal 3 2" xfId="6" xr:uid="{00000000-0005-0000-0000-00000F000000}"/>
    <cellStyle name="Normal 4" xfId="4" xr:uid="{00000000-0005-0000-0000-000010000000}"/>
    <cellStyle name="Normal 5" xfId="21" xr:uid="{F52BAE6D-D08B-4204-AC91-3397FC1E8E13}"/>
    <cellStyle name="Normal 8" xfId="7" xr:uid="{00000000-0005-0000-0000-000011000000}"/>
    <cellStyle name="Porcentaje" xfId="9" builtinId="5"/>
    <cellStyle name="Porcentaje 2" xfId="16" xr:uid="{00000000-0005-0000-0000-000013000000}"/>
    <cellStyle name="Porcentaje 2 2" xfId="17" xr:uid="{00000000-0005-0000-0000-000014000000}"/>
  </cellStyles>
  <dxfs count="105">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b/>
        <i val="0"/>
        <u val="double"/>
        <color theme="0"/>
      </font>
      <fill>
        <patternFill>
          <fgColor rgb="FFFF0000"/>
          <bgColor rgb="FFFF0000"/>
        </patternFill>
      </fill>
    </dxf>
    <dxf>
      <font>
        <color rgb="FF9C5700"/>
      </font>
      <fill>
        <patternFill>
          <bgColor rgb="FFFFEB9C"/>
        </patternFill>
      </fill>
    </dxf>
    <dxf>
      <font>
        <color rgb="FF9C5700"/>
      </font>
      <fill>
        <patternFill>
          <bgColor rgb="FFFFEB9C"/>
        </patternFill>
      </fill>
    </dxf>
    <dxf>
      <font>
        <b/>
        <i val="0"/>
        <u val="double"/>
        <color theme="0"/>
      </font>
      <fill>
        <patternFill>
          <fgColor rgb="FFFF0000"/>
          <bgColor rgb="FFFF0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b/>
        <i val="0"/>
        <color theme="0"/>
      </font>
      <fill>
        <patternFill>
          <bgColor rgb="FFFF0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b/>
        <i val="0"/>
        <u val="double"/>
        <color theme="0"/>
      </font>
      <fill>
        <patternFill patternType="solid">
          <fgColor rgb="FFFF0000"/>
          <bgColor rgb="FFFF0000"/>
        </patternFill>
      </fill>
    </dxf>
    <dxf>
      <font>
        <color rgb="FF9C5700"/>
      </font>
      <fill>
        <patternFill>
          <bgColor rgb="FFFFEB9C"/>
        </patternFill>
      </fill>
    </dxf>
    <dxf>
      <font>
        <color theme="0"/>
      </font>
    </dxf>
    <dxf>
      <font>
        <color rgb="FF9C0006"/>
      </font>
      <fill>
        <patternFill>
          <bgColor rgb="FFFFC7CE"/>
        </patternFill>
      </fill>
    </dxf>
    <dxf>
      <font>
        <color rgb="FF9C0006"/>
      </font>
      <fill>
        <patternFill>
          <bgColor rgb="FFFFC7CE"/>
        </patternFill>
      </fill>
    </dxf>
    <dxf>
      <font>
        <b/>
        <i val="0"/>
        <u val="double"/>
        <color theme="0"/>
      </font>
      <fill>
        <patternFill>
          <bgColor rgb="FFFF0000"/>
        </patternFill>
      </fill>
    </dxf>
    <dxf>
      <font>
        <b/>
        <i val="0"/>
        <color theme="0"/>
      </font>
      <fill>
        <patternFill>
          <bgColor theme="5" tint="-0.24994659260841701"/>
        </patternFill>
      </fill>
      <border>
        <vertical/>
        <horizontal/>
      </border>
    </dxf>
    <dxf>
      <fill>
        <gradientFill degree="90">
          <stop position="0">
            <color theme="0"/>
          </stop>
          <stop position="1">
            <color rgb="FFFF0000"/>
          </stop>
        </gradient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464646"/>
        <name val="Arial"/>
        <family val="2"/>
        <scheme val="none"/>
      </font>
      <numFmt numFmtId="1" formatCode="0"/>
      <fill>
        <patternFill patternType="solid">
          <fgColor indexed="64"/>
          <bgColor rgb="FFF1EEE0"/>
        </patternFill>
      </fill>
      <alignment horizontal="left"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rgb="FF464646"/>
        <name val="Arial"/>
        <family val="2"/>
        <scheme val="none"/>
      </font>
      <fill>
        <patternFill patternType="solid">
          <fgColor indexed="64"/>
          <bgColor rgb="FFF1EEE0"/>
        </patternFill>
      </fill>
      <alignment horizontal="left"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1"/>
        <color rgb="FF9BAD3E"/>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outline="0">
        <bottom style="medium">
          <color theme="1" tint="0.499984740745262"/>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fgColor indexed="64"/>
          <bgColor theme="5" tint="0.59999389629810485"/>
        </patternFill>
      </fill>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strike val="0"/>
        <outline val="0"/>
        <shadow val="0"/>
        <vertAlign val="baseline"/>
        <sz val="11"/>
        <name val="Calibri"/>
        <family val="2"/>
        <scheme val="minor"/>
      </font>
      <alignment horizontal="center" vertical="center" textRotation="0" indent="0" justifyLastLine="0" shrinkToFit="0" readingOrder="0"/>
      <border diagonalUp="0" diagonalDown="0" outline="0">
        <left/>
        <right/>
        <top style="thin">
          <color indexed="64"/>
        </top>
        <bottom style="thin">
          <color indexed="64"/>
        </bottom>
      </border>
    </dxf>
    <dxf>
      <font>
        <strike val="0"/>
        <outline val="0"/>
        <shadow val="0"/>
        <vertAlign val="baseline"/>
        <sz val="11"/>
        <name val="Calibri"/>
        <family val="2"/>
        <scheme val="minor"/>
      </font>
      <alignment horizontal="center" vertical="center" textRotation="0" indent="0" justifyLastLine="0" shrinkToFit="0" readingOrder="0"/>
    </dxf>
    <dxf>
      <font>
        <strike val="0"/>
        <outline val="0"/>
        <shadow val="0"/>
        <vertAlign val="baseline"/>
        <sz val="11"/>
        <name val="Calibri"/>
        <family val="2"/>
        <scheme val="minor"/>
      </font>
      <fill>
        <patternFill patternType="solid">
          <fgColor indexed="64"/>
          <bgColor indexed="2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top style="medium">
          <color indexed="64"/>
        </top>
        <bottom style="medium">
          <color indexed="64"/>
        </bottom>
      </border>
    </dxf>
    <dxf>
      <font>
        <strike val="0"/>
        <outline val="0"/>
        <shadow val="0"/>
        <vertAlign val="baseline"/>
        <sz val="11"/>
        <name val="Calibri"/>
        <family val="2"/>
        <scheme val="minor"/>
      </font>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indexed="8"/>
        <name val="Calibri"/>
        <family val="2"/>
        <scheme val="minor"/>
      </font>
      <fill>
        <patternFill patternType="solid">
          <fgColor indexed="64"/>
          <bgColor indexed="2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30" formatCode="@"/>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top style="medium">
          <color indexed="64"/>
        </top>
        <bottom style="medium">
          <color indexed="64"/>
        </bottom>
      </border>
    </dxf>
    <dxf>
      <font>
        <strike val="0"/>
        <outline val="0"/>
        <shadow val="0"/>
        <vertAlign val="baseline"/>
        <sz val="11"/>
        <name val="Calibri"/>
        <family val="2"/>
        <scheme val="minor"/>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indexed="58"/>
        <name val="Calibri"/>
        <family val="2"/>
        <scheme val="minor"/>
      </font>
      <fill>
        <patternFill patternType="solid">
          <fgColor indexed="64"/>
          <bgColor indexed="2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43</xdr:col>
      <xdr:colOff>0</xdr:colOff>
      <xdr:row>35</xdr:row>
      <xdr:rowOff>0</xdr:rowOff>
    </xdr:from>
    <xdr:to>
      <xdr:col>43</xdr:col>
      <xdr:colOff>293357</xdr:colOff>
      <xdr:row>36</xdr:row>
      <xdr:rowOff>61912</xdr:rowOff>
    </xdr:to>
    <xdr:sp macro="" textlink="">
      <xdr:nvSpPr>
        <xdr:cNvPr id="1026" name="AutoShape 2" descr="Resultado de imagen para secretaria de educacion BOGOTA LOGO">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9744075" y="637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43</xdr:col>
      <xdr:colOff>0</xdr:colOff>
      <xdr:row>88</xdr:row>
      <xdr:rowOff>0</xdr:rowOff>
    </xdr:from>
    <xdr:ext cx="304800" cy="300038"/>
    <xdr:sp macro="" textlink="">
      <xdr:nvSpPr>
        <xdr:cNvPr id="5" name="AutoShape 2" descr="Resultado de imagen para secretaria de educacion BOGOTA LOGO">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10465594" y="6762750"/>
          <a:ext cx="304800" cy="30003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176893</xdr:colOff>
      <xdr:row>0</xdr:row>
      <xdr:rowOff>0</xdr:rowOff>
    </xdr:from>
    <xdr:to>
      <xdr:col>5</xdr:col>
      <xdr:colOff>81643</xdr:colOff>
      <xdr:row>4</xdr:row>
      <xdr:rowOff>120865</xdr:rowOff>
    </xdr:to>
    <xdr:pic>
      <xdr:nvPicPr>
        <xdr:cNvPr id="3" name="Imagen 2">
          <a:extLst>
            <a:ext uri="{FF2B5EF4-FFF2-40B4-BE49-F238E27FC236}">
              <a16:creationId xmlns:a16="http://schemas.microsoft.com/office/drawing/2014/main" id="{52C50F19-BB6C-4EFA-BBA8-23321E5D7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893" y="0"/>
          <a:ext cx="1156607" cy="1536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657225</xdr:colOff>
      <xdr:row>4</xdr:row>
      <xdr:rowOff>0</xdr:rowOff>
    </xdr:to>
    <xdr:sp macro="" textlink="">
      <xdr:nvSpPr>
        <xdr:cNvPr id="2" name="Rectangle 1">
          <a:extLst>
            <a:ext uri="{FF2B5EF4-FFF2-40B4-BE49-F238E27FC236}">
              <a16:creationId xmlns:a16="http://schemas.microsoft.com/office/drawing/2014/main" id="{D8479AD7-0C49-445F-9AD5-83FF6233D30D}"/>
            </a:ext>
          </a:extLst>
        </xdr:cNvPr>
        <xdr:cNvSpPr>
          <a:spLocks noChangeArrowheads="1"/>
        </xdr:cNvSpPr>
      </xdr:nvSpPr>
      <xdr:spPr bwMode="auto">
        <a:xfrm>
          <a:off x="0" y="19050"/>
          <a:ext cx="1962150" cy="1066800"/>
        </a:xfrm>
        <a:prstGeom prst="rect">
          <a:avLst/>
        </a:prstGeom>
        <a:solidFill>
          <a:srgbClr val="FFFFFF"/>
        </a:solidFill>
        <a:ln w="9525">
          <a:solidFill>
            <a:srgbClr val="000000"/>
          </a:solidFill>
          <a:miter lim="800000"/>
          <a:headEnd/>
          <a:tailEnd/>
        </a:ln>
      </xdr:spPr>
    </xdr:sp>
    <xdr:clientData/>
  </xdr:twoCellAnchor>
  <xdr:twoCellAnchor>
    <xdr:from>
      <xdr:col>1</xdr:col>
      <xdr:colOff>657225</xdr:colOff>
      <xdr:row>0</xdr:row>
      <xdr:rowOff>9525</xdr:rowOff>
    </xdr:from>
    <xdr:to>
      <xdr:col>8</xdr:col>
      <xdr:colOff>0</xdr:colOff>
      <xdr:row>1</xdr:row>
      <xdr:rowOff>0</xdr:rowOff>
    </xdr:to>
    <xdr:sp macro="" textlink="">
      <xdr:nvSpPr>
        <xdr:cNvPr id="3" name="Text Box 2">
          <a:extLst>
            <a:ext uri="{FF2B5EF4-FFF2-40B4-BE49-F238E27FC236}">
              <a16:creationId xmlns:a16="http://schemas.microsoft.com/office/drawing/2014/main" id="{8FB7C0B0-3B8D-4E83-8585-580447E36BD6}"/>
            </a:ext>
          </a:extLst>
        </xdr:cNvPr>
        <xdr:cNvSpPr txBox="1">
          <a:spLocks noChangeArrowheads="1"/>
        </xdr:cNvSpPr>
      </xdr:nvSpPr>
      <xdr:spPr bwMode="auto">
        <a:xfrm>
          <a:off x="1962150" y="9525"/>
          <a:ext cx="7867650" cy="3333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1600" b="1" i="0" strike="noStrike">
              <a:solidFill>
                <a:srgbClr val="000000"/>
              </a:solidFill>
              <a:latin typeface="Arial"/>
              <a:cs typeface="Arial"/>
            </a:rPr>
            <a:t>INSTRUCTIVO</a:t>
          </a:r>
        </a:p>
      </xdr:txBody>
    </xdr:sp>
    <xdr:clientData/>
  </xdr:twoCellAnchor>
  <xdr:twoCellAnchor>
    <xdr:from>
      <xdr:col>1</xdr:col>
      <xdr:colOff>657225</xdr:colOff>
      <xdr:row>0</xdr:row>
      <xdr:rowOff>371474</xdr:rowOff>
    </xdr:from>
    <xdr:to>
      <xdr:col>8</xdr:col>
      <xdr:colOff>0</xdr:colOff>
      <xdr:row>4</xdr:row>
      <xdr:rowOff>0</xdr:rowOff>
    </xdr:to>
    <xdr:sp macro="" textlink="">
      <xdr:nvSpPr>
        <xdr:cNvPr id="4" name="Text Box 3">
          <a:extLst>
            <a:ext uri="{FF2B5EF4-FFF2-40B4-BE49-F238E27FC236}">
              <a16:creationId xmlns:a16="http://schemas.microsoft.com/office/drawing/2014/main" id="{AA7DFED0-0BF0-463B-91AD-D451BAD5B70B}"/>
            </a:ext>
          </a:extLst>
        </xdr:cNvPr>
        <xdr:cNvSpPr txBox="1">
          <a:spLocks noChangeArrowheads="1"/>
        </xdr:cNvSpPr>
      </xdr:nvSpPr>
      <xdr:spPr bwMode="auto">
        <a:xfrm>
          <a:off x="1962150" y="371474"/>
          <a:ext cx="7867650" cy="990601"/>
        </a:xfrm>
        <a:prstGeom prst="rect">
          <a:avLst/>
        </a:prstGeom>
        <a:solidFill>
          <a:srgbClr val="FFFFFF"/>
        </a:solidFill>
        <a:ln w="9525">
          <a:solidFill>
            <a:srgbClr val="000000"/>
          </a:solidFill>
          <a:miter lim="800000"/>
          <a:headEnd/>
          <a:tailEnd/>
        </a:ln>
      </xdr:spPr>
      <xdr:txBody>
        <a:bodyPr vertOverflow="clip" wrap="square" lIns="91440" tIns="82800" rIns="91440" bIns="82800" anchor="ctr" upright="1"/>
        <a:lstStyle/>
        <a:p>
          <a:pPr algn="ctr" rtl="0">
            <a:defRPr sz="1000"/>
          </a:pPr>
          <a:r>
            <a:rPr lang="en-US" sz="1100" b="1" i="0" strike="noStrike">
              <a:solidFill>
                <a:srgbClr val="000000"/>
              </a:solidFill>
              <a:latin typeface="Arial"/>
              <a:cs typeface="Arial"/>
            </a:rPr>
            <a:t>FORMULARIO DE ACTUALIZACIÓN DE DATOS PARA PERSONAS NATURALES HONORARIOS Y SERVICIOS PERSONALES ART.103 DEL ET</a:t>
          </a:r>
          <a:endParaRPr lang="en-US" sz="1000" b="1" i="0" strike="noStrike">
            <a:solidFill>
              <a:srgbClr val="000000"/>
            </a:solidFill>
            <a:latin typeface="Times New Roman"/>
            <a:cs typeface="Times New Roman"/>
          </a:endParaRPr>
        </a:p>
      </xdr:txBody>
    </xdr:sp>
    <xdr:clientData/>
  </xdr:twoCellAnchor>
  <xdr:twoCellAnchor editAs="oneCell">
    <xdr:from>
      <xdr:col>0</xdr:col>
      <xdr:colOff>116417</xdr:colOff>
      <xdr:row>0</xdr:row>
      <xdr:rowOff>31749</xdr:rowOff>
    </xdr:from>
    <xdr:to>
      <xdr:col>1</xdr:col>
      <xdr:colOff>282160</xdr:colOff>
      <xdr:row>3</xdr:row>
      <xdr:rowOff>52916</xdr:rowOff>
    </xdr:to>
    <xdr:pic>
      <xdr:nvPicPr>
        <xdr:cNvPr id="7" name="Imagen 6">
          <a:extLst>
            <a:ext uri="{FF2B5EF4-FFF2-40B4-BE49-F238E27FC236}">
              <a16:creationId xmlns:a16="http://schemas.microsoft.com/office/drawing/2014/main" id="{1C216A4A-2EB7-48D7-A0E5-969B7590C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417" y="31749"/>
          <a:ext cx="1467493" cy="1195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142874</xdr:colOff>
      <xdr:row>4</xdr:row>
      <xdr:rowOff>164840</xdr:rowOff>
    </xdr:to>
    <xdr:pic>
      <xdr:nvPicPr>
        <xdr:cNvPr id="3" name="Imagen 2">
          <a:extLst>
            <a:ext uri="{FF2B5EF4-FFF2-40B4-BE49-F238E27FC236}">
              <a16:creationId xmlns:a16="http://schemas.microsoft.com/office/drawing/2014/main" id="{DDAFF88F-33A9-4435-9E82-8C5A060993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95349" cy="860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657225</xdr:colOff>
      <xdr:row>4</xdr:row>
      <xdr:rowOff>0</xdr:rowOff>
    </xdr:to>
    <xdr:sp macro="" textlink="">
      <xdr:nvSpPr>
        <xdr:cNvPr id="2" name="Rectangle 1">
          <a:extLst>
            <a:ext uri="{FF2B5EF4-FFF2-40B4-BE49-F238E27FC236}">
              <a16:creationId xmlns:a16="http://schemas.microsoft.com/office/drawing/2014/main" id="{178B3CDB-4DEA-4502-B79B-847F3D865365}"/>
            </a:ext>
          </a:extLst>
        </xdr:cNvPr>
        <xdr:cNvSpPr>
          <a:spLocks noChangeArrowheads="1"/>
        </xdr:cNvSpPr>
      </xdr:nvSpPr>
      <xdr:spPr bwMode="auto">
        <a:xfrm>
          <a:off x="0" y="19050"/>
          <a:ext cx="1962150" cy="1152525"/>
        </a:xfrm>
        <a:prstGeom prst="rect">
          <a:avLst/>
        </a:prstGeom>
        <a:solidFill>
          <a:srgbClr val="FFFFFF"/>
        </a:solidFill>
        <a:ln w="9525">
          <a:solidFill>
            <a:srgbClr val="000000"/>
          </a:solidFill>
          <a:miter lim="800000"/>
          <a:headEnd/>
          <a:tailEnd/>
        </a:ln>
      </xdr:spPr>
    </xdr:sp>
    <xdr:clientData/>
  </xdr:twoCellAnchor>
  <xdr:twoCellAnchor>
    <xdr:from>
      <xdr:col>1</xdr:col>
      <xdr:colOff>657225</xdr:colOff>
      <xdr:row>0</xdr:row>
      <xdr:rowOff>9525</xdr:rowOff>
    </xdr:from>
    <xdr:to>
      <xdr:col>8</xdr:col>
      <xdr:colOff>0</xdr:colOff>
      <xdr:row>1</xdr:row>
      <xdr:rowOff>0</xdr:rowOff>
    </xdr:to>
    <xdr:sp macro="" textlink="">
      <xdr:nvSpPr>
        <xdr:cNvPr id="3" name="Text Box 2">
          <a:extLst>
            <a:ext uri="{FF2B5EF4-FFF2-40B4-BE49-F238E27FC236}">
              <a16:creationId xmlns:a16="http://schemas.microsoft.com/office/drawing/2014/main" id="{4BE8CEFF-AA24-4F66-8D68-3EBA32451444}"/>
            </a:ext>
          </a:extLst>
        </xdr:cNvPr>
        <xdr:cNvSpPr txBox="1">
          <a:spLocks noChangeArrowheads="1"/>
        </xdr:cNvSpPr>
      </xdr:nvSpPr>
      <xdr:spPr bwMode="auto">
        <a:xfrm>
          <a:off x="1962150" y="9525"/>
          <a:ext cx="7867650" cy="3714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1600" b="1" i="0" strike="noStrike">
              <a:solidFill>
                <a:srgbClr val="000000"/>
              </a:solidFill>
              <a:latin typeface="Arial"/>
              <a:cs typeface="Arial"/>
            </a:rPr>
            <a:t>INSTRUCTIVO</a:t>
          </a:r>
        </a:p>
      </xdr:txBody>
    </xdr:sp>
    <xdr:clientData/>
  </xdr:twoCellAnchor>
  <xdr:twoCellAnchor>
    <xdr:from>
      <xdr:col>1</xdr:col>
      <xdr:colOff>657225</xdr:colOff>
      <xdr:row>0</xdr:row>
      <xdr:rowOff>371475</xdr:rowOff>
    </xdr:from>
    <xdr:to>
      <xdr:col>8</xdr:col>
      <xdr:colOff>0</xdr:colOff>
      <xdr:row>4</xdr:row>
      <xdr:rowOff>0</xdr:rowOff>
    </xdr:to>
    <xdr:sp macro="" textlink="">
      <xdr:nvSpPr>
        <xdr:cNvPr id="4" name="Text Box 3">
          <a:extLst>
            <a:ext uri="{FF2B5EF4-FFF2-40B4-BE49-F238E27FC236}">
              <a16:creationId xmlns:a16="http://schemas.microsoft.com/office/drawing/2014/main" id="{14FDC9B6-D0D4-4394-AF8B-5E88C5156CAD}"/>
            </a:ext>
          </a:extLst>
        </xdr:cNvPr>
        <xdr:cNvSpPr txBox="1">
          <a:spLocks noChangeArrowheads="1"/>
        </xdr:cNvSpPr>
      </xdr:nvSpPr>
      <xdr:spPr bwMode="auto">
        <a:xfrm>
          <a:off x="1961417" y="371475"/>
          <a:ext cx="5980968" cy="800833"/>
        </a:xfrm>
        <a:prstGeom prst="rect">
          <a:avLst/>
        </a:prstGeom>
        <a:solidFill>
          <a:srgbClr val="FFFFFF"/>
        </a:solidFill>
        <a:ln w="9525">
          <a:solidFill>
            <a:srgbClr val="000000"/>
          </a:solidFill>
          <a:miter lim="800000"/>
          <a:headEnd/>
          <a:tailEnd/>
        </a:ln>
      </xdr:spPr>
      <xdr:txBody>
        <a:bodyPr vertOverflow="clip" wrap="square" lIns="91440" tIns="82800" rIns="91440" bIns="82800" anchor="ctr" upright="1"/>
        <a:lstStyle/>
        <a:p>
          <a:pPr algn="ctr" rtl="0">
            <a:defRPr sz="1000"/>
          </a:pPr>
          <a:r>
            <a:rPr lang="en-US" sz="1000" b="1" i="0">
              <a:effectLst/>
              <a:latin typeface="+mn-lt"/>
              <a:ea typeface="+mn-ea"/>
              <a:cs typeface="+mn-cs"/>
            </a:rPr>
            <a:t>FORMULARIO DISMINUCIÓN DE LA BASE DE RETENCIÓN EN LA FUENTE PERSONAS NATURALES OPS</a:t>
          </a:r>
          <a:endParaRPr lang="en-US" sz="1000" b="1" i="0" strike="noStrike">
            <a:solidFill>
              <a:srgbClr val="000000"/>
            </a:solidFill>
            <a:latin typeface="Times New Roman"/>
            <a:cs typeface="Times New Roman"/>
          </a:endParaRPr>
        </a:p>
      </xdr:txBody>
    </xdr:sp>
    <xdr:clientData/>
  </xdr:twoCellAnchor>
  <xdr:twoCellAnchor editAs="oneCell">
    <xdr:from>
      <xdr:col>0</xdr:col>
      <xdr:colOff>296334</xdr:colOff>
      <xdr:row>0</xdr:row>
      <xdr:rowOff>0</xdr:rowOff>
    </xdr:from>
    <xdr:to>
      <xdr:col>1</xdr:col>
      <xdr:colOff>151191</xdr:colOff>
      <xdr:row>3</xdr:row>
      <xdr:rowOff>179917</xdr:rowOff>
    </xdr:to>
    <xdr:pic>
      <xdr:nvPicPr>
        <xdr:cNvPr id="7" name="Imagen 6">
          <a:extLst>
            <a:ext uri="{FF2B5EF4-FFF2-40B4-BE49-F238E27FC236}">
              <a16:creationId xmlns:a16="http://schemas.microsoft.com/office/drawing/2014/main" id="{5CFE4C91-25EF-4C6C-B67B-E7FA5CE85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6334" y="0"/>
          <a:ext cx="1156607" cy="1164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EA CAROLINA HERNANDEZ PARDO" id="{1463221E-C072-4B96-8F9E-74CA23EC1A2C}" userId="S::achernandezp@educacionbogota.gov.co::15eced17-9797-45e4-9b63-f8f08325cfa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8E615-47DE-4BBA-AA7A-05C2E024E3C2}" name="Tabla1" displayName="Tabla1" ref="T1:U249" totalsRowShown="0" headerRowDxfId="104" dataDxfId="102" headerRowBorderDxfId="103" tableBorderDxfId="101" totalsRowBorderDxfId="100" headerRowCellStyle="Normal 2">
  <autoFilter ref="T1:U249" xr:uid="{2D28E615-47DE-4BBA-AA7A-05C2E024E3C2}"/>
  <tableColumns count="2">
    <tableColumn id="1" xr3:uid="{4A12693C-C163-4772-A326-959FB886307B}" name="PAIS" dataDxfId="99" dataCellStyle="Normal 2"/>
    <tableColumn id="2" xr3:uid="{2EDA45D4-AB24-4CF8-AB51-856FAE492F4F}" name="Código" dataDxfId="98"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3DC60F-3CB9-40C1-BF3E-B0DC76EFDFFE}" name="Tabla2" displayName="Tabla2" ref="W1:X36" totalsRowShown="0" headerRowDxfId="97" dataDxfId="95" headerRowBorderDxfId="96" tableBorderDxfId="94" totalsRowBorderDxfId="93" headerRowCellStyle="Normal 3">
  <autoFilter ref="W1:X36" xr:uid="{253DC60F-3CB9-40C1-BF3E-B0DC76EFDFFE}"/>
  <tableColumns count="2">
    <tableColumn id="1" xr3:uid="{D6FCAFFB-047B-4326-BC48-99411DE1F1DF}" name="DPTO" dataDxfId="92"/>
    <tableColumn id="2" xr3:uid="{30351788-EBE3-415C-A0C3-E018AF9C2439}" name="COD_DEPTO" dataDxfId="9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1EEE332-CEE6-487E-9C65-187123BEB4DA}" name="Tabla11" displayName="Tabla11" ref="AK1:AK126" totalsRowShown="0" headerRowDxfId="90" dataDxfId="89" headerRowCellStyle="Normal 3">
  <autoFilter ref="AK1:AK126" xr:uid="{21EEE332-CEE6-487E-9C65-187123BEB4DA}"/>
  <tableColumns count="1">
    <tableColumn id="1" xr3:uid="{424771FE-CCDB-4C0B-84A0-4CA24863F5BA}" name="NOM_MPIO" dataDxfId="88">
      <calculatedColumnFormula>IFERROR(VLOOKUP(AJ2,$AD$2:$AG$1120,3,0),"")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2EB2C25-E169-42B3-B605-9D67A49D4A97}" name="bancos" displayName="bancos" ref="AN1:AQ77" totalsRowShown="0" headerRowDxfId="87" dataDxfId="86" tableBorderDxfId="85">
  <autoFilter ref="AN1:AQ77" xr:uid="{A2EB2C25-E169-42B3-B605-9D67A49D4A97}"/>
  <tableColumns count="4">
    <tableColumn id="1" xr3:uid="{7F1D4248-BEDB-4E3B-8798-6EDEC9D1CDFC}" name="Denominación social de la Entidad" dataDxfId="84"/>
    <tableColumn id="2" xr3:uid="{3204F55D-6F76-4CD7-A573-672AE5941A37}" name="Denominación abreviada de la entidad" dataDxfId="83"/>
    <tableColumn id="3" xr3:uid="{566435CB-9265-4D30-A5DA-A779A262B6AA}" name="NIT" dataDxfId="82"/>
    <tableColumn id="4" xr3:uid="{D32AE3D9-DD77-4BC0-8D77-16E6DE1BF471}" name="Cod" dataDxfId="8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68BCF9-7845-4F3F-BFD0-97EEE4F394D5}" name="TIPOCUENTA" displayName="TIPOCUENTA" ref="AN79:AO82" totalsRowShown="0" headerRowDxfId="80" dataDxfId="79" tableBorderDxfId="78">
  <autoFilter ref="AN79:AO82" xr:uid="{CB68BCF9-7845-4F3F-BFD0-97EEE4F394D5}"/>
  <tableColumns count="2">
    <tableColumn id="1" xr3:uid="{D6C4DC1A-CA08-42D4-BF5D-9995181145DE}" name="Tipo Cuenta" dataDxfId="77"/>
    <tableColumn id="2" xr3:uid="{967D9104-304B-4C4D-B37A-3D206BD09A53}" name="COD" dataDxfId="76"/>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1E699A-DFCB-4674-AD51-3F9258E2FEC8}" name="RIT" displayName="RIT" ref="AS1:AV553" totalsRowShown="0" headerRowDxfId="75" dataDxfId="74" tableBorderDxfId="73">
  <autoFilter ref="AS1:AV553" xr:uid="{801E699A-DFCB-4674-AD51-3F9258E2FEC8}"/>
  <sortState xmlns:xlrd2="http://schemas.microsoft.com/office/spreadsheetml/2017/richdata2" ref="AS2:AV553">
    <sortCondition ref="AS1:AS553"/>
  </sortState>
  <tableColumns count="4">
    <tableColumn id="2" xr3:uid="{CB3499C6-D413-4750-8364-80C105259783}" name="CÓDIGO" dataDxfId="72"/>
    <tableColumn id="1" xr3:uid="{EF586FC3-6556-4A44-AD92-22E76456CB48}" name="AGRUPACIÓN" dataDxfId="71"/>
    <tableColumn id="3" xr3:uid="{53446027-B0DD-47B0-A393-13E968EA9831}" name="D E S C R I P C I Ó N" dataDxfId="70"/>
    <tableColumn id="4" xr3:uid="{FF6A7BDB-74AB-44A7-BBA6-45A9ACFBD2DE}" name="AÑO 2024" dataDxfId="69"/>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B354B8-38B8-4EE6-8A26-07495EC5D060}" name="CIIU" displayName="CIIU" ref="AX1:AY504" totalsRowShown="0" dataDxfId="68" tableBorderDxfId="67">
  <autoFilter ref="AX1:AY504" xr:uid="{A6B354B8-38B8-4EE6-8A26-07495EC5D060}"/>
  <tableColumns count="2">
    <tableColumn id="1" xr3:uid="{EDFF4E70-C0B1-4008-B6D0-F2DB94A7A687}" name="CLASIFICACIÓN INDUSTRIAL INTERNACIONAL UNIFORME, REVISIÓN 4 ADAPTADA PARA COLOMBIA CIIU Rev. 4 A.C." dataDxfId="66"/>
    <tableColumn id="2" xr3:uid="{6CDD1747-C4E0-4515-9A69-5791B8247C3E}" name="DESCRIPCIÓN" dataDxfId="6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BA81CF-EAB5-43C2-AE99-303887BF7651}" name="REGIMEN" displayName="REGIMEN" ref="K21:L23" totalsRowShown="0">
  <autoFilter ref="K21:L23" xr:uid="{C8BA81CF-EAB5-43C2-AE99-303887BF7651}"/>
  <tableColumns count="2">
    <tableColumn id="1" xr3:uid="{3777C817-B4E1-461D-BD0B-534A81724174}" name="REGIMEN"/>
    <tableColumn id="2" xr3:uid="{59BE99EE-C022-423C-8369-E2F66DCB89CC}" name="SIGLA"/>
  </tableColumns>
  <tableStyleInfo name="TableStyleMedium1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28AED1-B35B-4717-B0BF-E39A179350D2}" name="Tabla7" displayName="Tabla7" ref="K25:L28" totalsRowShown="0" headerRowDxfId="64">
  <autoFilter ref="K25:L28" xr:uid="{1628AED1-B35B-4717-B0BF-E39A179350D2}"/>
  <tableColumns count="2">
    <tableColumn id="1" xr3:uid="{4EF8DBC4-CFC2-4623-8E19-518A6A438BC2}" name="VALOR DIA" dataDxfId="63"/>
    <tableColumn id="2" xr3:uid="{05997A26-E2D4-43E8-AEB1-0F961D1AE8CD}" name="VALOR" dataDxfId="62" dataCellStyle="Moned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5CB962-8949-4C4A-94C7-7DB224AE550E}" name="ÁREA" displayName="ÁREA" ref="K35:L78" totalsRowShown="0" headerRowDxfId="61" dataDxfId="60" tableBorderDxfId="59">
  <autoFilter ref="K35:L78" xr:uid="{195CB962-8949-4C4A-94C7-7DB224AE550E}"/>
  <tableColumns count="2">
    <tableColumn id="1" xr3:uid="{6AC87421-ED51-4F62-9CB6-ED4BB80F7317}" name="Área Funcional de la SED" dataDxfId="58"/>
    <tableColumn id="2" xr3:uid="{06D6A7EA-0E28-4595-AD36-779A229FE01F}" name="CODIGO" dataDxfId="5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CBDC3D-F592-43F4-A0E3-69496C314321}" name="ARL" displayName="ARL" ref="BA1:BC1671" totalsRowShown="0" headerRowDxfId="56" headerRowBorderDxfId="55" tableBorderDxfId="54" totalsRowBorderDxfId="53">
  <autoFilter ref="BA1:BC1671" xr:uid="{A1CBDC3D-F592-43F4-A0E3-69496C314321}"/>
  <tableColumns count="3">
    <tableColumn id="4" xr3:uid="{7F1D3CC5-03B2-4280-8037-CFB19708C32C}" name="DESCRIPCIÓN DE ACTIVIDAD ECONÓMICA FINAL ARL" dataDxfId="52"/>
    <tableColumn id="5" xr3:uid="{E1CE2375-26C4-4998-9C7C-A3798A8CA717}" name="condigo completo" dataDxfId="51"/>
    <tableColumn id="1" xr3:uid="{01681061-C1F9-49E3-AD0C-4EA5FB40F927}" name="TARIFA" dataDxfId="5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AA94DD-8619-4386-8FB9-9857B23C4F96}" name="Valor_con_IVA" displayName="Valor_con_IVA" ref="BI1:BO2" totalsRowShown="0" headerRowDxfId="49" dataDxfId="48" headerRowCellStyle="Millares" dataCellStyle="Moneda">
  <autoFilter ref="BI1:BO2" xr:uid="{8EAA94DD-8619-4386-8FB9-9857B23C4F96}"/>
  <tableColumns count="7">
    <tableColumn id="1" xr3:uid="{810AA305-3F2E-4F84-9A66-CEDC6DC74791}" name="AÑO" dataDxfId="47"/>
    <tableColumn id="2" xr3:uid="{37757918-1FEF-453F-80BC-88C9C31B47A0}" name="UVT" dataDxfId="46" dataCellStyle="Moneda"/>
    <tableColumn id="3" xr3:uid="{FD4F57D4-10B2-476A-BF4A-7970C6ABAF3A}" name="LIMITE" dataDxfId="45"/>
    <tableColumn id="4" xr3:uid="{CCC154F2-D1AD-4ED3-B513-95FFB1E5FCD2}" name="LIMITE PESOS" dataDxfId="44" dataCellStyle="Moneda">
      <calculatedColumnFormula>BK2*BJ2</calculatedColumnFormula>
    </tableColumn>
    <tableColumn id="5" xr3:uid="{79C434BE-0735-45FB-BCC4-7F7C3C856574}" name="VALOR CONTRATO" dataDxfId="43" dataCellStyle="Moneda">
      <calculatedColumnFormula>'FORMATO ACTUALIZACIÓN DATOS'!K46</calculatedColumnFormula>
    </tableColumn>
    <tableColumn id="6" xr3:uid="{0A2AAF2E-1830-4070-8F86-AE03657F723C}" name="CONTRATO SIN IVA" dataDxfId="42" dataCellStyle="Moneda">
      <calculatedColumnFormula>ROUND(BM2/1.19,)</calculatedColumnFormula>
    </tableColumn>
    <tableColumn id="7" xr3:uid="{63CA9797-99CF-48E3-9682-8EA9A5547B5A}" name="IVA CONTRATO" dataDxfId="41" dataCellStyle="Moneda">
      <calculatedColumnFormula>ROUND(BN2*0.19,)</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D95A5E-20C1-4627-B8AD-5582DF394F11}" name="Tabla10" displayName="Tabla10" ref="BI6:BO9" totalsRowShown="0" headerRowDxfId="40">
  <autoFilter ref="BI6:BO9" xr:uid="{8ED95A5E-20C1-4627-B8AD-5582DF394F11}"/>
  <tableColumns count="7">
    <tableColumn id="1" xr3:uid="{DB044FA3-E9CC-43BA-A55D-08DCB924B02D}" name="DESCRIPCIÓN" dataDxfId="39"/>
    <tableColumn id="2" xr3:uid="{DB947FEE-0D61-4478-B5EC-4590799D2A1C}" name="VALOR MENSUAL">
      <calculatedColumnFormula>BJ6</calculatedColumnFormula>
    </tableColumn>
    <tableColumn id="3" xr3:uid="{A28D95FF-E91E-455A-9E00-FC60A92445B6}" name="autorizado"/>
    <tableColumn id="4" xr3:uid="{DBE6D196-D1DE-4991-BBD2-157AF818FEEF}" name="MAXIMO ley">
      <calculatedColumnFormula>BK7/12</calculatedColumnFormula>
    </tableColumn>
    <tableColumn id="5" xr3:uid="{7EB5D84E-AE93-4B22-90CB-C1A666428747}" name="max. Aplicar mensual">
      <calculatedColumnFormula>MIN(BK7,BL7)</calculatedColumnFormula>
    </tableColumn>
    <tableColumn id="6" xr3:uid="{9E100A0D-DDD2-4DAC-BBAE-4BEFEAB0A655}" name="Max Anual"/>
    <tableColumn id="7" xr3:uid="{5FE294F4-B67A-4F13-B3FC-1AC9CEA380A3}" name="max. Aplicar" dataDxfId="38"/>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3" dT="2026-04-14T20:15:50.72" personId="{1463221E-C072-4B96-8F9E-74CA23EC1A2C}" id="{11FAFDC8-5E21-4AC4-ADC6-BA16E70FECFC}">
    <text>Si este campo hace referencia a la resolución de actualización del manual de procesos y procedimientos, se sugiere quitar del encabezado ya que el número de la resolución se conoce posterior a cargar el documento en isolucion, razón por la cual este campo quedaría sin diligenciar al igual que la fecha. No es necesario dejar la palabra titulo en el nombre del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6-04-14T21:20:16.98" personId="{1463221E-C072-4B96-8F9E-74CA23EC1A2C}" id="{B3E459CE-32D4-4330-A9C8-B3FC2B4C82C8}">
    <text>Si este campo hace referencia a la resolución de actualización del manual de procesos y procedimientos, se sugiere quitar del encabezado ya que el número de la resolución se conoce posterior a cargar el documento en isolucion, razón por la cual este campo quedaría sin diligenciar al igual que la fecha. No es necesario dejar la palabra titulo en el nombre del instructivo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FF00"/>
    <pageSetUpPr fitToPage="1"/>
  </sheetPr>
  <dimension ref="A1:DC108"/>
  <sheetViews>
    <sheetView tabSelected="1" view="pageBreakPreview" zoomScale="55" zoomScaleNormal="100" zoomScaleSheetLayoutView="55" workbookViewId="0">
      <pane ySplit="4" topLeftCell="A5" activePane="bottomLeft" state="frozen"/>
      <selection activeCell="BQ24" sqref="BQ24:BR24"/>
      <selection pane="bottomLeft" activeCell="AR24" sqref="AR24:BC24"/>
    </sheetView>
  </sheetViews>
  <sheetFormatPr baseColWidth="10" defaultColWidth="11.42578125" defaultRowHeight="15" x14ac:dyDescent="0.25"/>
  <cols>
    <col min="1" max="3" width="3.28515625" style="2" customWidth="1"/>
    <col min="4" max="4" width="5.7109375" style="2" customWidth="1"/>
    <col min="5" max="5" width="3.28515625" style="2" customWidth="1"/>
    <col min="6" max="7" width="5.7109375" style="2" customWidth="1"/>
    <col min="8" max="8" width="7" style="2" customWidth="1"/>
    <col min="9" max="9" width="3.85546875" style="2" customWidth="1"/>
    <col min="10" max="10" width="4.140625" style="2" customWidth="1"/>
    <col min="11" max="14" width="3.28515625" style="2" customWidth="1"/>
    <col min="15" max="15" width="7.28515625" style="2" customWidth="1"/>
    <col min="16" max="16" width="4.42578125" style="2" customWidth="1"/>
    <col min="17" max="17" width="6.85546875" style="2" customWidth="1"/>
    <col min="18" max="18" width="8.5703125" style="2" customWidth="1"/>
    <col min="19" max="19" width="6.5703125" style="2" customWidth="1"/>
    <col min="20" max="20" width="8.7109375" style="2" customWidth="1"/>
    <col min="21" max="21" width="5" style="2" customWidth="1"/>
    <col min="22" max="22" width="4.42578125" style="2" customWidth="1"/>
    <col min="23" max="23" width="3.5703125" style="2" customWidth="1"/>
    <col min="24" max="24" width="5.28515625" style="2" customWidth="1"/>
    <col min="25" max="25" width="7" style="2" customWidth="1"/>
    <col min="26" max="26" width="7.28515625" style="2" customWidth="1"/>
    <col min="27" max="27" width="6.85546875" style="2" customWidth="1"/>
    <col min="28" max="28" width="6.140625" style="2" customWidth="1"/>
    <col min="29" max="29" width="4" style="2" customWidth="1"/>
    <col min="30" max="30" width="4.5703125" style="2" customWidth="1"/>
    <col min="31" max="31" width="4.7109375" style="2" customWidth="1"/>
    <col min="32" max="32" width="6.7109375" style="2" customWidth="1"/>
    <col min="33" max="33" width="5.28515625" style="2" customWidth="1"/>
    <col min="34" max="34" width="4.5703125" style="2" customWidth="1"/>
    <col min="35" max="36" width="4.85546875" style="2" customWidth="1"/>
    <col min="37" max="37" width="5" style="2" customWidth="1"/>
    <col min="38" max="38" width="5.42578125" style="2" customWidth="1"/>
    <col min="39" max="39" width="3.5703125" style="2" customWidth="1"/>
    <col min="40" max="42" width="4.140625" style="2" customWidth="1"/>
    <col min="43" max="43" width="5" style="2" customWidth="1"/>
    <col min="44" max="46" width="4.5703125" style="2" customWidth="1"/>
    <col min="47" max="47" width="4.7109375" style="2" customWidth="1"/>
    <col min="48" max="48" width="6.85546875" style="2" customWidth="1"/>
    <col min="49" max="49" width="3.5703125" style="2" customWidth="1"/>
    <col min="50" max="50" width="3.85546875" style="2" customWidth="1"/>
    <col min="51" max="51" width="4.28515625" style="2" customWidth="1"/>
    <col min="52" max="53" width="3.85546875" style="2" customWidth="1"/>
    <col min="54" max="54" width="3.28515625" style="2" customWidth="1"/>
    <col min="55" max="55" width="5.7109375" style="2" customWidth="1"/>
    <col min="56" max="56" width="5.140625" style="2" customWidth="1"/>
    <col min="57" max="57" width="5.5703125" style="2" customWidth="1"/>
    <col min="58" max="60" width="1.140625" style="2" customWidth="1"/>
    <col min="61" max="61" width="11.85546875" style="249" bestFit="1" customWidth="1"/>
    <col min="62" max="62" width="4.140625" style="249" customWidth="1"/>
    <col min="63" max="64" width="3.5703125" style="249" customWidth="1"/>
    <col min="65" max="65" width="12.7109375" style="249" customWidth="1"/>
    <col min="66" max="67" width="3.5703125" style="249" customWidth="1"/>
    <col min="68" max="68" width="52.85546875" style="249" customWidth="1"/>
    <col min="69" max="69" width="19.85546875" style="249" customWidth="1"/>
    <col min="70" max="75" width="3.5703125" style="249" customWidth="1"/>
    <col min="76" max="76" width="16.28515625" style="249" customWidth="1"/>
    <col min="77" max="77" width="13.7109375" style="249" customWidth="1"/>
    <col min="78" max="78" width="11.85546875" style="249" customWidth="1"/>
    <col min="79" max="79" width="11.42578125" style="249" customWidth="1"/>
    <col min="80" max="80" width="64.5703125" style="249" customWidth="1"/>
    <col min="81" max="81" width="4.85546875" style="249" customWidth="1"/>
    <col min="82" max="83" width="11.42578125" style="249" customWidth="1"/>
    <col min="84" max="84" width="35.140625" style="249" customWidth="1"/>
    <col min="85" max="85" width="15.85546875" style="249" customWidth="1"/>
    <col min="86" max="86" width="11.42578125" style="249" customWidth="1"/>
    <col min="87" max="87" width="16.28515625" style="249" bestFit="1" customWidth="1"/>
    <col min="88" max="88" width="17" style="249" customWidth="1"/>
    <col min="89" max="89" width="18" style="249" customWidth="1"/>
    <col min="90" max="90" width="17.42578125" style="249" customWidth="1"/>
    <col min="91" max="107" width="11.42578125" style="249" customWidth="1"/>
    <col min="108" max="207" width="11.42578125" style="2" customWidth="1"/>
    <col min="208" max="16384" width="11.42578125" style="2"/>
  </cols>
  <sheetData>
    <row r="1" spans="1:107" ht="33.75" customHeight="1" x14ac:dyDescent="0.25">
      <c r="A1" s="304" t="s">
        <v>3565</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c r="AO1" s="304"/>
      <c r="AP1" s="304"/>
      <c r="AQ1" s="304"/>
      <c r="AR1" s="304"/>
      <c r="AS1" s="304"/>
      <c r="AT1" s="304"/>
      <c r="AU1" s="304"/>
      <c r="AV1" s="304"/>
      <c r="AW1" s="304"/>
      <c r="AX1" s="304"/>
      <c r="AY1" s="304"/>
      <c r="AZ1" s="304"/>
      <c r="BA1" s="304"/>
      <c r="BB1" s="304"/>
      <c r="BC1" s="304"/>
      <c r="BD1" s="5"/>
      <c r="BE1" s="5"/>
      <c r="BF1" s="25"/>
      <c r="BG1" s="124"/>
      <c r="BH1" s="25"/>
    </row>
    <row r="2" spans="1:107" ht="21.75" customHeight="1" x14ac:dyDescent="0.25">
      <c r="A2" s="305" t="s">
        <v>3519</v>
      </c>
      <c r="B2" s="305"/>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c r="AL2" s="305"/>
      <c r="AM2" s="305"/>
      <c r="AN2" s="305"/>
      <c r="AO2" s="305"/>
      <c r="AP2" s="305"/>
      <c r="AQ2" s="305"/>
      <c r="AR2" s="305"/>
      <c r="AS2" s="305"/>
      <c r="AT2" s="305"/>
      <c r="AU2" s="305"/>
      <c r="AV2" s="305"/>
      <c r="AW2" s="305"/>
      <c r="AX2" s="305"/>
      <c r="AY2" s="305"/>
      <c r="AZ2" s="305"/>
      <c r="BA2" s="305"/>
      <c r="BB2" s="305"/>
      <c r="BC2" s="305"/>
      <c r="BD2" s="5"/>
      <c r="BE2" s="5"/>
      <c r="BF2" s="25"/>
      <c r="BG2" s="124"/>
      <c r="BH2" s="25"/>
    </row>
    <row r="3" spans="1:107" ht="11.25" customHeight="1" x14ac:dyDescent="0.25">
      <c r="A3" s="237"/>
      <c r="B3" s="237"/>
      <c r="C3" s="237"/>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E3" s="237"/>
      <c r="AF3" s="237"/>
      <c r="AG3" s="237"/>
      <c r="AH3" s="237"/>
      <c r="AI3" s="237"/>
      <c r="AJ3" s="237"/>
      <c r="AK3" s="237"/>
      <c r="AL3" s="237"/>
      <c r="AM3" s="237"/>
      <c r="AN3" s="237"/>
      <c r="AO3" s="237"/>
      <c r="AP3" s="237"/>
      <c r="AQ3" s="237"/>
      <c r="AR3" s="237"/>
      <c r="AS3" s="237"/>
      <c r="AT3" s="237"/>
      <c r="AU3" s="237"/>
      <c r="AV3" s="237"/>
      <c r="AW3" s="237"/>
      <c r="AX3" s="237"/>
      <c r="AY3" s="237"/>
      <c r="AZ3" s="237"/>
      <c r="BA3" s="237"/>
      <c r="BB3" s="237"/>
      <c r="BC3" s="371"/>
      <c r="BD3" s="370"/>
      <c r="BE3" s="370"/>
      <c r="BF3" s="25"/>
      <c r="BG3" s="124"/>
      <c r="BH3" s="25"/>
    </row>
    <row r="4" spans="1:107" ht="43.5" customHeight="1" x14ac:dyDescent="0.25">
      <c r="A4" s="306" t="s">
        <v>5688</v>
      </c>
      <c r="B4" s="307"/>
      <c r="C4" s="307"/>
      <c r="D4" s="307"/>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7"/>
      <c r="AE4" s="307"/>
      <c r="AF4" s="307"/>
      <c r="AG4" s="307"/>
      <c r="AH4" s="307"/>
      <c r="AI4" s="307"/>
      <c r="AJ4" s="307"/>
      <c r="AK4" s="307"/>
      <c r="AL4" s="307"/>
      <c r="AM4" s="307"/>
      <c r="AN4" s="307"/>
      <c r="AO4" s="307"/>
      <c r="AP4" s="307"/>
      <c r="AQ4" s="307"/>
      <c r="AR4" s="307"/>
      <c r="AS4" s="307"/>
      <c r="AT4" s="307"/>
      <c r="AU4" s="307"/>
      <c r="AV4" s="307"/>
      <c r="AW4" s="307"/>
      <c r="AX4" s="307"/>
      <c r="AY4" s="307"/>
      <c r="AZ4" s="307"/>
      <c r="BA4" s="307"/>
      <c r="BB4" s="307"/>
      <c r="BC4" s="307"/>
      <c r="BD4" s="5"/>
      <c r="BE4" s="5"/>
      <c r="BF4" s="25"/>
      <c r="BG4" s="124"/>
      <c r="BH4" s="25"/>
    </row>
    <row r="5" spans="1:107" ht="16.5" customHeight="1" x14ac:dyDescent="0.25">
      <c r="A5" s="240"/>
      <c r="B5" s="240"/>
      <c r="C5" s="240"/>
      <c r="D5" s="240"/>
      <c r="E5" s="240"/>
      <c r="F5" s="240"/>
      <c r="G5" s="240"/>
      <c r="H5" s="240"/>
      <c r="I5" s="240"/>
      <c r="J5" s="240"/>
      <c r="K5" s="240"/>
      <c r="L5" s="240"/>
      <c r="M5" s="240"/>
      <c r="N5" s="240"/>
      <c r="O5" s="240"/>
      <c r="P5" s="240"/>
      <c r="Q5" s="240"/>
      <c r="R5" s="240"/>
      <c r="S5" s="240"/>
      <c r="T5" s="240"/>
      <c r="U5" s="240"/>
      <c r="V5" s="240"/>
      <c r="W5" s="240"/>
      <c r="X5" s="240"/>
      <c r="Y5" s="240"/>
      <c r="Z5" s="240"/>
      <c r="AA5" s="240"/>
      <c r="AB5" s="240"/>
      <c r="AC5" s="240"/>
      <c r="AD5" s="240"/>
      <c r="AE5" s="240"/>
      <c r="AF5" s="240"/>
      <c r="AG5" s="240"/>
      <c r="AH5" s="240"/>
      <c r="AI5" s="240"/>
      <c r="AJ5" s="240"/>
      <c r="AK5" s="240"/>
      <c r="AL5" s="240"/>
      <c r="AM5" s="240"/>
      <c r="AN5" s="240"/>
      <c r="AO5" s="240"/>
      <c r="AP5" s="240"/>
      <c r="AQ5" s="240"/>
      <c r="AR5" s="240"/>
      <c r="AS5" s="240"/>
      <c r="AT5" s="240"/>
      <c r="AU5" s="240"/>
      <c r="AV5" s="240"/>
      <c r="AW5" s="240"/>
      <c r="AX5" s="240"/>
      <c r="AY5" s="240"/>
      <c r="AZ5" s="243"/>
      <c r="BA5" s="201"/>
      <c r="BB5" s="201"/>
      <c r="BC5" s="201"/>
      <c r="BD5" s="201"/>
      <c r="BE5" s="5"/>
      <c r="BF5" s="25"/>
      <c r="BG5" s="124"/>
      <c r="BH5" s="25"/>
    </row>
    <row r="6" spans="1:107" ht="16.5" customHeight="1" x14ac:dyDescent="0.25">
      <c r="A6" s="240"/>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01"/>
      <c r="BA6" s="201"/>
      <c r="BB6" s="201"/>
      <c r="BC6" s="201"/>
      <c r="BD6" s="201"/>
      <c r="BE6" s="5"/>
      <c r="BF6" s="25"/>
      <c r="BG6" s="124"/>
      <c r="BH6" s="25"/>
    </row>
    <row r="7" spans="1:107" ht="6.75" customHeight="1" x14ac:dyDescent="0.25">
      <c r="A7" s="370"/>
      <c r="B7" s="370"/>
      <c r="C7" s="370"/>
      <c r="D7" s="370"/>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70"/>
      <c r="AJ7" s="370"/>
      <c r="AK7" s="370"/>
      <c r="AL7" s="370"/>
      <c r="AM7" s="370"/>
      <c r="AN7" s="370"/>
      <c r="AO7" s="370"/>
      <c r="AP7" s="370"/>
      <c r="AQ7" s="370"/>
      <c r="AR7" s="370"/>
      <c r="AS7" s="370"/>
      <c r="AT7" s="370"/>
      <c r="AU7" s="370"/>
      <c r="AV7" s="370"/>
      <c r="AW7" s="370"/>
      <c r="AX7" s="370"/>
      <c r="AY7" s="370"/>
      <c r="AZ7" s="370"/>
      <c r="BA7" s="370"/>
      <c r="BB7" s="370"/>
      <c r="BC7" s="370"/>
      <c r="BD7" s="5"/>
      <c r="BE7" s="5"/>
      <c r="BF7" s="25"/>
      <c r="BG7" s="124"/>
      <c r="BH7" s="25"/>
    </row>
    <row r="8" spans="1:107" ht="24.75" customHeight="1" x14ac:dyDescent="0.25">
      <c r="A8" s="375" t="s">
        <v>3566</v>
      </c>
      <c r="B8" s="375"/>
      <c r="C8" s="375"/>
      <c r="D8" s="375"/>
      <c r="E8" s="375"/>
      <c r="F8" s="375"/>
      <c r="G8" s="375"/>
      <c r="H8" s="375"/>
      <c r="I8" s="375"/>
      <c r="J8" s="375"/>
      <c r="K8" s="375"/>
      <c r="L8" s="375"/>
      <c r="M8" s="375"/>
      <c r="N8" s="375"/>
      <c r="O8" s="375"/>
      <c r="P8" s="375"/>
      <c r="Q8" s="375"/>
      <c r="R8" s="375"/>
      <c r="S8" s="375"/>
      <c r="T8" s="375"/>
      <c r="U8" s="375"/>
      <c r="V8" s="375"/>
      <c r="W8" s="375"/>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5"/>
      <c r="BE8" s="5"/>
      <c r="BF8" s="8"/>
      <c r="BG8" s="125"/>
      <c r="BH8" s="8"/>
    </row>
    <row r="9" spans="1:107" ht="6" customHeight="1" thickBot="1" x14ac:dyDescent="0.3">
      <c r="A9" s="238"/>
      <c r="B9" s="238"/>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8"/>
      <c r="AE9" s="238"/>
      <c r="AF9" s="238"/>
      <c r="AG9" s="238"/>
      <c r="AH9" s="238"/>
      <c r="AI9" s="238"/>
      <c r="AJ9" s="238"/>
      <c r="AK9" s="238"/>
      <c r="AL9" s="238"/>
      <c r="AM9" s="238"/>
      <c r="AN9" s="238"/>
      <c r="AO9" s="238"/>
      <c r="AP9" s="238"/>
      <c r="AQ9" s="238"/>
      <c r="AR9" s="238"/>
      <c r="AS9" s="238"/>
      <c r="AT9" s="238"/>
      <c r="AU9" s="238"/>
      <c r="AV9" s="238"/>
      <c r="AW9" s="238"/>
      <c r="AX9" s="238"/>
      <c r="AY9" s="238"/>
      <c r="AZ9" s="238"/>
      <c r="BA9" s="238"/>
      <c r="BB9" s="238"/>
      <c r="BC9" s="238"/>
      <c r="BD9" s="202"/>
      <c r="BE9" s="202"/>
      <c r="BF9" s="8"/>
      <c r="BG9" s="125"/>
      <c r="BH9" s="8"/>
    </row>
    <row r="10" spans="1:107" ht="16.5" thickTop="1" thickBot="1" x14ac:dyDescent="0.3">
      <c r="A10" s="279" t="s">
        <v>3127</v>
      </c>
      <c r="B10" s="279"/>
      <c r="C10" s="279"/>
      <c r="D10" s="279"/>
      <c r="E10" s="279"/>
      <c r="F10" s="279"/>
      <c r="G10" s="279"/>
      <c r="H10" s="279"/>
      <c r="I10" s="279"/>
      <c r="J10" s="279"/>
      <c r="K10" s="279"/>
      <c r="L10" s="279"/>
      <c r="M10" s="279"/>
      <c r="N10" s="279"/>
      <c r="O10" s="203"/>
      <c r="P10" s="203" t="s">
        <v>0</v>
      </c>
      <c r="Q10" s="5"/>
      <c r="R10" s="279" t="s">
        <v>1679</v>
      </c>
      <c r="S10" s="279"/>
      <c r="T10" s="279"/>
      <c r="U10" s="279"/>
      <c r="V10" s="279"/>
      <c r="W10" s="279"/>
      <c r="X10" s="279"/>
      <c r="Y10" s="279"/>
      <c r="Z10" s="279"/>
      <c r="AA10" s="279"/>
      <c r="AB10" s="5"/>
      <c r="AC10" s="386" t="s">
        <v>1680</v>
      </c>
      <c r="AD10" s="386"/>
      <c r="AE10" s="386"/>
      <c r="AF10" s="386"/>
      <c r="AG10" s="386"/>
      <c r="AH10" s="386"/>
      <c r="AI10" s="386"/>
      <c r="AJ10" s="386"/>
      <c r="AK10" s="386"/>
      <c r="AL10" s="386"/>
      <c r="AM10" s="386"/>
      <c r="AN10" s="386"/>
      <c r="AO10" s="5"/>
      <c r="AP10" s="279" t="str">
        <f>IF(AA11=1,"Número de Identificación del Contacto","Número de Identificación")</f>
        <v>Número de Identificación</v>
      </c>
      <c r="AQ10" s="279"/>
      <c r="AR10" s="279"/>
      <c r="AS10" s="279"/>
      <c r="AT10" s="279"/>
      <c r="AU10" s="279"/>
      <c r="AV10" s="279"/>
      <c r="AW10" s="279"/>
      <c r="AX10" s="279"/>
      <c r="AY10" s="279"/>
      <c r="AZ10" s="279"/>
      <c r="BA10" s="279"/>
      <c r="BB10" s="279"/>
      <c r="BC10" s="279"/>
      <c r="BD10" s="5"/>
      <c r="BE10" s="5"/>
      <c r="BF10" s="25"/>
      <c r="BG10" s="124"/>
      <c r="BH10" s="25"/>
    </row>
    <row r="11" spans="1:107" ht="15.75" thickBot="1" x14ac:dyDescent="0.3">
      <c r="A11" s="389"/>
      <c r="B11" s="390"/>
      <c r="C11" s="390"/>
      <c r="D11" s="390"/>
      <c r="E11" s="390"/>
      <c r="F11" s="390"/>
      <c r="G11" s="390"/>
      <c r="H11" s="390"/>
      <c r="I11" s="390"/>
      <c r="J11" s="390"/>
      <c r="K11" s="390"/>
      <c r="L11" s="390"/>
      <c r="M11" s="390"/>
      <c r="N11" s="391"/>
      <c r="O11" s="237"/>
      <c r="P11" s="126"/>
      <c r="Q11" s="242"/>
      <c r="R11" s="314" t="s">
        <v>3485</v>
      </c>
      <c r="S11" s="315"/>
      <c r="T11" s="315"/>
      <c r="U11" s="315"/>
      <c r="V11" s="315"/>
      <c r="W11" s="315"/>
      <c r="X11" s="315"/>
      <c r="Y11" s="315"/>
      <c r="Z11" s="315"/>
      <c r="AA11" s="236">
        <f>IFERROR(VLOOKUP(R11,'Validador- Datos'!K16:L18,2,0),"")</f>
        <v>2</v>
      </c>
      <c r="AB11" s="5"/>
      <c r="AC11" s="378"/>
      <c r="AD11" s="379"/>
      <c r="AE11" s="379"/>
      <c r="AF11" s="379"/>
      <c r="AG11" s="379"/>
      <c r="AH11" s="379"/>
      <c r="AI11" s="379"/>
      <c r="AJ11" s="379"/>
      <c r="AK11" s="379"/>
      <c r="AL11" s="379"/>
      <c r="AM11" s="380"/>
      <c r="AN11" s="236" t="str">
        <f>IFERROR(VLOOKUP(AC11,'Validador- Datos'!K1:M14,2,0),"")</f>
        <v/>
      </c>
      <c r="AO11" s="242"/>
      <c r="AP11" s="389"/>
      <c r="AQ11" s="390"/>
      <c r="AR11" s="390"/>
      <c r="AS11" s="390"/>
      <c r="AT11" s="390"/>
      <c r="AU11" s="390"/>
      <c r="AV11" s="390"/>
      <c r="AW11" s="390"/>
      <c r="AX11" s="390"/>
      <c r="AY11" s="390"/>
      <c r="AZ11" s="390"/>
      <c r="BA11" s="390"/>
      <c r="BB11" s="390"/>
      <c r="BC11" s="391"/>
      <c r="BD11" s="237"/>
      <c r="BE11" s="237"/>
      <c r="BF11" s="127"/>
      <c r="BG11" s="128"/>
      <c r="BH11" s="127"/>
    </row>
    <row r="12" spans="1:107" hidden="1" x14ac:dyDescent="0.25">
      <c r="A12" s="129"/>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30"/>
      <c r="AC12" s="131"/>
      <c r="AD12" s="131"/>
      <c r="AE12" s="131"/>
      <c r="AF12" s="131"/>
      <c r="AG12" s="131"/>
      <c r="AH12" s="131"/>
      <c r="AI12" s="131"/>
      <c r="AJ12" s="131"/>
      <c r="AK12" s="131"/>
      <c r="AL12" s="131"/>
      <c r="AM12" s="131"/>
      <c r="AN12" s="129"/>
      <c r="AO12" s="129"/>
      <c r="AP12" s="129"/>
      <c r="AQ12" s="129"/>
      <c r="AR12" s="129"/>
      <c r="AS12" s="129"/>
      <c r="AT12" s="129"/>
      <c r="AU12" s="129"/>
      <c r="AV12" s="129"/>
      <c r="AW12" s="129"/>
      <c r="AX12" s="129"/>
      <c r="AY12" s="129"/>
      <c r="AZ12" s="129"/>
      <c r="BA12" s="129"/>
      <c r="BB12" s="129"/>
      <c r="BC12" s="129"/>
      <c r="BD12" s="237"/>
      <c r="BE12" s="237"/>
      <c r="BF12" s="127"/>
      <c r="BG12" s="128"/>
      <c r="BH12" s="127"/>
    </row>
    <row r="13" spans="1:107" hidden="1" x14ac:dyDescent="0.25">
      <c r="A13" s="381" t="str">
        <f>CLEAN(TRIM(A11))</f>
        <v/>
      </c>
      <c r="B13" s="381"/>
      <c r="C13" s="381"/>
      <c r="D13" s="381"/>
      <c r="E13" s="381"/>
      <c r="F13" s="381"/>
      <c r="G13" s="381"/>
      <c r="H13" s="381"/>
      <c r="I13" s="381"/>
      <c r="J13" s="381"/>
      <c r="K13" s="381"/>
      <c r="L13" s="381"/>
      <c r="M13" s="381"/>
      <c r="N13" s="381"/>
      <c r="O13" s="239"/>
      <c r="P13" s="239" t="e">
        <f>+A13-AP13</f>
        <v>#VALUE!</v>
      </c>
      <c r="Q13" s="239"/>
      <c r="R13" s="239">
        <f>IFERROR(IF(AA11=1,1,IF(P13=0,1,0)),0)</f>
        <v>0</v>
      </c>
      <c r="S13" s="239"/>
      <c r="T13" s="239"/>
      <c r="U13" s="239"/>
      <c r="V13" s="239"/>
      <c r="W13" s="239"/>
      <c r="X13" s="239"/>
      <c r="Y13" s="239"/>
      <c r="Z13" s="239"/>
      <c r="AA13" s="5" t="str">
        <f>IF(AA11=1,"J",IF(AA11=2,"N",""))</f>
        <v>N</v>
      </c>
      <c r="AB13" s="132"/>
      <c r="AC13" s="133"/>
      <c r="AD13" s="133"/>
      <c r="AE13" s="133"/>
      <c r="AF13" s="133"/>
      <c r="AG13" s="133"/>
      <c r="AH13" s="133"/>
      <c r="AI13" s="133"/>
      <c r="AJ13" s="133"/>
      <c r="AK13" s="133"/>
      <c r="AL13" s="133"/>
      <c r="AM13" s="133"/>
      <c r="AN13" s="5" t="str">
        <f>IFERROR(VLOOKUP(AN11,'Validador- Datos'!L2:M14,2,0),"")</f>
        <v/>
      </c>
      <c r="AO13" s="239"/>
      <c r="AP13" s="382" t="str">
        <f>IFERROR(VALUE(CLEAN(TRIM(AP11))),"")</f>
        <v/>
      </c>
      <c r="AQ13" s="382"/>
      <c r="AR13" s="382"/>
      <c r="AS13" s="382"/>
      <c r="AT13" s="382"/>
      <c r="AU13" s="382"/>
      <c r="AV13" s="382"/>
      <c r="AW13" s="382"/>
      <c r="AX13" s="382"/>
      <c r="AY13" s="382"/>
      <c r="AZ13" s="382"/>
      <c r="BA13" s="382"/>
      <c r="BB13" s="382"/>
      <c r="BC13" s="382"/>
      <c r="BD13" s="242"/>
      <c r="BE13" s="242"/>
      <c r="BF13" s="127"/>
      <c r="BG13" s="128"/>
      <c r="BH13" s="127"/>
    </row>
    <row r="14" spans="1:107" s="5" customFormat="1" hidden="1" x14ac:dyDescent="0.25">
      <c r="A14" s="5" t="str">
        <f>CONCATENATE(A11,B11,C11,D11,E11,F11,G11,H11,I11,J11,K11,L11,M11,N11)</f>
        <v/>
      </c>
      <c r="AP14" s="5" t="str">
        <f>CONCATENATE(AP11,AQ11,AR11,AS11,AT11,AU11,AV11,AW11,AX11,AY11,AZ11,BA11,BB11,BC11)</f>
        <v/>
      </c>
      <c r="BF14" s="25"/>
      <c r="BG14" s="124"/>
      <c r="BH14" s="25"/>
      <c r="BI14" s="249"/>
      <c r="BJ14" s="249"/>
      <c r="BK14" s="249"/>
      <c r="BL14" s="249"/>
      <c r="BM14" s="249"/>
      <c r="BN14" s="249"/>
      <c r="BO14" s="249"/>
      <c r="BP14" s="249"/>
      <c r="BQ14" s="249"/>
      <c r="BR14" s="249"/>
      <c r="BS14" s="249"/>
      <c r="BT14" s="249"/>
      <c r="BU14" s="249"/>
      <c r="BV14" s="249"/>
      <c r="BW14" s="249"/>
      <c r="BX14" s="249"/>
      <c r="BY14" s="249"/>
      <c r="BZ14" s="249"/>
      <c r="CA14" s="249"/>
      <c r="CB14" s="249"/>
      <c r="CC14" s="249"/>
      <c r="CD14" s="249"/>
      <c r="CE14" s="249"/>
      <c r="CF14" s="249"/>
      <c r="CG14" s="249"/>
      <c r="CH14" s="249"/>
      <c r="CI14" s="249"/>
      <c r="CJ14" s="249"/>
      <c r="CK14" s="249"/>
      <c r="CL14" s="249"/>
      <c r="CM14" s="249"/>
      <c r="CN14" s="249"/>
      <c r="CO14" s="249"/>
      <c r="CP14" s="249"/>
      <c r="CQ14" s="249"/>
      <c r="CR14" s="249"/>
      <c r="CS14" s="249"/>
      <c r="CT14" s="249"/>
      <c r="CU14" s="249"/>
      <c r="CV14" s="249"/>
      <c r="CW14" s="249"/>
      <c r="CX14" s="249"/>
      <c r="CY14" s="249"/>
      <c r="CZ14" s="249"/>
      <c r="DA14" s="249"/>
      <c r="DB14" s="249"/>
      <c r="DC14" s="249"/>
    </row>
    <row r="15" spans="1:107" s="4" customFormat="1" ht="21" customHeight="1" thickBot="1" x14ac:dyDescent="0.3">
      <c r="A15" s="327" t="s">
        <v>3117</v>
      </c>
      <c r="B15" s="327"/>
      <c r="C15" s="327"/>
      <c r="D15" s="327"/>
      <c r="E15" s="327"/>
      <c r="F15" s="327"/>
      <c r="G15" s="327"/>
      <c r="H15" s="327"/>
      <c r="I15" s="327" t="s">
        <v>3118</v>
      </c>
      <c r="J15" s="327"/>
      <c r="K15" s="327"/>
      <c r="L15" s="327"/>
      <c r="M15" s="327"/>
      <c r="N15" s="327"/>
      <c r="O15" s="327"/>
      <c r="P15" s="327"/>
      <c r="Q15" s="327" t="s">
        <v>3119</v>
      </c>
      <c r="R15" s="327"/>
      <c r="S15" s="327"/>
      <c r="T15" s="327"/>
      <c r="U15" s="327"/>
      <c r="V15" s="327"/>
      <c r="W15" s="327"/>
      <c r="X15" s="327"/>
      <c r="Y15" s="327" t="s">
        <v>3120</v>
      </c>
      <c r="Z15" s="327"/>
      <c r="AA15" s="327"/>
      <c r="AB15" s="327"/>
      <c r="AC15" s="327"/>
      <c r="AD15" s="327"/>
      <c r="AE15" s="327"/>
      <c r="AF15" s="327"/>
      <c r="AG15" s="327"/>
      <c r="AH15" s="327"/>
      <c r="AI15" s="327" t="s">
        <v>1677</v>
      </c>
      <c r="AJ15" s="327"/>
      <c r="AK15" s="327"/>
      <c r="AL15" s="327"/>
      <c r="AM15" s="327"/>
      <c r="AN15" s="327"/>
      <c r="AO15" s="327"/>
      <c r="AP15" s="327"/>
      <c r="AQ15" s="327"/>
      <c r="AR15" s="327"/>
      <c r="AS15" s="327"/>
      <c r="AT15" s="327"/>
      <c r="AU15" s="327"/>
      <c r="AV15" s="327"/>
      <c r="AW15" s="327"/>
      <c r="AX15" s="327"/>
      <c r="AY15" s="327"/>
      <c r="AZ15" s="327"/>
      <c r="BA15" s="327"/>
      <c r="BB15" s="327"/>
      <c r="BC15" s="327"/>
      <c r="BD15" s="202"/>
      <c r="BE15" s="202"/>
      <c r="BF15" s="8"/>
      <c r="BG15" s="125"/>
      <c r="BH15" s="8"/>
      <c r="BI15" s="249"/>
      <c r="BJ15" s="249"/>
      <c r="BK15" s="249"/>
      <c r="BL15" s="249"/>
      <c r="BM15" s="249"/>
      <c r="BN15" s="249"/>
      <c r="BO15" s="249"/>
      <c r="BP15" s="249"/>
      <c r="BQ15" s="249"/>
      <c r="BR15" s="249"/>
      <c r="BS15" s="249"/>
      <c r="BT15" s="249"/>
      <c r="BU15" s="249"/>
      <c r="BV15" s="249"/>
      <c r="BW15" s="249"/>
      <c r="BX15" s="249"/>
      <c r="BY15" s="249"/>
      <c r="BZ15" s="249"/>
      <c r="CA15" s="249"/>
      <c r="CB15" s="249"/>
      <c r="CC15" s="249"/>
      <c r="CD15" s="249"/>
      <c r="CE15" s="249"/>
      <c r="CF15" s="249"/>
      <c r="CG15" s="249"/>
      <c r="CH15" s="249"/>
      <c r="CI15" s="249"/>
      <c r="CJ15" s="249"/>
      <c r="CK15" s="249"/>
      <c r="CL15" s="249"/>
      <c r="CM15" s="249"/>
      <c r="CN15" s="249"/>
      <c r="CO15" s="249"/>
      <c r="CP15" s="249"/>
      <c r="CQ15" s="249"/>
      <c r="CR15" s="249"/>
      <c r="CS15" s="249"/>
      <c r="CT15" s="249"/>
      <c r="CU15" s="249"/>
      <c r="CV15" s="249"/>
      <c r="CW15" s="249"/>
      <c r="CX15" s="249"/>
      <c r="CY15" s="249"/>
      <c r="CZ15" s="249"/>
      <c r="DA15" s="249"/>
      <c r="DB15" s="249"/>
      <c r="DC15" s="249"/>
    </row>
    <row r="16" spans="1:107" ht="15.75" thickBot="1" x14ac:dyDescent="0.3">
      <c r="A16" s="337"/>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7"/>
      <c r="AI16" s="383" t="str">
        <f>CONCATENATE(UPPER(A16)," ",UPPER(I16)," ",UPPER(Q16)," ",UPPER((Y16)))</f>
        <v xml:space="preserve">   </v>
      </c>
      <c r="AJ16" s="384"/>
      <c r="AK16" s="384"/>
      <c r="AL16" s="384"/>
      <c r="AM16" s="384"/>
      <c r="AN16" s="384"/>
      <c r="AO16" s="384"/>
      <c r="AP16" s="384"/>
      <c r="AQ16" s="384"/>
      <c r="AR16" s="384"/>
      <c r="AS16" s="384"/>
      <c r="AT16" s="384"/>
      <c r="AU16" s="384"/>
      <c r="AV16" s="384"/>
      <c r="AW16" s="384"/>
      <c r="AX16" s="384"/>
      <c r="AY16" s="384"/>
      <c r="AZ16" s="384"/>
      <c r="BA16" s="384"/>
      <c r="BB16" s="384"/>
      <c r="BC16" s="385"/>
      <c r="BD16" s="5"/>
      <c r="BE16" s="5"/>
      <c r="BF16" s="25"/>
      <c r="BG16" s="124"/>
      <c r="BH16" s="25"/>
    </row>
    <row r="17" spans="1:60" ht="11.25" customHeight="1" thickBot="1" x14ac:dyDescent="0.3">
      <c r="A17" s="237"/>
      <c r="B17" s="237"/>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5"/>
      <c r="BE17" s="5"/>
      <c r="BF17" s="25"/>
      <c r="BG17" s="124"/>
      <c r="BH17" s="25"/>
    </row>
    <row r="18" spans="1:60" ht="15.75" thickBot="1" x14ac:dyDescent="0.3">
      <c r="A18" s="328" t="s">
        <v>3486</v>
      </c>
      <c r="B18" s="329"/>
      <c r="C18" s="329"/>
      <c r="D18" s="329"/>
      <c r="E18" s="329"/>
      <c r="F18" s="329"/>
      <c r="G18" s="329"/>
      <c r="H18" s="329"/>
      <c r="I18" s="329"/>
      <c r="J18" s="329"/>
      <c r="K18" s="329"/>
      <c r="L18" s="329"/>
      <c r="M18" s="329"/>
      <c r="N18" s="329"/>
      <c r="O18" s="330"/>
      <c r="P18" s="87" t="s">
        <v>1670</v>
      </c>
      <c r="Q18" s="134"/>
      <c r="R18" s="86" t="s">
        <v>1671</v>
      </c>
      <c r="S18" s="135"/>
      <c r="U18" s="392" t="s">
        <v>5670</v>
      </c>
      <c r="V18" s="393"/>
      <c r="W18" s="393"/>
      <c r="X18" s="393"/>
      <c r="Y18" s="393"/>
      <c r="Z18" s="393"/>
      <c r="AA18" s="393"/>
      <c r="AB18" s="393"/>
      <c r="AC18" s="323"/>
      <c r="AD18" s="324"/>
      <c r="AE18" s="324"/>
      <c r="AF18" s="324"/>
      <c r="AG18" s="324"/>
      <c r="AH18" s="324"/>
      <c r="AI18" s="324"/>
      <c r="AJ18" s="324"/>
      <c r="AK18" s="324"/>
      <c r="AL18" s="324"/>
      <c r="AM18" s="324"/>
      <c r="AN18" s="324"/>
      <c r="AO18" s="324"/>
      <c r="AP18" s="324"/>
      <c r="AQ18" s="325"/>
      <c r="AR18" s="215"/>
      <c r="AS18" s="341" t="str">
        <f>IF(AC18=0,"",AC18)</f>
        <v/>
      </c>
      <c r="AT18" s="342"/>
      <c r="AU18" s="342"/>
      <c r="AV18" s="342"/>
      <c r="AW18" s="342"/>
      <c r="AX18" s="342"/>
      <c r="AY18" s="342"/>
      <c r="AZ18" s="342"/>
      <c r="BA18" s="342"/>
      <c r="BB18" s="342"/>
      <c r="BC18" s="343"/>
      <c r="BD18" s="5"/>
      <c r="BE18" s="5"/>
      <c r="BF18" s="25"/>
      <c r="BG18" s="124"/>
      <c r="BH18" s="25"/>
    </row>
    <row r="19" spans="1:60" ht="9" customHeight="1" x14ac:dyDescent="0.25">
      <c r="A19" s="237"/>
      <c r="B19" s="237"/>
      <c r="C19" s="237"/>
      <c r="D19" s="237"/>
      <c r="E19" s="237"/>
      <c r="F19" s="237"/>
      <c r="G19" s="237"/>
      <c r="H19" s="237"/>
      <c r="I19" s="237"/>
      <c r="J19" s="237"/>
      <c r="K19" s="237"/>
      <c r="L19" s="237"/>
      <c r="M19" s="237"/>
      <c r="N19" s="237"/>
      <c r="O19" s="237"/>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5"/>
      <c r="BE19" s="5"/>
      <c r="BF19" s="25"/>
      <c r="BG19" s="124"/>
      <c r="BH19" s="25"/>
    </row>
    <row r="20" spans="1:60" ht="15.75" thickBot="1" x14ac:dyDescent="0.3">
      <c r="A20" s="327" t="s">
        <v>3129</v>
      </c>
      <c r="B20" s="327"/>
      <c r="C20" s="327"/>
      <c r="D20" s="327"/>
      <c r="E20" s="327"/>
      <c r="F20" s="327"/>
      <c r="G20" s="327"/>
      <c r="H20" s="327"/>
      <c r="I20" s="327"/>
      <c r="J20" s="327"/>
      <c r="K20" s="327"/>
      <c r="L20" s="327"/>
      <c r="M20" s="327"/>
      <c r="N20" s="327"/>
      <c r="O20" s="327"/>
      <c r="P20" s="327"/>
      <c r="Q20" s="327"/>
      <c r="R20" s="202"/>
      <c r="S20" s="202"/>
      <c r="T20" s="327" t="s">
        <v>3130</v>
      </c>
      <c r="U20" s="327"/>
      <c r="V20" s="327"/>
      <c r="W20" s="327"/>
      <c r="X20" s="327"/>
      <c r="Y20" s="327"/>
      <c r="Z20" s="327"/>
      <c r="AA20" s="327"/>
      <c r="AB20" s="327"/>
      <c r="AC20" s="327"/>
      <c r="AD20" s="327"/>
      <c r="AE20" s="327"/>
      <c r="AF20" s="327"/>
      <c r="AG20" s="327"/>
      <c r="AH20" s="327"/>
      <c r="AI20" s="327"/>
      <c r="AJ20" s="327"/>
      <c r="AK20" s="202"/>
      <c r="AL20" s="202"/>
      <c r="AM20" s="327" t="s">
        <v>3131</v>
      </c>
      <c r="AN20" s="327"/>
      <c r="AO20" s="327"/>
      <c r="AP20" s="327"/>
      <c r="AQ20" s="327"/>
      <c r="AR20" s="327"/>
      <c r="AS20" s="327"/>
      <c r="AT20" s="327"/>
      <c r="AU20" s="327"/>
      <c r="AV20" s="327"/>
      <c r="AW20" s="327"/>
      <c r="AX20" s="327"/>
      <c r="AY20" s="327"/>
      <c r="AZ20" s="327"/>
      <c r="BA20" s="327"/>
      <c r="BB20" s="327"/>
      <c r="BC20" s="327"/>
      <c r="BD20" s="5"/>
      <c r="BE20" s="5"/>
      <c r="BF20" s="25"/>
      <c r="BG20" s="124"/>
      <c r="BH20" s="25"/>
    </row>
    <row r="21" spans="1:60" ht="15.75" thickBot="1" x14ac:dyDescent="0.3">
      <c r="A21" s="337"/>
      <c r="B21" s="316"/>
      <c r="C21" s="316"/>
      <c r="D21" s="316"/>
      <c r="E21" s="316"/>
      <c r="F21" s="316"/>
      <c r="G21" s="316"/>
      <c r="H21" s="316"/>
      <c r="I21" s="316"/>
      <c r="J21" s="316"/>
      <c r="K21" s="316"/>
      <c r="L21" s="316"/>
      <c r="M21" s="316"/>
      <c r="N21" s="316"/>
      <c r="O21" s="316"/>
      <c r="P21" s="376" t="str">
        <f>IFERROR(VLOOKUP(A21,'Validador- Datos'!T1:U249,2,0),"")</f>
        <v/>
      </c>
      <c r="Q21" s="377"/>
      <c r="R21" s="5"/>
      <c r="S21" s="5"/>
      <c r="T21" s="337"/>
      <c r="U21" s="316"/>
      <c r="V21" s="316"/>
      <c r="W21" s="316"/>
      <c r="X21" s="316"/>
      <c r="Y21" s="316"/>
      <c r="Z21" s="316"/>
      <c r="AA21" s="316"/>
      <c r="AB21" s="316"/>
      <c r="AC21" s="316"/>
      <c r="AD21" s="316"/>
      <c r="AE21" s="316"/>
      <c r="AF21" s="316"/>
      <c r="AG21" s="316"/>
      <c r="AH21" s="316"/>
      <c r="AI21" s="376" t="str">
        <f>IFERROR(VLOOKUP(T21,'Validador- Datos'!W1:X36,2,0),"")</f>
        <v/>
      </c>
      <c r="AJ21" s="377"/>
      <c r="AK21" s="5"/>
      <c r="AL21" s="5"/>
      <c r="AM21" s="323"/>
      <c r="AN21" s="324"/>
      <c r="AO21" s="324"/>
      <c r="AP21" s="324"/>
      <c r="AQ21" s="324"/>
      <c r="AR21" s="324"/>
      <c r="AS21" s="324"/>
      <c r="AT21" s="324"/>
      <c r="AU21" s="324"/>
      <c r="AV21" s="324"/>
      <c r="AW21" s="324"/>
      <c r="AX21" s="324"/>
      <c r="AY21" s="324"/>
      <c r="AZ21" s="324"/>
      <c r="BA21" s="388"/>
      <c r="BB21" s="387" t="str">
        <f>IFERROR(VLOOKUP(AM21,'Validador- Datos'!AK1:AL126,2,0),"")</f>
        <v/>
      </c>
      <c r="BC21" s="343"/>
      <c r="BD21" s="5"/>
      <c r="BE21" s="5"/>
      <c r="BF21" s="25"/>
      <c r="BG21" s="124"/>
      <c r="BH21" s="25"/>
    </row>
    <row r="22" spans="1:60" ht="9"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25"/>
      <c r="BG22" s="124"/>
      <c r="BH22" s="25"/>
    </row>
    <row r="23" spans="1:60" ht="15.75" thickBot="1" x14ac:dyDescent="0.3">
      <c r="A23" s="327" t="s">
        <v>5656</v>
      </c>
      <c r="B23" s="327"/>
      <c r="C23" s="327"/>
      <c r="D23" s="327"/>
      <c r="E23" s="327"/>
      <c r="F23" s="327"/>
      <c r="G23" s="327"/>
      <c r="H23" s="327"/>
      <c r="I23" s="327"/>
      <c r="J23" s="327"/>
      <c r="K23" s="327"/>
      <c r="L23" s="327"/>
      <c r="M23" s="327"/>
      <c r="N23" s="327"/>
      <c r="O23" s="327"/>
      <c r="P23" s="327"/>
      <c r="Q23" s="327"/>
      <c r="R23" s="327"/>
      <c r="S23" s="327"/>
      <c r="T23" s="327"/>
      <c r="U23" s="327"/>
      <c r="V23" s="327"/>
      <c r="W23" s="327"/>
      <c r="X23" s="327"/>
      <c r="Y23" s="327"/>
      <c r="Z23" s="327"/>
      <c r="AA23" s="327"/>
      <c r="AB23" s="327"/>
      <c r="AC23" s="327"/>
      <c r="AD23" s="327"/>
      <c r="AE23" s="327"/>
      <c r="AF23" s="237"/>
      <c r="AG23" s="327" t="s">
        <v>3132</v>
      </c>
      <c r="AH23" s="327"/>
      <c r="AI23" s="327"/>
      <c r="AJ23" s="327"/>
      <c r="AK23" s="327"/>
      <c r="AL23" s="327"/>
      <c r="AM23" s="327"/>
      <c r="AN23" s="327"/>
      <c r="AO23" s="327"/>
      <c r="AP23" s="202"/>
      <c r="AQ23" s="327" t="s">
        <v>3133</v>
      </c>
      <c r="AR23" s="327"/>
      <c r="AS23" s="327"/>
      <c r="AT23" s="327"/>
      <c r="AU23" s="327"/>
      <c r="AV23" s="327"/>
      <c r="AW23" s="327"/>
      <c r="AX23" s="327"/>
      <c r="AY23" s="327"/>
      <c r="AZ23" s="327"/>
      <c r="BA23" s="327"/>
      <c r="BB23" s="327"/>
      <c r="BC23" s="327"/>
      <c r="BD23" s="5"/>
      <c r="BE23" s="5"/>
      <c r="BF23" s="25"/>
      <c r="BG23" s="124"/>
      <c r="BH23" s="25"/>
    </row>
    <row r="24" spans="1:60" ht="15.75" thickBot="1" x14ac:dyDescent="0.3">
      <c r="A24" s="372" t="s">
        <v>5689</v>
      </c>
      <c r="B24" s="373"/>
      <c r="C24" s="373"/>
      <c r="D24" s="373"/>
      <c r="E24" s="373"/>
      <c r="F24" s="373"/>
      <c r="G24" s="373"/>
      <c r="H24" s="373"/>
      <c r="I24" s="373"/>
      <c r="J24" s="373"/>
      <c r="K24" s="373"/>
      <c r="L24" s="373"/>
      <c r="M24" s="373"/>
      <c r="N24" s="373"/>
      <c r="O24" s="373"/>
      <c r="P24" s="373"/>
      <c r="Q24" s="373"/>
      <c r="R24" s="373"/>
      <c r="S24" s="373"/>
      <c r="T24" s="373"/>
      <c r="U24" s="373"/>
      <c r="V24" s="373"/>
      <c r="W24" s="373"/>
      <c r="X24" s="373"/>
      <c r="Y24" s="373"/>
      <c r="Z24" s="373"/>
      <c r="AA24" s="373"/>
      <c r="AB24" s="373"/>
      <c r="AC24" s="373"/>
      <c r="AD24" s="373"/>
      <c r="AE24" s="374"/>
      <c r="AF24" s="242"/>
      <c r="AG24" s="323"/>
      <c r="AH24" s="324"/>
      <c r="AI24" s="324"/>
      <c r="AJ24" s="324"/>
      <c r="AK24" s="324"/>
      <c r="AL24" s="324"/>
      <c r="AM24" s="324"/>
      <c r="AN24" s="324"/>
      <c r="AO24" s="324"/>
      <c r="AP24" s="388"/>
      <c r="AQ24" s="249"/>
      <c r="AR24" s="323"/>
      <c r="AS24" s="324"/>
      <c r="AT24" s="324"/>
      <c r="AU24" s="324"/>
      <c r="AV24" s="324"/>
      <c r="AW24" s="324"/>
      <c r="AX24" s="324"/>
      <c r="AY24" s="324"/>
      <c r="AZ24" s="324"/>
      <c r="BA24" s="324"/>
      <c r="BB24" s="324"/>
      <c r="BC24" s="325"/>
      <c r="BD24" s="5"/>
      <c r="BE24" s="5"/>
      <c r="BF24" s="25"/>
      <c r="BG24" s="124"/>
      <c r="BH24" s="25"/>
    </row>
    <row r="25" spans="1:60" ht="7.5" customHeight="1" x14ac:dyDescent="0.25">
      <c r="A25" s="237"/>
      <c r="B25" s="237"/>
      <c r="C25" s="237"/>
      <c r="D25" s="237"/>
      <c r="E25" s="237"/>
      <c r="F25" s="237"/>
      <c r="G25" s="237"/>
      <c r="H25" s="237"/>
      <c r="I25" s="237"/>
      <c r="J25" s="237"/>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25"/>
      <c r="BG25" s="124"/>
      <c r="BH25" s="25"/>
    </row>
    <row r="26" spans="1:60" hidden="1" x14ac:dyDescent="0.25">
      <c r="A26" s="237"/>
      <c r="B26" s="237"/>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370" t="str">
        <f>CLEAN(TRIM(CONCATENATE(AG24,AH24,AI24,AJ24,AK24,AL24,AM24,AN24,AO24,AP24)))</f>
        <v/>
      </c>
      <c r="AH26" s="370"/>
      <c r="AI26" s="370"/>
      <c r="AJ26" s="370"/>
      <c r="AK26" s="370"/>
      <c r="AL26" s="370"/>
      <c r="AM26" s="370"/>
      <c r="AN26" s="370"/>
      <c r="AO26" s="370"/>
      <c r="AP26" s="5"/>
      <c r="AQ26" s="370" t="str">
        <f>CONCATENATE(AR24,AS24,AT24,AU24,AV24,AW24,AX24,AY24,AZ24,BA24,BB24,BC24)</f>
        <v/>
      </c>
      <c r="AR26" s="370"/>
      <c r="AS26" s="370"/>
      <c r="AT26" s="370"/>
      <c r="AU26" s="370"/>
      <c r="AV26" s="370"/>
      <c r="AW26" s="370"/>
      <c r="AX26" s="370"/>
      <c r="AY26" s="370"/>
      <c r="AZ26" s="5"/>
      <c r="BA26" s="5"/>
      <c r="BB26" s="5"/>
      <c r="BC26" s="5"/>
      <c r="BD26" s="5"/>
      <c r="BE26" s="5"/>
      <c r="BF26" s="25"/>
      <c r="BG26" s="124"/>
      <c r="BH26" s="25"/>
    </row>
    <row r="27" spans="1:60" ht="8.25" customHeight="1" x14ac:dyDescent="0.25">
      <c r="A27" s="237"/>
      <c r="B27" s="237"/>
      <c r="C27" s="237"/>
      <c r="D27" s="237"/>
      <c r="E27" s="237"/>
      <c r="F27" s="237"/>
      <c r="G27" s="237"/>
      <c r="H27" s="237"/>
      <c r="I27" s="237"/>
      <c r="J27" s="237"/>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5"/>
      <c r="BE27" s="5"/>
      <c r="BF27" s="25"/>
      <c r="BG27" s="124"/>
      <c r="BH27" s="25"/>
    </row>
    <row r="28" spans="1:60" ht="16.5" customHeight="1" x14ac:dyDescent="0.25">
      <c r="A28" s="364" t="s">
        <v>3507</v>
      </c>
      <c r="B28" s="364"/>
      <c r="C28" s="364"/>
      <c r="D28" s="364"/>
      <c r="E28" s="364"/>
      <c r="F28" s="364"/>
      <c r="G28" s="364"/>
      <c r="H28" s="364"/>
      <c r="I28" s="364"/>
      <c r="J28" s="364"/>
      <c r="K28" s="364"/>
      <c r="L28" s="364"/>
      <c r="M28" s="364"/>
      <c r="N28" s="364"/>
      <c r="O28" s="364"/>
      <c r="P28" s="364"/>
      <c r="Q28" s="364"/>
      <c r="R28" s="364"/>
      <c r="S28" s="364"/>
      <c r="T28" s="364"/>
      <c r="U28" s="364"/>
      <c r="V28" s="364"/>
      <c r="W28" s="364"/>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4"/>
      <c r="AZ28" s="364"/>
      <c r="BA28" s="364"/>
      <c r="BB28" s="364"/>
      <c r="BC28" s="364"/>
      <c r="BD28" s="5"/>
      <c r="BE28" s="5"/>
      <c r="BF28" s="25"/>
      <c r="BG28" s="124"/>
      <c r="BH28" s="25"/>
    </row>
    <row r="29" spans="1:60" ht="8.25" customHeight="1" thickBo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25"/>
      <c r="BG29" s="124"/>
      <c r="BH29" s="25"/>
    </row>
    <row r="30" spans="1:60" ht="16.5" thickTop="1" thickBot="1" x14ac:dyDescent="0.3">
      <c r="A30" s="279" t="s">
        <v>3110</v>
      </c>
      <c r="B30" s="279"/>
      <c r="C30" s="279"/>
      <c r="D30" s="279"/>
      <c r="E30" s="279"/>
      <c r="F30" s="279"/>
      <c r="G30" s="279"/>
      <c r="H30" s="279"/>
      <c r="I30" s="279"/>
      <c r="J30" s="279"/>
      <c r="K30" s="279"/>
      <c r="L30" s="279"/>
      <c r="M30" s="279"/>
      <c r="N30" s="279"/>
      <c r="O30" s="279"/>
      <c r="P30" s="5"/>
      <c r="Q30" s="279" t="s">
        <v>3112</v>
      </c>
      <c r="R30" s="279"/>
      <c r="S30" s="279"/>
      <c r="T30" s="279"/>
      <c r="U30" s="279"/>
      <c r="V30" s="279"/>
      <c r="W30" s="279"/>
      <c r="X30" s="279"/>
      <c r="Y30" s="202"/>
      <c r="Z30" s="279" t="s">
        <v>3113</v>
      </c>
      <c r="AA30" s="279"/>
      <c r="AB30" s="279"/>
      <c r="AC30" s="279"/>
      <c r="AD30" s="279"/>
      <c r="AE30" s="279"/>
      <c r="AF30" s="279"/>
      <c r="AG30" s="5"/>
      <c r="AH30" s="279" t="s">
        <v>3136</v>
      </c>
      <c r="AI30" s="279"/>
      <c r="AJ30" s="279"/>
      <c r="AK30" s="279"/>
      <c r="AL30" s="279"/>
      <c r="AM30" s="5"/>
      <c r="AN30" s="279" t="s">
        <v>3109</v>
      </c>
      <c r="AO30" s="279"/>
      <c r="AP30" s="279"/>
      <c r="AQ30" s="279"/>
      <c r="AR30" s="279"/>
      <c r="AS30" s="279"/>
      <c r="AT30" s="279"/>
      <c r="AU30" s="279"/>
      <c r="AV30" s="279"/>
      <c r="AW30" s="279"/>
      <c r="AX30" s="279"/>
      <c r="AY30" s="279"/>
      <c r="AZ30" s="279"/>
      <c r="BA30" s="279"/>
      <c r="BB30" s="279"/>
      <c r="BC30" s="279"/>
      <c r="BD30" s="5"/>
      <c r="BE30" s="5"/>
      <c r="BF30" s="25"/>
      <c r="BG30" s="124"/>
      <c r="BH30" s="25"/>
    </row>
    <row r="31" spans="1:60" ht="15.75" thickBot="1" x14ac:dyDescent="0.3">
      <c r="A31" s="337"/>
      <c r="B31" s="316"/>
      <c r="C31" s="316"/>
      <c r="D31" s="316"/>
      <c r="E31" s="316"/>
      <c r="F31" s="316"/>
      <c r="G31" s="316"/>
      <c r="H31" s="316"/>
      <c r="I31" s="316"/>
      <c r="J31" s="316"/>
      <c r="K31" s="316"/>
      <c r="L31" s="316"/>
      <c r="M31" s="399" t="str">
        <f>IFERROR(VLOOKUP(A31,bancos[],4,0),"")</f>
        <v/>
      </c>
      <c r="N31" s="376"/>
      <c r="O31" s="377"/>
      <c r="Q31" s="323"/>
      <c r="R31" s="324"/>
      <c r="S31" s="324"/>
      <c r="T31" s="324"/>
      <c r="U31" s="324"/>
      <c r="V31" s="324"/>
      <c r="W31" s="324"/>
      <c r="X31" s="325"/>
      <c r="Z31" s="337"/>
      <c r="AA31" s="316"/>
      <c r="AB31" s="316"/>
      <c r="AC31" s="316"/>
      <c r="AD31" s="316"/>
      <c r="AE31" s="399" t="str">
        <f>IFERROR(VLOOKUP(Z31,TIPOCUENTA[],2,0),"")</f>
        <v/>
      </c>
      <c r="AF31" s="377"/>
      <c r="AH31" s="403" t="str">
        <f>CONCATENATE(A14,"-",P11)</f>
        <v>-</v>
      </c>
      <c r="AI31" s="376"/>
      <c r="AJ31" s="376"/>
      <c r="AK31" s="376"/>
      <c r="AL31" s="377"/>
      <c r="AN31" s="138"/>
      <c r="AO31" s="136"/>
      <c r="AP31" s="136"/>
      <c r="AQ31" s="136"/>
      <c r="AR31" s="136"/>
      <c r="AS31" s="136"/>
      <c r="AT31" s="136"/>
      <c r="AU31" s="136"/>
      <c r="AV31" s="136"/>
      <c r="AW31" s="136"/>
      <c r="AX31" s="136"/>
      <c r="AY31" s="136"/>
      <c r="AZ31" s="136"/>
      <c r="BA31" s="136"/>
      <c r="BB31" s="136"/>
      <c r="BC31" s="137"/>
      <c r="BD31" s="5"/>
      <c r="BE31" s="5"/>
      <c r="BF31" s="25"/>
      <c r="BG31" s="124"/>
      <c r="BH31" s="25"/>
    </row>
    <row r="32" spans="1:60" ht="18" customHeight="1" thickBo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400" t="str">
        <f>TRIM(CONCATENATE(AN31,AO31,AP31,AQ31,AR31,AS31,AT31,AU31,AV31,AW31,AX31,AY31,AZ31,BA31,BB31,BC31))</f>
        <v/>
      </c>
      <c r="AO32" s="401"/>
      <c r="AP32" s="401"/>
      <c r="AQ32" s="401"/>
      <c r="AR32" s="401"/>
      <c r="AS32" s="401"/>
      <c r="AT32" s="401"/>
      <c r="AU32" s="401"/>
      <c r="AV32" s="401"/>
      <c r="AW32" s="401"/>
      <c r="AX32" s="401"/>
      <c r="AY32" s="401"/>
      <c r="AZ32" s="401"/>
      <c r="BA32" s="401"/>
      <c r="BB32" s="401"/>
      <c r="BC32" s="402"/>
      <c r="BD32" s="5"/>
      <c r="BE32" s="5"/>
      <c r="BF32" s="25"/>
      <c r="BG32" s="124"/>
      <c r="BH32" s="25"/>
    </row>
    <row r="33" spans="1:107" ht="9.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237"/>
      <c r="AO33" s="237"/>
      <c r="AP33" s="237"/>
      <c r="AQ33" s="237"/>
      <c r="AR33" s="237"/>
      <c r="AS33" s="237"/>
      <c r="AT33" s="237"/>
      <c r="AU33" s="237"/>
      <c r="AV33" s="237"/>
      <c r="AW33" s="237"/>
      <c r="AX33" s="237"/>
      <c r="AY33" s="237"/>
      <c r="AZ33" s="237"/>
      <c r="BA33" s="237"/>
      <c r="BB33" s="237"/>
      <c r="BC33" s="237"/>
      <c r="BD33" s="5"/>
      <c r="BE33" s="5"/>
      <c r="BF33" s="25"/>
      <c r="BG33" s="124"/>
      <c r="BH33" s="25"/>
    </row>
    <row r="34" spans="1:107" hidden="1" x14ac:dyDescent="0.25">
      <c r="A34" s="370"/>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70"/>
      <c r="AZ34" s="370"/>
      <c r="BA34" s="370"/>
      <c r="BB34" s="370"/>
      <c r="BC34" s="370"/>
      <c r="BD34" s="5"/>
      <c r="BE34" s="5"/>
      <c r="BF34" s="25"/>
      <c r="BG34" s="124"/>
      <c r="BH34" s="25"/>
    </row>
    <row r="35" spans="1:107" ht="9"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25"/>
      <c r="BG35" s="124"/>
      <c r="BH35" s="25"/>
    </row>
    <row r="36" spans="1:107" ht="18.75" x14ac:dyDescent="0.25">
      <c r="A36" s="364" t="s">
        <v>5657</v>
      </c>
      <c r="B36" s="364"/>
      <c r="C36" s="364"/>
      <c r="D36" s="364"/>
      <c r="E36" s="364"/>
      <c r="F36" s="364"/>
      <c r="G36" s="364"/>
      <c r="H36" s="364"/>
      <c r="I36" s="364"/>
      <c r="J36" s="364"/>
      <c r="K36" s="364"/>
      <c r="L36" s="364"/>
      <c r="M36" s="364"/>
      <c r="N36" s="364"/>
      <c r="O36" s="364"/>
      <c r="P36" s="364"/>
      <c r="Q36" s="364"/>
      <c r="R36" s="364"/>
      <c r="S36" s="364"/>
      <c r="T36" s="364"/>
      <c r="U36" s="364"/>
      <c r="V36" s="364"/>
      <c r="W36" s="364"/>
      <c r="X36" s="364"/>
      <c r="Y36" s="364"/>
      <c r="Z36" s="364"/>
      <c r="AA36" s="364"/>
      <c r="AB36" s="364"/>
      <c r="AC36" s="364"/>
      <c r="AD36" s="364"/>
      <c r="AE36" s="364"/>
      <c r="AF36" s="364"/>
      <c r="AG36" s="364"/>
      <c r="AH36" s="364"/>
      <c r="AI36" s="364"/>
      <c r="AJ36" s="364"/>
      <c r="AK36" s="364"/>
      <c r="AL36" s="364"/>
      <c r="AM36" s="364"/>
      <c r="AN36" s="364"/>
      <c r="AO36" s="364"/>
      <c r="AP36" s="364"/>
      <c r="AQ36" s="364"/>
      <c r="AR36" s="364"/>
      <c r="AS36" s="364"/>
      <c r="AT36" s="364"/>
      <c r="AU36" s="364"/>
      <c r="AV36" s="364"/>
      <c r="AW36" s="364"/>
      <c r="AX36" s="364"/>
      <c r="AY36" s="364"/>
      <c r="AZ36" s="364"/>
      <c r="BA36" s="364"/>
      <c r="BB36" s="364"/>
      <c r="BC36" s="364"/>
      <c r="BD36" s="5"/>
      <c r="BE36" s="5"/>
      <c r="BF36" s="25"/>
      <c r="BG36" s="124"/>
      <c r="BH36" s="25"/>
    </row>
    <row r="37" spans="1:107" ht="7.5" customHeight="1" thickBo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25"/>
      <c r="BG37" s="124"/>
      <c r="BH37" s="25"/>
    </row>
    <row r="38" spans="1:107" s="4" customFormat="1" ht="16.5" thickTop="1" thickBot="1" x14ac:dyDescent="0.3">
      <c r="A38" s="281" t="s">
        <v>3135</v>
      </c>
      <c r="B38" s="281"/>
      <c r="C38" s="281"/>
      <c r="D38" s="281"/>
      <c r="E38" s="281"/>
      <c r="F38" s="281"/>
      <c r="G38" s="281"/>
      <c r="H38" s="281"/>
      <c r="I38" s="281"/>
      <c r="J38" s="281"/>
      <c r="K38" s="281"/>
      <c r="L38" s="281"/>
      <c r="M38" s="281"/>
      <c r="N38" s="281"/>
      <c r="O38" s="281"/>
      <c r="P38" s="281"/>
      <c r="Q38" s="281"/>
      <c r="R38" s="281"/>
      <c r="S38" s="281"/>
      <c r="T38" s="281"/>
      <c r="U38" s="281"/>
      <c r="V38" s="281"/>
      <c r="W38" s="202"/>
      <c r="X38" s="281" t="s">
        <v>3598</v>
      </c>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02"/>
      <c r="AU38" s="281" t="s">
        <v>5658</v>
      </c>
      <c r="AV38" s="281"/>
      <c r="AW38" s="281"/>
      <c r="AX38" s="281"/>
      <c r="AY38" s="281"/>
      <c r="AZ38" s="281"/>
      <c r="BA38" s="281"/>
      <c r="BB38" s="281"/>
      <c r="BC38" s="281"/>
      <c r="BD38" s="202"/>
      <c r="BE38" s="202"/>
      <c r="BF38" s="8"/>
      <c r="BG38" s="125"/>
      <c r="BH38" s="8"/>
      <c r="BI38" s="249"/>
      <c r="BJ38" s="249"/>
      <c r="BK38" s="249"/>
      <c r="BL38" s="249"/>
      <c r="BM38" s="249"/>
      <c r="BN38" s="249"/>
      <c r="BO38" s="249"/>
      <c r="BP38" s="249"/>
      <c r="BQ38" s="249"/>
      <c r="BR38" s="249"/>
      <c r="BS38" s="249"/>
      <c r="BT38" s="249"/>
      <c r="BU38" s="249"/>
      <c r="BV38" s="249"/>
      <c r="BW38" s="249"/>
      <c r="BX38" s="249"/>
      <c r="BY38" s="249"/>
      <c r="BZ38" s="249"/>
      <c r="CA38" s="249"/>
      <c r="CB38" s="249"/>
      <c r="CC38" s="249"/>
      <c r="CD38" s="249"/>
      <c r="CE38" s="249"/>
      <c r="CF38" s="249"/>
      <c r="CG38" s="249"/>
      <c r="CH38" s="249"/>
      <c r="CI38" s="249"/>
      <c r="CJ38" s="249"/>
      <c r="CK38" s="249"/>
      <c r="CL38" s="249"/>
      <c r="CM38" s="249"/>
      <c r="CN38" s="249"/>
      <c r="CO38" s="249"/>
      <c r="CP38" s="249"/>
      <c r="CQ38" s="249"/>
      <c r="CR38" s="249"/>
      <c r="CS38" s="249"/>
      <c r="CT38" s="249"/>
      <c r="CU38" s="249"/>
      <c r="CV38" s="249"/>
      <c r="CW38" s="249"/>
      <c r="CX38" s="249"/>
      <c r="CY38" s="249"/>
      <c r="CZ38" s="249"/>
      <c r="DA38" s="249"/>
      <c r="DB38" s="249"/>
      <c r="DC38" s="249"/>
    </row>
    <row r="39" spans="1:107" ht="15" customHeight="1" thickBot="1" x14ac:dyDescent="0.3">
      <c r="A39" s="138"/>
      <c r="B39" s="136"/>
      <c r="C39" s="136"/>
      <c r="D39" s="137"/>
      <c r="F39" s="331" t="str">
        <f>IF(A40="","",(IFERROR(VLOOKUP(A40,CIIU[],2,0),"Actividad economica NO existe - por favor verificar")))</f>
        <v/>
      </c>
      <c r="G39" s="332"/>
      <c r="H39" s="332"/>
      <c r="I39" s="332"/>
      <c r="J39" s="332"/>
      <c r="K39" s="332"/>
      <c r="L39" s="332"/>
      <c r="M39" s="332"/>
      <c r="N39" s="332"/>
      <c r="O39" s="332"/>
      <c r="P39" s="332"/>
      <c r="Q39" s="332"/>
      <c r="R39" s="332"/>
      <c r="S39" s="332"/>
      <c r="T39" s="332"/>
      <c r="U39" s="332"/>
      <c r="V39" s="333"/>
      <c r="W39" s="5" t="s">
        <v>1606</v>
      </c>
      <c r="X39" s="138"/>
      <c r="Y39" s="136"/>
      <c r="Z39" s="136"/>
      <c r="AA39" s="136"/>
      <c r="AB39" s="137"/>
      <c r="AC39" s="5"/>
      <c r="AD39" s="331" t="str">
        <f>IF(X40="","",(IFERROR(VLOOKUP(X40,RIT[],3,0),"Actividad economica NO existe - por favor verificar")))</f>
        <v/>
      </c>
      <c r="AE39" s="332"/>
      <c r="AF39" s="332"/>
      <c r="AG39" s="332"/>
      <c r="AH39" s="332"/>
      <c r="AI39" s="332"/>
      <c r="AJ39" s="332"/>
      <c r="AK39" s="332"/>
      <c r="AL39" s="332"/>
      <c r="AM39" s="332"/>
      <c r="AN39" s="332"/>
      <c r="AO39" s="332"/>
      <c r="AP39" s="333"/>
      <c r="AQ39" s="338" t="s">
        <v>3480</v>
      </c>
      <c r="AR39" s="339"/>
      <c r="AS39" s="340"/>
      <c r="AT39" s="5" t="s">
        <v>1606</v>
      </c>
      <c r="AU39" s="410"/>
      <c r="AV39" s="411"/>
      <c r="AW39" s="411"/>
      <c r="AX39" s="411"/>
      <c r="AY39" s="411"/>
      <c r="AZ39" s="411"/>
      <c r="BA39" s="411"/>
      <c r="BB39" s="411"/>
      <c r="BC39" s="140" t="str">
        <f>IFERROR(VLOOKUP(AU39,REGIMEN[],2,0),"")</f>
        <v/>
      </c>
      <c r="BD39" s="5"/>
      <c r="BE39" s="5"/>
      <c r="BF39" s="25"/>
      <c r="BG39" s="124"/>
      <c r="BH39" s="25"/>
    </row>
    <row r="40" spans="1:107" ht="15.75" thickBot="1" x14ac:dyDescent="0.3">
      <c r="A40" s="349" t="str">
        <f>CONCATENATE(A39,B39,C39,D39)</f>
        <v/>
      </c>
      <c r="B40" s="350"/>
      <c r="C40" s="350"/>
      <c r="D40" s="351"/>
      <c r="F40" s="334"/>
      <c r="G40" s="335"/>
      <c r="H40" s="335"/>
      <c r="I40" s="335"/>
      <c r="J40" s="335"/>
      <c r="K40" s="335"/>
      <c r="L40" s="335"/>
      <c r="M40" s="335"/>
      <c r="N40" s="335"/>
      <c r="O40" s="335"/>
      <c r="P40" s="335"/>
      <c r="Q40" s="335"/>
      <c r="R40" s="335"/>
      <c r="S40" s="335"/>
      <c r="T40" s="335"/>
      <c r="U40" s="335"/>
      <c r="V40" s="336"/>
      <c r="W40" s="205"/>
      <c r="X40" s="341" t="str">
        <f>IFERROR(VALUE(CLEAN(TRIM(CONCATENATE(X39,Y39,Z39,AA39,AB39)))),"")</f>
        <v/>
      </c>
      <c r="Y40" s="342"/>
      <c r="Z40" s="342"/>
      <c r="AA40" s="342"/>
      <c r="AB40" s="343"/>
      <c r="AC40" s="141"/>
      <c r="AD40" s="334"/>
      <c r="AE40" s="335"/>
      <c r="AF40" s="335"/>
      <c r="AG40" s="335"/>
      <c r="AH40" s="335"/>
      <c r="AI40" s="335"/>
      <c r="AJ40" s="335"/>
      <c r="AK40" s="335"/>
      <c r="AL40" s="335"/>
      <c r="AM40" s="335"/>
      <c r="AN40" s="335"/>
      <c r="AO40" s="335"/>
      <c r="AP40" s="336"/>
      <c r="AQ40" s="261" t="str">
        <f>IF(AD39="Actividad economica NO existe o no aplica para el tipo de Contribuyente - por favor verificar","",IF(X40="","",IFERROR(VLOOKUP(X40,'Validador- Datos'!AS2:AV553,4,0),"Actividad economica NO existe - por favor verificar")))</f>
        <v/>
      </c>
      <c r="AR40" s="262"/>
      <c r="AS40" s="263"/>
      <c r="AT40" s="5"/>
      <c r="AU40" s="5"/>
      <c r="AV40" s="5"/>
      <c r="AW40" s="5"/>
      <c r="AX40" s="5"/>
      <c r="AY40" s="5"/>
      <c r="AZ40" s="5"/>
      <c r="BA40" s="5"/>
      <c r="BB40" s="5"/>
      <c r="BC40" s="250"/>
      <c r="BD40" s="5"/>
      <c r="BE40" s="5"/>
      <c r="BF40" s="25"/>
      <c r="BG40" s="124"/>
      <c r="BH40" s="25"/>
    </row>
    <row r="41" spans="1:107" ht="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25"/>
      <c r="BG41" s="124"/>
      <c r="BH41" s="25"/>
    </row>
    <row r="42" spans="1:107" ht="18.75" x14ac:dyDescent="0.25">
      <c r="A42" s="364" t="s">
        <v>3573</v>
      </c>
      <c r="B42" s="364"/>
      <c r="C42" s="364"/>
      <c r="D42" s="364"/>
      <c r="E42" s="364"/>
      <c r="F42" s="364"/>
      <c r="G42" s="364"/>
      <c r="H42" s="364"/>
      <c r="I42" s="364"/>
      <c r="J42" s="364"/>
      <c r="K42" s="364"/>
      <c r="L42" s="364"/>
      <c r="M42" s="364"/>
      <c r="N42" s="364"/>
      <c r="O42" s="364"/>
      <c r="P42" s="364"/>
      <c r="Q42" s="364"/>
      <c r="R42" s="364"/>
      <c r="S42" s="364"/>
      <c r="T42" s="364"/>
      <c r="U42" s="364"/>
      <c r="V42" s="364"/>
      <c r="W42" s="364"/>
      <c r="X42" s="364"/>
      <c r="Y42" s="364"/>
      <c r="Z42" s="364"/>
      <c r="AA42" s="364"/>
      <c r="AB42" s="364"/>
      <c r="AC42" s="364"/>
      <c r="AD42" s="364"/>
      <c r="AE42" s="364"/>
      <c r="AF42" s="364"/>
      <c r="AG42" s="364"/>
      <c r="AH42" s="364"/>
      <c r="AI42" s="364"/>
      <c r="AJ42" s="364"/>
      <c r="AK42" s="364"/>
      <c r="AL42" s="364"/>
      <c r="AM42" s="364"/>
      <c r="AN42" s="364"/>
      <c r="AO42" s="364"/>
      <c r="AP42" s="364"/>
      <c r="AQ42" s="364"/>
      <c r="AR42" s="364"/>
      <c r="AS42" s="364"/>
      <c r="AT42" s="364"/>
      <c r="AU42" s="364"/>
      <c r="AV42" s="364"/>
      <c r="AW42" s="364"/>
      <c r="AX42" s="364"/>
      <c r="AY42" s="364"/>
      <c r="AZ42" s="364"/>
      <c r="BA42" s="364"/>
      <c r="BB42" s="364"/>
      <c r="BC42" s="364"/>
      <c r="BD42" s="5"/>
      <c r="BE42" s="5"/>
      <c r="BF42" s="25"/>
      <c r="BG42" s="124"/>
      <c r="BH42" s="25"/>
    </row>
    <row r="43" spans="1:107" ht="15" customHeight="1" thickBo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25"/>
      <c r="BG43" s="124"/>
      <c r="BH43" s="25"/>
    </row>
    <row r="44" spans="1:107" ht="15" customHeight="1" thickTop="1" x14ac:dyDescent="0.25">
      <c r="A44" s="322" t="s">
        <v>1673</v>
      </c>
      <c r="B44" s="322"/>
      <c r="C44" s="322"/>
      <c r="D44" s="322"/>
      <c r="E44" s="5"/>
      <c r="F44" s="318" t="s">
        <v>3116</v>
      </c>
      <c r="G44" s="318"/>
      <c r="H44" s="318"/>
      <c r="I44" s="318"/>
      <c r="J44" s="5"/>
      <c r="K44" s="322" t="s">
        <v>3481</v>
      </c>
      <c r="L44" s="322"/>
      <c r="M44" s="322"/>
      <c r="N44" s="322"/>
      <c r="O44" s="322"/>
      <c r="P44" s="322"/>
      <c r="Q44" s="322"/>
      <c r="R44" s="322"/>
      <c r="S44" s="322"/>
      <c r="T44" s="322"/>
      <c r="U44" s="322"/>
      <c r="V44" s="5"/>
      <c r="W44" s="322" t="s">
        <v>5671</v>
      </c>
      <c r="X44" s="322"/>
      <c r="Y44" s="322"/>
      <c r="Z44" s="322"/>
      <c r="AA44" s="322"/>
      <c r="AB44" s="5"/>
      <c r="AC44" s="322" t="s">
        <v>3913</v>
      </c>
      <c r="AD44" s="322"/>
      <c r="AE44" s="322"/>
      <c r="AF44" s="322"/>
      <c r="AG44" s="322"/>
      <c r="AH44" s="322"/>
      <c r="AI44" s="322"/>
      <c r="AJ44" s="322"/>
      <c r="AK44" s="322"/>
      <c r="AL44" s="322"/>
      <c r="AM44" s="5"/>
      <c r="AN44" s="322" t="s">
        <v>3914</v>
      </c>
      <c r="AO44" s="322"/>
      <c r="AP44" s="322"/>
      <c r="AQ44" s="322"/>
      <c r="AR44" s="322"/>
      <c r="AS44" s="322"/>
      <c r="AT44" s="322"/>
      <c r="AU44" s="322"/>
      <c r="AV44" s="322"/>
      <c r="AW44" s="322"/>
      <c r="AX44" s="5"/>
      <c r="AY44" s="322" t="s">
        <v>3509</v>
      </c>
      <c r="AZ44" s="322"/>
      <c r="BA44" s="322"/>
      <c r="BB44" s="322"/>
      <c r="BC44" s="5"/>
      <c r="BD44" s="5"/>
      <c r="BE44" s="5"/>
      <c r="BF44" s="25"/>
      <c r="BG44" s="124"/>
      <c r="BH44" s="25"/>
    </row>
    <row r="45" spans="1:107" ht="9.6" customHeight="1" thickBo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370"/>
      <c r="AO45" s="370"/>
      <c r="AP45" s="370"/>
      <c r="AQ45" s="370"/>
      <c r="AR45" s="5"/>
      <c r="AS45" s="370"/>
      <c r="AT45" s="370"/>
      <c r="AU45" s="5"/>
      <c r="AV45" s="370"/>
      <c r="AW45" s="370"/>
      <c r="AX45" s="5"/>
      <c r="AY45" s="5"/>
      <c r="AZ45" s="5"/>
      <c r="BA45" s="5"/>
      <c r="BB45" s="5"/>
      <c r="BC45" s="5"/>
      <c r="BD45" s="5"/>
      <c r="BE45" s="5"/>
      <c r="BF45" s="25"/>
      <c r="BG45" s="124"/>
      <c r="BH45" s="25"/>
    </row>
    <row r="46" spans="1:107" ht="15" customHeight="1" thickBot="1" x14ac:dyDescent="0.3">
      <c r="A46" s="323"/>
      <c r="B46" s="324"/>
      <c r="C46" s="324"/>
      <c r="D46" s="325"/>
      <c r="F46" s="323"/>
      <c r="G46" s="324"/>
      <c r="H46" s="324"/>
      <c r="I46" s="325"/>
      <c r="K46" s="421"/>
      <c r="L46" s="422"/>
      <c r="M46" s="422"/>
      <c r="N46" s="422"/>
      <c r="O46" s="422"/>
      <c r="P46" s="422"/>
      <c r="Q46" s="422"/>
      <c r="R46" s="422"/>
      <c r="S46" s="422"/>
      <c r="T46" s="422"/>
      <c r="U46" s="423"/>
      <c r="W46" s="314" t="str">
        <f>'Validador- Datos'!L28</f>
        <v xml:space="preserve"> </v>
      </c>
      <c r="X46" s="315"/>
      <c r="Y46" s="315"/>
      <c r="Z46" s="315"/>
      <c r="AA46" s="326"/>
      <c r="AC46" s="319"/>
      <c r="AD46" s="320"/>
      <c r="AE46" s="320"/>
      <c r="AF46" s="320"/>
      <c r="AG46" s="320"/>
      <c r="AH46" s="320"/>
      <c r="AI46" s="320"/>
      <c r="AJ46" s="320"/>
      <c r="AK46" s="320"/>
      <c r="AL46" s="321"/>
      <c r="AN46" s="319"/>
      <c r="AO46" s="320"/>
      <c r="AP46" s="320"/>
      <c r="AQ46" s="320"/>
      <c r="AR46" s="320"/>
      <c r="AS46" s="320"/>
      <c r="AT46" s="320"/>
      <c r="AU46" s="320"/>
      <c r="AV46" s="320"/>
      <c r="AW46" s="321"/>
      <c r="AY46" s="323"/>
      <c r="AZ46" s="324"/>
      <c r="BA46" s="324"/>
      <c r="BB46" s="325"/>
      <c r="BD46" s="5"/>
      <c r="BE46" s="5"/>
      <c r="BF46" s="25"/>
      <c r="BG46" s="124"/>
      <c r="BH46" s="25"/>
    </row>
    <row r="47" spans="1:107" hidden="1" x14ac:dyDescent="0.25">
      <c r="A47" s="239"/>
      <c r="B47" s="239"/>
      <c r="C47" s="239"/>
      <c r="D47" s="239"/>
      <c r="E47" s="132"/>
      <c r="F47" s="424" t="str">
        <f>CONCATENATE(F46,G46,H46,I46)</f>
        <v/>
      </c>
      <c r="G47" s="424"/>
      <c r="H47" s="424"/>
      <c r="I47" s="424"/>
      <c r="J47" s="132"/>
      <c r="K47" s="142"/>
      <c r="L47" s="142"/>
      <c r="M47" s="142"/>
      <c r="N47" s="142"/>
      <c r="O47" s="142"/>
      <c r="P47" s="142"/>
      <c r="Q47" s="142"/>
      <c r="R47" s="142"/>
      <c r="S47" s="142"/>
      <c r="T47" s="142"/>
      <c r="U47" s="142"/>
      <c r="V47" s="132"/>
      <c r="W47" s="239"/>
      <c r="X47" s="239"/>
      <c r="Y47" s="239"/>
      <c r="Z47" s="239"/>
      <c r="AA47" s="239"/>
      <c r="AB47" s="132"/>
      <c r="AC47" s="398"/>
      <c r="AD47" s="398"/>
      <c r="AE47" s="398"/>
      <c r="AF47" s="398"/>
      <c r="AN47" s="398"/>
      <c r="AO47" s="398"/>
      <c r="AP47" s="398"/>
      <c r="AQ47" s="398"/>
      <c r="BD47" s="5"/>
      <c r="BE47" s="5"/>
      <c r="BF47" s="25"/>
      <c r="BG47" s="124"/>
      <c r="BH47" s="25"/>
    </row>
    <row r="48" spans="1:107" ht="15.75" thickBot="1" x14ac:dyDescent="0.3">
      <c r="A48" s="5"/>
      <c r="B48" s="5"/>
      <c r="C48" s="5"/>
      <c r="D48" s="5"/>
      <c r="E48" s="5"/>
      <c r="F48" s="5"/>
      <c r="G48" s="5"/>
      <c r="H48" s="5"/>
      <c r="I48" s="5"/>
      <c r="J48" s="5"/>
      <c r="K48" s="5"/>
      <c r="L48" s="5"/>
      <c r="M48" s="5"/>
      <c r="N48" s="5"/>
      <c r="O48" s="5"/>
      <c r="P48" s="5"/>
      <c r="Q48" s="5"/>
      <c r="R48" s="5"/>
      <c r="S48" s="5"/>
      <c r="T48" s="5"/>
      <c r="U48" s="5"/>
      <c r="V48" s="219"/>
      <c r="W48" s="219"/>
      <c r="X48" s="219"/>
      <c r="Y48" s="219"/>
      <c r="Z48" s="219"/>
      <c r="AA48" s="219"/>
      <c r="AB48" s="5"/>
      <c r="AC48" s="5"/>
      <c r="AD48" s="5"/>
      <c r="AE48" s="5"/>
      <c r="AF48" s="219"/>
      <c r="AG48" s="219"/>
      <c r="AH48" s="219"/>
      <c r="AI48" s="219"/>
      <c r="AJ48" s="219"/>
      <c r="AK48" s="219"/>
      <c r="AL48" s="219"/>
      <c r="AM48" s="5"/>
      <c r="AN48" s="5"/>
      <c r="AO48" s="5"/>
      <c r="AP48" s="5"/>
      <c r="AQ48" s="5"/>
      <c r="AR48" s="5"/>
      <c r="AS48" s="5"/>
      <c r="AT48" s="5"/>
      <c r="AU48" s="5"/>
      <c r="AV48" s="5"/>
      <c r="AW48" s="5"/>
      <c r="AX48" s="5"/>
      <c r="AY48" s="5"/>
      <c r="AZ48" s="5"/>
      <c r="BA48" s="5"/>
      <c r="BB48" s="5"/>
      <c r="BC48" s="5"/>
      <c r="BD48" s="5"/>
      <c r="BE48" s="5"/>
      <c r="BF48" s="25"/>
      <c r="BG48" s="124"/>
      <c r="BH48" s="25"/>
    </row>
    <row r="49" spans="1:107" ht="23.45" customHeight="1" thickTop="1" thickBot="1" x14ac:dyDescent="0.3">
      <c r="A49" s="279" t="s">
        <v>3574</v>
      </c>
      <c r="B49" s="279"/>
      <c r="C49" s="279"/>
      <c r="D49" s="279"/>
      <c r="E49" s="279"/>
      <c r="F49" s="279"/>
      <c r="G49" s="279"/>
      <c r="H49" s="279"/>
      <c r="I49" s="279"/>
      <c r="J49" s="279"/>
      <c r="K49" s="279"/>
      <c r="L49" s="279"/>
      <c r="M49" s="5"/>
      <c r="N49" s="279" t="s">
        <v>3575</v>
      </c>
      <c r="O49" s="279"/>
      <c r="P49" s="202"/>
      <c r="Q49" s="280" t="s">
        <v>3576</v>
      </c>
      <c r="R49" s="280"/>
      <c r="S49" s="280"/>
      <c r="T49" s="280"/>
      <c r="U49" s="202"/>
      <c r="V49" s="327" t="s">
        <v>5597</v>
      </c>
      <c r="W49" s="327"/>
      <c r="X49" s="327"/>
      <c r="Y49" s="327"/>
      <c r="Z49" s="327"/>
      <c r="AA49" s="327"/>
      <c r="AB49" s="202"/>
      <c r="AC49" s="279" t="s">
        <v>3577</v>
      </c>
      <c r="AD49" s="279"/>
      <c r="AE49" s="202"/>
      <c r="AF49" s="327" t="s">
        <v>3579</v>
      </c>
      <c r="AG49" s="327"/>
      <c r="AH49" s="327"/>
      <c r="AI49" s="327"/>
      <c r="AJ49" s="327"/>
      <c r="AK49" s="327"/>
      <c r="AL49" s="327"/>
      <c r="AM49" s="5"/>
      <c r="AN49" s="279" t="s">
        <v>3578</v>
      </c>
      <c r="AO49" s="279"/>
      <c r="AP49" s="202"/>
      <c r="AQ49" s="280" t="s">
        <v>3580</v>
      </c>
      <c r="AR49" s="280"/>
      <c r="AS49" s="280"/>
      <c r="AT49" s="280"/>
      <c r="AU49" s="280"/>
      <c r="AV49" s="280"/>
      <c r="AW49" s="5"/>
      <c r="AX49" s="281" t="s">
        <v>3510</v>
      </c>
      <c r="AY49" s="281"/>
      <c r="AZ49" s="281"/>
      <c r="BA49" s="281"/>
      <c r="BB49" s="281"/>
      <c r="BC49" s="281"/>
      <c r="BD49" s="5"/>
      <c r="BE49" s="5"/>
      <c r="BF49" s="25"/>
      <c r="BG49" s="124"/>
      <c r="BH49" s="25"/>
    </row>
    <row r="50" spans="1:107" ht="15.75" thickBot="1" x14ac:dyDescent="0.3">
      <c r="A50" s="428"/>
      <c r="B50" s="429"/>
      <c r="C50" s="429"/>
      <c r="D50" s="429"/>
      <c r="E50" s="429"/>
      <c r="F50" s="429"/>
      <c r="G50" s="429"/>
      <c r="H50" s="429"/>
      <c r="I50" s="429"/>
      <c r="J50" s="429"/>
      <c r="K50" s="429"/>
      <c r="L50" s="430"/>
      <c r="M50" s="5"/>
      <c r="N50" s="270"/>
      <c r="O50" s="272"/>
      <c r="P50" s="5"/>
      <c r="Q50" s="407"/>
      <c r="R50" s="408"/>
      <c r="S50" s="408"/>
      <c r="T50" s="409"/>
      <c r="U50" s="5"/>
      <c r="V50" s="270"/>
      <c r="W50" s="271"/>
      <c r="X50" s="271"/>
      <c r="Y50" s="271"/>
      <c r="Z50" s="271"/>
      <c r="AA50" s="272"/>
      <c r="AB50" s="250"/>
      <c r="AC50" s="270"/>
      <c r="AD50" s="272"/>
      <c r="AE50" s="5"/>
      <c r="AF50" s="395"/>
      <c r="AG50" s="396"/>
      <c r="AH50" s="396"/>
      <c r="AI50" s="396"/>
      <c r="AJ50" s="396"/>
      <c r="AK50" s="396"/>
      <c r="AL50" s="397"/>
      <c r="AM50" s="5"/>
      <c r="AN50" s="270"/>
      <c r="AO50" s="272"/>
      <c r="AP50" s="5"/>
      <c r="AQ50" s="395"/>
      <c r="AR50" s="396"/>
      <c r="AS50" s="396"/>
      <c r="AT50" s="396"/>
      <c r="AU50" s="396"/>
      <c r="AV50" s="397"/>
      <c r="AW50" s="5"/>
      <c r="AX50" s="323"/>
      <c r="AY50" s="352"/>
      <c r="AZ50" s="352"/>
      <c r="BA50" s="352"/>
      <c r="BB50" s="352"/>
      <c r="BC50" s="353"/>
      <c r="BD50" s="5"/>
      <c r="BE50" s="5"/>
      <c r="BF50" s="25"/>
      <c r="BG50" s="124"/>
      <c r="BH50" s="25"/>
    </row>
    <row r="51" spans="1:107" ht="7.15" customHeight="1" thickBot="1" x14ac:dyDescent="0.3">
      <c r="A51" s="206"/>
      <c r="B51" s="206"/>
      <c r="C51" s="206"/>
      <c r="D51" s="206"/>
      <c r="E51" s="206"/>
      <c r="F51" s="206"/>
      <c r="G51" s="206"/>
      <c r="H51" s="206"/>
      <c r="I51" s="206"/>
      <c r="J51" s="206"/>
      <c r="K51" s="206"/>
      <c r="L51" s="206"/>
      <c r="M51" s="5"/>
      <c r="N51" s="5"/>
      <c r="O51" s="237"/>
      <c r="P51" s="237"/>
      <c r="Q51" s="237"/>
      <c r="R51" s="237"/>
      <c r="S51" s="237"/>
      <c r="T51" s="237"/>
      <c r="U51" s="237"/>
      <c r="V51" s="237"/>
      <c r="W51" s="237"/>
      <c r="X51" s="237"/>
      <c r="Y51" s="237"/>
      <c r="Z51" s="237"/>
      <c r="AA51" s="5"/>
      <c r="AB51" s="5"/>
      <c r="AC51" s="5"/>
      <c r="AD51" s="237"/>
      <c r="AE51" s="237"/>
      <c r="AF51" s="237"/>
      <c r="AG51" s="237"/>
      <c r="AH51" s="237"/>
      <c r="AI51" s="237"/>
      <c r="AJ51" s="237"/>
      <c r="AK51" s="237"/>
      <c r="AL51" s="237"/>
      <c r="AM51" s="237"/>
      <c r="AN51" s="237"/>
      <c r="AO51" s="237"/>
      <c r="AP51" s="237"/>
      <c r="AQ51" s="5"/>
      <c r="AR51" s="5"/>
      <c r="AS51" s="237"/>
      <c r="AT51" s="237"/>
      <c r="AU51" s="237"/>
      <c r="AV51" s="237"/>
      <c r="AW51" s="237"/>
      <c r="AX51" s="237"/>
      <c r="AY51" s="237"/>
      <c r="AZ51" s="237"/>
      <c r="BA51" s="237"/>
      <c r="BB51" s="237"/>
      <c r="BC51" s="5"/>
      <c r="BD51" s="5"/>
      <c r="BE51" s="5"/>
      <c r="BF51" s="25"/>
      <c r="BG51" s="124"/>
      <c r="BH51" s="25"/>
    </row>
    <row r="52" spans="1:107" ht="16.5" customHeight="1" thickTop="1" thickBot="1" x14ac:dyDescent="0.3">
      <c r="A52" s="394" t="s">
        <v>3137</v>
      </c>
      <c r="B52" s="394"/>
      <c r="C52" s="394"/>
      <c r="D52" s="394"/>
      <c r="E52" s="394"/>
      <c r="F52" s="394"/>
      <c r="G52" s="394"/>
      <c r="H52" s="202"/>
      <c r="I52" s="5"/>
      <c r="J52" s="280" t="s">
        <v>3482</v>
      </c>
      <c r="K52" s="280"/>
      <c r="L52" s="280"/>
      <c r="M52" s="280"/>
      <c r="N52" s="280"/>
      <c r="O52" s="280"/>
      <c r="P52" s="280"/>
      <c r="Q52" s="280"/>
      <c r="R52" s="5"/>
      <c r="S52" s="280" t="s">
        <v>3483</v>
      </c>
      <c r="T52" s="280"/>
      <c r="U52" s="280"/>
      <c r="V52" s="280"/>
      <c r="W52" s="280"/>
      <c r="X52" s="280"/>
      <c r="Y52" s="250"/>
      <c r="Z52" s="280" t="s">
        <v>5592</v>
      </c>
      <c r="AA52" s="280"/>
      <c r="AB52" s="280"/>
      <c r="AC52" s="280"/>
      <c r="AD52" s="280"/>
      <c r="AE52" s="280"/>
      <c r="AF52" s="280"/>
      <c r="AG52" s="5"/>
      <c r="AH52" s="280" t="s">
        <v>5591</v>
      </c>
      <c r="AI52" s="280"/>
      <c r="AJ52" s="280"/>
      <c r="AK52" s="280"/>
      <c r="AL52" s="280"/>
      <c r="AM52" s="280"/>
      <c r="AN52" s="280"/>
      <c r="AO52" s="5"/>
      <c r="AP52" s="202" t="s">
        <v>3621</v>
      </c>
      <c r="AQ52" s="5"/>
      <c r="AR52" s="5"/>
      <c r="AS52" s="5"/>
      <c r="AT52" s="5"/>
      <c r="AU52" s="5"/>
      <c r="AV52" s="5"/>
      <c r="AW52" s="308">
        <f>ROUND(IF(AU39="RESPONSABLE IVA",(K46/1.19),IF('Validador- Datos'!BM2&gt;='Validador- Datos'!BL2,'Validador- Datos'!BN2,K46)),0)</f>
        <v>0</v>
      </c>
      <c r="AX52" s="309"/>
      <c r="AY52" s="309"/>
      <c r="AZ52" s="309"/>
      <c r="BA52" s="309"/>
      <c r="BB52" s="309"/>
      <c r="BC52" s="310"/>
      <c r="BD52" s="5"/>
      <c r="BE52" s="5"/>
      <c r="BF52" s="25"/>
      <c r="BG52" s="124"/>
      <c r="BH52" s="25"/>
    </row>
    <row r="53" spans="1:107" ht="17.25" customHeight="1" thickBot="1" x14ac:dyDescent="0.3">
      <c r="A53" s="415"/>
      <c r="B53" s="416"/>
      <c r="C53" s="416"/>
      <c r="D53" s="416"/>
      <c r="E53" s="416"/>
      <c r="F53" s="416"/>
      <c r="G53" s="417"/>
      <c r="H53" s="236" t="str">
        <f>_xlfn.IFNA(VLOOKUP(A53,ÁREA[#All],2,FALSE),"")</f>
        <v/>
      </c>
      <c r="I53" s="5"/>
      <c r="J53" s="270"/>
      <c r="K53" s="271"/>
      <c r="L53" s="271"/>
      <c r="M53" s="271"/>
      <c r="N53" s="271"/>
      <c r="O53" s="271"/>
      <c r="P53" s="271"/>
      <c r="Q53" s="272"/>
      <c r="R53" s="5"/>
      <c r="S53" s="270"/>
      <c r="T53" s="271"/>
      <c r="U53" s="271"/>
      <c r="V53" s="271"/>
      <c r="W53" s="271"/>
      <c r="X53" s="272"/>
      <c r="Y53" s="250"/>
      <c r="Z53" s="270"/>
      <c r="AA53" s="271"/>
      <c r="AB53" s="271"/>
      <c r="AC53" s="271"/>
      <c r="AD53" s="271"/>
      <c r="AE53" s="271"/>
      <c r="AF53" s="272"/>
      <c r="AG53" s="5"/>
      <c r="AH53" s="270"/>
      <c r="AI53" s="271"/>
      <c r="AJ53" s="271"/>
      <c r="AK53" s="271"/>
      <c r="AL53" s="271"/>
      <c r="AM53" s="271"/>
      <c r="AN53" s="272"/>
      <c r="AO53" s="5"/>
      <c r="AP53" s="202" t="s">
        <v>3622</v>
      </c>
      <c r="AQ53" s="5"/>
      <c r="AR53" s="5"/>
      <c r="AS53" s="5"/>
      <c r="AT53" s="5"/>
      <c r="AU53" s="5"/>
      <c r="AV53" s="5"/>
      <c r="AW53" s="311">
        <f>ROUND(IF(K46&lt;&gt;AW52,AW52*0.19,0),0)</f>
        <v>0</v>
      </c>
      <c r="AX53" s="312"/>
      <c r="AY53" s="312"/>
      <c r="AZ53" s="312"/>
      <c r="BA53" s="312"/>
      <c r="BB53" s="312"/>
      <c r="BC53" s="313"/>
      <c r="BD53" s="5"/>
      <c r="BE53" s="5"/>
      <c r="BF53" s="25"/>
      <c r="BG53" s="124"/>
      <c r="BH53" s="25"/>
    </row>
    <row r="54" spans="1:107" ht="9" customHeight="1" x14ac:dyDescent="0.25">
      <c r="A54" s="5"/>
      <c r="B54" s="5"/>
      <c r="C54" s="5"/>
      <c r="D54" s="5"/>
      <c r="E54" s="5"/>
      <c r="F54" s="5"/>
      <c r="G54" s="5"/>
      <c r="H54" s="5"/>
      <c r="I54" s="5"/>
      <c r="J54" s="5"/>
      <c r="K54" s="5"/>
      <c r="L54" s="5"/>
      <c r="M54" s="5"/>
      <c r="N54" s="237"/>
      <c r="O54" s="237"/>
      <c r="P54" s="5"/>
      <c r="Q54" s="207"/>
      <c r="R54" s="207"/>
      <c r="S54" s="207"/>
      <c r="T54" s="207"/>
      <c r="U54" s="5"/>
      <c r="V54" s="237"/>
      <c r="W54" s="237"/>
      <c r="X54" s="5"/>
      <c r="Y54" s="207"/>
      <c r="Z54" s="207"/>
      <c r="AA54" s="207"/>
      <c r="AB54" s="207"/>
      <c r="AC54" s="207"/>
      <c r="AD54" s="207"/>
      <c r="AE54" s="5"/>
      <c r="AF54" s="237"/>
      <c r="AG54" s="237"/>
      <c r="AH54" s="5"/>
      <c r="AI54" s="207"/>
      <c r="AJ54" s="207"/>
      <c r="AK54" s="207"/>
      <c r="AL54" s="207"/>
      <c r="AM54" s="207"/>
      <c r="AN54" s="207"/>
      <c r="AO54" s="5"/>
      <c r="AP54" s="5"/>
      <c r="AQ54" s="5"/>
      <c r="AR54" s="5"/>
      <c r="AS54" s="5"/>
      <c r="AT54" s="5"/>
      <c r="AU54" s="5"/>
      <c r="AV54" s="5"/>
      <c r="AW54" s="5"/>
      <c r="AX54" s="5"/>
      <c r="AY54" s="5"/>
      <c r="AZ54" s="5"/>
      <c r="BA54" s="5"/>
      <c r="BB54" s="5"/>
      <c r="BC54" s="5"/>
      <c r="BD54" s="5"/>
      <c r="BE54" s="5"/>
      <c r="BF54" s="25"/>
      <c r="BG54" s="124"/>
      <c r="BH54" s="25"/>
    </row>
    <row r="55" spans="1:107" ht="9" customHeight="1" x14ac:dyDescent="0.25">
      <c r="A55" s="5"/>
      <c r="B55" s="5"/>
      <c r="C55" s="5"/>
      <c r="D55" s="5"/>
      <c r="E55" s="5"/>
      <c r="F55" s="5"/>
      <c r="G55" s="5"/>
      <c r="H55" s="5"/>
      <c r="I55" s="5"/>
      <c r="J55" s="5"/>
      <c r="K55" s="5"/>
      <c r="L55" s="5"/>
      <c r="M55" s="5"/>
      <c r="N55" s="237"/>
      <c r="O55" s="237"/>
      <c r="P55" s="5"/>
      <c r="Q55" s="207"/>
      <c r="R55" s="207"/>
      <c r="S55" s="207"/>
      <c r="T55" s="207"/>
      <c r="U55" s="5"/>
      <c r="V55" s="237"/>
      <c r="W55" s="237"/>
      <c r="X55" s="5"/>
      <c r="Y55" s="207"/>
      <c r="Z55" s="207"/>
      <c r="AA55" s="207"/>
      <c r="AB55" s="207"/>
      <c r="AC55" s="207"/>
      <c r="AD55" s="207"/>
      <c r="AE55" s="5"/>
      <c r="AF55" s="237"/>
      <c r="AG55" s="237"/>
      <c r="AH55" s="5"/>
      <c r="AI55" s="207"/>
      <c r="AJ55" s="207"/>
      <c r="AK55" s="207"/>
      <c r="AL55" s="207"/>
      <c r="AM55" s="207"/>
      <c r="AN55" s="207"/>
      <c r="AO55" s="5"/>
      <c r="AP55" s="5"/>
      <c r="AQ55" s="5"/>
      <c r="AR55" s="5"/>
      <c r="AS55" s="5"/>
      <c r="AT55" s="5"/>
      <c r="AU55" s="5"/>
      <c r="AV55" s="5"/>
      <c r="AW55" s="5"/>
      <c r="AX55" s="5"/>
      <c r="AY55" s="5"/>
      <c r="AZ55" s="5"/>
      <c r="BA55" s="5"/>
      <c r="BB55" s="5"/>
      <c r="BC55" s="5"/>
      <c r="BD55" s="5"/>
      <c r="BE55" s="5"/>
      <c r="BF55" s="25"/>
      <c r="BG55" s="124"/>
      <c r="BH55" s="25"/>
    </row>
    <row r="56" spans="1:107" ht="15" customHeight="1" x14ac:dyDescent="0.25">
      <c r="A56" s="364"/>
      <c r="B56" s="364"/>
      <c r="C56" s="364"/>
      <c r="D56" s="364"/>
      <c r="E56" s="364"/>
      <c r="F56" s="364"/>
      <c r="G56" s="364"/>
      <c r="H56" s="364"/>
      <c r="I56" s="364"/>
      <c r="J56" s="364"/>
      <c r="K56" s="364"/>
      <c r="L56" s="364"/>
      <c r="M56" s="364"/>
      <c r="N56" s="364"/>
      <c r="O56" s="364"/>
      <c r="P56" s="364"/>
      <c r="Q56" s="364"/>
      <c r="R56" s="364"/>
      <c r="S56" s="364"/>
      <c r="T56" s="364"/>
      <c r="U56" s="364"/>
      <c r="V56" s="364"/>
      <c r="W56" s="364"/>
      <c r="X56" s="364"/>
      <c r="Y56" s="364"/>
      <c r="Z56" s="364"/>
      <c r="AA56" s="364"/>
      <c r="AB56" s="364"/>
      <c r="AC56" s="364"/>
      <c r="AD56" s="364"/>
      <c r="AE56" s="364"/>
      <c r="AF56" s="364"/>
      <c r="AG56" s="364"/>
      <c r="AH56" s="364"/>
      <c r="AI56" s="364"/>
      <c r="AJ56" s="364"/>
      <c r="AK56" s="364"/>
      <c r="AL56" s="364"/>
      <c r="AM56" s="364"/>
      <c r="AN56" s="364"/>
      <c r="AO56" s="364"/>
      <c r="AP56" s="364"/>
      <c r="AQ56" s="364"/>
      <c r="AR56" s="364"/>
      <c r="AS56" s="364"/>
      <c r="AT56" s="364"/>
      <c r="AU56" s="364"/>
      <c r="AV56" s="364"/>
      <c r="AW56" s="364"/>
      <c r="AX56" s="364"/>
      <c r="AY56" s="364"/>
      <c r="AZ56" s="364"/>
      <c r="BA56" s="364"/>
      <c r="BB56" s="364"/>
      <c r="BC56" s="364"/>
      <c r="BD56" s="5"/>
      <c r="BE56" s="5"/>
      <c r="BF56" s="25"/>
      <c r="BG56" s="124"/>
      <c r="BH56" s="25"/>
    </row>
    <row r="57" spans="1:107" ht="8.2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25"/>
      <c r="BG57" s="124"/>
      <c r="BH57" s="25"/>
    </row>
    <row r="58" spans="1:107" ht="18.75" x14ac:dyDescent="0.25">
      <c r="A58" s="364" t="s">
        <v>3584</v>
      </c>
      <c r="B58" s="364"/>
      <c r="C58" s="364"/>
      <c r="D58" s="364"/>
      <c r="E58" s="364"/>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5"/>
      <c r="BE58" s="5"/>
      <c r="BF58" s="25"/>
      <c r="BG58" s="124"/>
      <c r="BH58" s="25"/>
    </row>
    <row r="59" spans="1:107" ht="18.75" x14ac:dyDescent="0.25">
      <c r="A59" s="364" t="s">
        <v>3633</v>
      </c>
      <c r="B59" s="364"/>
      <c r="C59" s="364"/>
      <c r="D59" s="364"/>
      <c r="E59" s="364"/>
      <c r="F59" s="364"/>
      <c r="G59" s="364"/>
      <c r="H59" s="364"/>
      <c r="I59" s="364"/>
      <c r="J59" s="364"/>
      <c r="K59" s="364"/>
      <c r="L59" s="364"/>
      <c r="M59" s="364"/>
      <c r="N59" s="364"/>
      <c r="O59" s="364"/>
      <c r="P59" s="364"/>
      <c r="Q59" s="364"/>
      <c r="R59" s="364"/>
      <c r="S59" s="364"/>
      <c r="T59" s="364"/>
      <c r="U59" s="364"/>
      <c r="V59" s="364"/>
      <c r="W59" s="364"/>
      <c r="X59" s="364"/>
      <c r="Y59" s="364"/>
      <c r="Z59" s="364"/>
      <c r="AA59" s="364"/>
      <c r="AB59" s="364"/>
      <c r="AC59" s="364"/>
      <c r="AD59" s="364"/>
      <c r="AE59" s="364"/>
      <c r="AF59" s="364"/>
      <c r="AG59" s="364"/>
      <c r="AH59" s="364"/>
      <c r="AI59" s="364"/>
      <c r="AJ59" s="364"/>
      <c r="AK59" s="364"/>
      <c r="AL59" s="364"/>
      <c r="AM59" s="364"/>
      <c r="AN59" s="364"/>
      <c r="AO59" s="364"/>
      <c r="AP59" s="364"/>
      <c r="AQ59" s="364"/>
      <c r="AR59" s="364"/>
      <c r="AS59" s="364"/>
      <c r="AT59" s="364"/>
      <c r="AU59" s="364"/>
      <c r="AV59" s="364"/>
      <c r="AW59" s="364"/>
      <c r="AX59" s="364"/>
      <c r="AY59" s="364"/>
      <c r="AZ59" s="364"/>
      <c r="BA59" s="364"/>
      <c r="BB59" s="364"/>
      <c r="BC59" s="364"/>
      <c r="BD59" s="5"/>
      <c r="BE59" s="5"/>
      <c r="BF59" s="25"/>
      <c r="BG59" s="124"/>
      <c r="BH59" s="25"/>
    </row>
    <row r="60" spans="1:107" s="6" customFormat="1" ht="6.75" customHeight="1" x14ac:dyDescent="0.25">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c r="BF60" s="26"/>
      <c r="BG60" s="139"/>
      <c r="BH60" s="26"/>
      <c r="BI60" s="249"/>
      <c r="BJ60" s="249"/>
      <c r="BK60" s="249"/>
      <c r="BL60" s="249"/>
      <c r="BM60" s="249"/>
      <c r="BN60" s="249"/>
      <c r="BO60" s="249"/>
      <c r="BP60" s="249"/>
      <c r="BQ60" s="249"/>
      <c r="BR60" s="249"/>
      <c r="BS60" s="249"/>
      <c r="BT60" s="249"/>
      <c r="BU60" s="249"/>
      <c r="BV60" s="249"/>
      <c r="BW60" s="249"/>
      <c r="BX60" s="249"/>
      <c r="BY60" s="249"/>
      <c r="BZ60" s="249"/>
      <c r="CA60" s="249"/>
      <c r="CB60" s="249"/>
      <c r="CC60" s="249"/>
      <c r="CD60" s="249"/>
      <c r="CE60" s="249"/>
      <c r="CF60" s="249"/>
      <c r="CG60" s="249"/>
      <c r="CH60" s="249"/>
      <c r="CI60" s="249"/>
      <c r="CJ60" s="249"/>
      <c r="CK60" s="249"/>
      <c r="CL60" s="249"/>
      <c r="CM60" s="249"/>
      <c r="CN60" s="249"/>
      <c r="CO60" s="249"/>
      <c r="CP60" s="249"/>
      <c r="CQ60" s="249"/>
      <c r="CR60" s="249"/>
      <c r="CS60" s="249"/>
      <c r="CT60" s="249"/>
      <c r="CU60" s="249"/>
      <c r="CV60" s="249"/>
      <c r="CW60" s="249"/>
      <c r="CX60" s="249"/>
      <c r="CY60" s="249"/>
      <c r="CZ60" s="249"/>
      <c r="DA60" s="249"/>
      <c r="DB60" s="249"/>
      <c r="DC60" s="249"/>
    </row>
    <row r="61" spans="1:107" s="6" customFormat="1" x14ac:dyDescent="0.25">
      <c r="A61" s="204" t="s">
        <v>1669</v>
      </c>
      <c r="B61" s="204"/>
      <c r="C61" s="264" t="s">
        <v>5596</v>
      </c>
      <c r="D61" s="265"/>
      <c r="E61" s="265"/>
      <c r="F61" s="265"/>
      <c r="G61" s="265"/>
      <c r="H61" s="265"/>
      <c r="I61" s="265"/>
      <c r="J61" s="265"/>
      <c r="K61" s="265"/>
      <c r="L61" s="265"/>
      <c r="M61" s="265"/>
      <c r="N61" s="265"/>
      <c r="O61" s="265"/>
      <c r="P61" s="265"/>
      <c r="Q61" s="265"/>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65"/>
      <c r="AP61" s="265"/>
      <c r="AQ61" s="265"/>
      <c r="AR61" s="265"/>
      <c r="AS61" s="265"/>
      <c r="AT61" s="265"/>
      <c r="AU61" s="265"/>
      <c r="AV61" s="265"/>
      <c r="AW61" s="265"/>
      <c r="AX61" s="265"/>
      <c r="AY61" s="266"/>
      <c r="AZ61" s="241" t="s">
        <v>1670</v>
      </c>
      <c r="BA61" s="7"/>
      <c r="BB61" s="241" t="s">
        <v>1671</v>
      </c>
      <c r="BC61" s="7"/>
      <c r="BD61" s="204"/>
      <c r="BE61" s="204"/>
      <c r="BF61" s="26"/>
      <c r="BG61" s="139"/>
      <c r="BH61" s="26"/>
      <c r="BI61" s="249"/>
      <c r="BJ61" s="249"/>
      <c r="BK61" s="249"/>
      <c r="BL61" s="249"/>
      <c r="BM61" s="249"/>
      <c r="BN61" s="249"/>
      <c r="BO61" s="249"/>
      <c r="BP61" s="249"/>
      <c r="BQ61" s="249"/>
      <c r="BR61" s="249"/>
      <c r="BS61" s="249"/>
      <c r="BT61" s="249"/>
      <c r="BU61" s="249"/>
      <c r="BV61" s="249"/>
      <c r="BW61" s="249"/>
      <c r="BX61" s="249"/>
      <c r="BY61" s="249"/>
      <c r="BZ61" s="249"/>
      <c r="CA61" s="249"/>
      <c r="CB61" s="249"/>
      <c r="CC61" s="249"/>
      <c r="CD61" s="249"/>
      <c r="CE61" s="249"/>
      <c r="CF61" s="249"/>
      <c r="CG61" s="249"/>
      <c r="CH61" s="249"/>
      <c r="CI61" s="249"/>
      <c r="CJ61" s="249"/>
      <c r="CK61" s="249"/>
      <c r="CL61" s="249"/>
      <c r="CM61" s="249"/>
      <c r="CN61" s="249"/>
      <c r="CO61" s="249"/>
      <c r="CP61" s="249"/>
      <c r="CQ61" s="249"/>
      <c r="CR61" s="249"/>
      <c r="CS61" s="249"/>
      <c r="CT61" s="249"/>
      <c r="CU61" s="249"/>
      <c r="CV61" s="249"/>
      <c r="CW61" s="249"/>
      <c r="CX61" s="249"/>
      <c r="CY61" s="249"/>
      <c r="CZ61" s="249"/>
      <c r="DA61" s="249"/>
      <c r="DB61" s="249"/>
      <c r="DC61" s="249"/>
    </row>
    <row r="62" spans="1:107" s="6" customFormat="1" ht="15" customHeight="1" x14ac:dyDescent="0.25">
      <c r="A62" s="204"/>
      <c r="B62" s="204"/>
      <c r="C62" s="267"/>
      <c r="D62" s="268"/>
      <c r="E62" s="268"/>
      <c r="F62" s="268"/>
      <c r="G62" s="268"/>
      <c r="H62" s="268"/>
      <c r="I62" s="268"/>
      <c r="J62" s="268"/>
      <c r="K62" s="268"/>
      <c r="L62" s="268"/>
      <c r="M62" s="268"/>
      <c r="N62" s="268"/>
      <c r="O62" s="268"/>
      <c r="P62" s="268"/>
      <c r="Q62" s="268"/>
      <c r="R62" s="268"/>
      <c r="S62" s="268"/>
      <c r="T62" s="268"/>
      <c r="U62" s="268"/>
      <c r="V62" s="268"/>
      <c r="W62" s="268"/>
      <c r="X62" s="268"/>
      <c r="Y62" s="268"/>
      <c r="Z62" s="268"/>
      <c r="AA62" s="268"/>
      <c r="AB62" s="268"/>
      <c r="AC62" s="268"/>
      <c r="AD62" s="268"/>
      <c r="AE62" s="268"/>
      <c r="AF62" s="268"/>
      <c r="AG62" s="268"/>
      <c r="AH62" s="268"/>
      <c r="AI62" s="268"/>
      <c r="AJ62" s="268"/>
      <c r="AK62" s="268"/>
      <c r="AL62" s="268"/>
      <c r="AM62" s="268"/>
      <c r="AN62" s="268"/>
      <c r="AO62" s="268"/>
      <c r="AP62" s="268"/>
      <c r="AQ62" s="268"/>
      <c r="AR62" s="268"/>
      <c r="AS62" s="268"/>
      <c r="AT62" s="268"/>
      <c r="AU62" s="268"/>
      <c r="AV62" s="268"/>
      <c r="AW62" s="268"/>
      <c r="AX62" s="268"/>
      <c r="AY62" s="269"/>
      <c r="AZ62" s="241"/>
      <c r="BA62" s="204"/>
      <c r="BB62" s="241"/>
      <c r="BC62" s="204"/>
      <c r="BD62" s="204"/>
      <c r="BE62" s="204"/>
      <c r="BF62" s="26"/>
      <c r="BG62" s="139"/>
      <c r="BH62" s="26"/>
      <c r="BI62" s="249"/>
      <c r="BJ62" s="249"/>
      <c r="BK62" s="249"/>
      <c r="BL62" s="249"/>
      <c r="BM62" s="249"/>
      <c r="BN62" s="249"/>
      <c r="BO62" s="249"/>
      <c r="BP62" s="249"/>
      <c r="BQ62" s="249"/>
      <c r="BR62" s="249"/>
      <c r="BS62" s="249"/>
      <c r="BT62" s="249"/>
      <c r="BU62" s="249"/>
      <c r="BV62" s="249"/>
      <c r="BW62" s="249"/>
      <c r="BX62" s="249"/>
      <c r="BY62" s="249"/>
      <c r="BZ62" s="249"/>
      <c r="CA62" s="249"/>
      <c r="CB62" s="249"/>
      <c r="CC62" s="249"/>
      <c r="CD62" s="249"/>
      <c r="CE62" s="249"/>
      <c r="CF62" s="249"/>
      <c r="CG62" s="249"/>
      <c r="CH62" s="249"/>
      <c r="CI62" s="249"/>
      <c r="CJ62" s="249"/>
      <c r="CK62" s="249"/>
      <c r="CL62" s="249"/>
      <c r="CM62" s="249"/>
      <c r="CN62" s="249"/>
      <c r="CO62" s="249"/>
      <c r="CP62" s="249"/>
      <c r="CQ62" s="249"/>
      <c r="CR62" s="249"/>
      <c r="CS62" s="249"/>
      <c r="CT62" s="249"/>
      <c r="CU62" s="249"/>
      <c r="CV62" s="249"/>
      <c r="CW62" s="249"/>
      <c r="CX62" s="249"/>
      <c r="CY62" s="249"/>
      <c r="CZ62" s="249"/>
      <c r="DA62" s="249"/>
      <c r="DB62" s="249"/>
      <c r="DC62" s="249"/>
    </row>
    <row r="63" spans="1:107" s="6" customFormat="1" ht="6.75" customHeight="1" x14ac:dyDescent="0.25">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41"/>
      <c r="BB63" s="241"/>
      <c r="BC63" s="204"/>
      <c r="BD63" s="204"/>
      <c r="BE63" s="204"/>
      <c r="BF63" s="26"/>
      <c r="BG63" s="139"/>
      <c r="BH63" s="26"/>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c r="CP63" s="249"/>
      <c r="CQ63" s="249"/>
      <c r="CR63" s="249"/>
      <c r="CS63" s="249"/>
      <c r="CT63" s="249"/>
      <c r="CU63" s="249"/>
      <c r="CV63" s="249"/>
      <c r="CW63" s="249"/>
      <c r="CX63" s="249"/>
      <c r="CY63" s="249"/>
      <c r="CZ63" s="249"/>
      <c r="DA63" s="249"/>
      <c r="DB63" s="249"/>
      <c r="DC63" s="249"/>
    </row>
    <row r="64" spans="1:107" s="6" customFormat="1" ht="15" customHeight="1" x14ac:dyDescent="0.25">
      <c r="A64" s="204" t="s">
        <v>1672</v>
      </c>
      <c r="B64" s="204"/>
      <c r="C64" s="264" t="s">
        <v>5595</v>
      </c>
      <c r="D64" s="265"/>
      <c r="E64" s="265"/>
      <c r="F64" s="265"/>
      <c r="G64" s="265"/>
      <c r="H64" s="265"/>
      <c r="I64" s="265"/>
      <c r="J64" s="265"/>
      <c r="K64" s="265"/>
      <c r="L64" s="265"/>
      <c r="M64" s="265"/>
      <c r="N64" s="265"/>
      <c r="O64" s="265"/>
      <c r="P64" s="265"/>
      <c r="Q64" s="265"/>
      <c r="R64" s="265"/>
      <c r="S64" s="265"/>
      <c r="T64" s="265"/>
      <c r="U64" s="265"/>
      <c r="V64" s="265"/>
      <c r="W64" s="265"/>
      <c r="X64" s="265"/>
      <c r="Y64" s="265"/>
      <c r="Z64" s="265"/>
      <c r="AA64" s="265"/>
      <c r="AB64" s="265"/>
      <c r="AC64" s="265"/>
      <c r="AD64" s="265"/>
      <c r="AE64" s="265"/>
      <c r="AF64" s="265"/>
      <c r="AG64" s="265"/>
      <c r="AH64" s="265"/>
      <c r="AI64" s="265"/>
      <c r="AJ64" s="265"/>
      <c r="AK64" s="265"/>
      <c r="AL64" s="265"/>
      <c r="AM64" s="265"/>
      <c r="AN64" s="265"/>
      <c r="AO64" s="265"/>
      <c r="AP64" s="265"/>
      <c r="AQ64" s="265"/>
      <c r="AR64" s="265"/>
      <c r="AS64" s="265"/>
      <c r="AT64" s="265"/>
      <c r="AU64" s="265"/>
      <c r="AV64" s="265"/>
      <c r="AW64" s="265"/>
      <c r="AX64" s="265"/>
      <c r="AY64" s="266"/>
      <c r="AZ64" s="241" t="s">
        <v>1670</v>
      </c>
      <c r="BA64" s="7"/>
      <c r="BB64" s="241" t="s">
        <v>1671</v>
      </c>
      <c r="BC64" s="232"/>
      <c r="BD64" s="204"/>
      <c r="BE64" s="204"/>
      <c r="BF64" s="26"/>
      <c r="BG64" s="139"/>
      <c r="BH64" s="26"/>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c r="CN64" s="249"/>
      <c r="CO64" s="249"/>
      <c r="CP64" s="249"/>
      <c r="CQ64" s="249"/>
      <c r="CR64" s="249"/>
      <c r="CS64" s="249"/>
      <c r="CT64" s="249"/>
      <c r="CU64" s="249"/>
      <c r="CV64" s="249"/>
      <c r="CW64" s="249"/>
      <c r="CX64" s="249"/>
      <c r="CY64" s="249"/>
      <c r="CZ64" s="249"/>
      <c r="DA64" s="249"/>
      <c r="DB64" s="249"/>
      <c r="DC64" s="249"/>
    </row>
    <row r="65" spans="1:107" s="6" customFormat="1" ht="5.25" customHeight="1" x14ac:dyDescent="0.25">
      <c r="A65" s="204"/>
      <c r="B65" s="204"/>
      <c r="C65" s="267"/>
      <c r="D65" s="268"/>
      <c r="E65" s="268"/>
      <c r="F65" s="268"/>
      <c r="G65" s="268"/>
      <c r="H65" s="268"/>
      <c r="I65" s="268"/>
      <c r="J65" s="268"/>
      <c r="K65" s="268"/>
      <c r="L65" s="268"/>
      <c r="M65" s="268"/>
      <c r="N65" s="268"/>
      <c r="O65" s="268"/>
      <c r="P65" s="268"/>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8"/>
      <c r="AN65" s="268"/>
      <c r="AO65" s="268"/>
      <c r="AP65" s="268"/>
      <c r="AQ65" s="268"/>
      <c r="AR65" s="268"/>
      <c r="AS65" s="268"/>
      <c r="AT65" s="268"/>
      <c r="AU65" s="268"/>
      <c r="AV65" s="268"/>
      <c r="AW65" s="268"/>
      <c r="AX65" s="268"/>
      <c r="AY65" s="269"/>
      <c r="AZ65" s="241"/>
      <c r="BA65" s="204"/>
      <c r="BB65" s="204"/>
      <c r="BC65" s="204"/>
      <c r="BD65" s="204"/>
      <c r="BE65" s="204"/>
      <c r="BF65" s="26"/>
      <c r="BG65" s="139"/>
      <c r="BH65" s="26"/>
      <c r="BI65" s="249"/>
      <c r="BJ65" s="249"/>
      <c r="BK65" s="249"/>
      <c r="BL65" s="249"/>
      <c r="BM65" s="249"/>
      <c r="BN65" s="249"/>
      <c r="BO65" s="249"/>
      <c r="BP65" s="249"/>
      <c r="BQ65" s="249"/>
      <c r="BR65" s="249"/>
      <c r="BS65" s="249"/>
      <c r="BT65" s="249"/>
      <c r="BU65" s="249"/>
      <c r="BV65" s="249"/>
      <c r="BW65" s="249"/>
      <c r="BX65" s="249"/>
      <c r="BY65" s="249"/>
      <c r="BZ65" s="249"/>
      <c r="CA65" s="249"/>
      <c r="CB65" s="249"/>
      <c r="CC65" s="249"/>
      <c r="CD65" s="249"/>
      <c r="CE65" s="249"/>
      <c r="CF65" s="249"/>
      <c r="CG65" s="249"/>
      <c r="CH65" s="249"/>
      <c r="CI65" s="249"/>
      <c r="CJ65" s="249"/>
      <c r="CK65" s="249"/>
      <c r="CL65" s="249"/>
      <c r="CM65" s="249"/>
      <c r="CN65" s="249"/>
      <c r="CO65" s="249"/>
      <c r="CP65" s="249"/>
      <c r="CQ65" s="249"/>
      <c r="CR65" s="249"/>
      <c r="CS65" s="249"/>
      <c r="CT65" s="249"/>
      <c r="CU65" s="249"/>
      <c r="CV65" s="249"/>
      <c r="CW65" s="249"/>
      <c r="CX65" s="249"/>
      <c r="CY65" s="249"/>
      <c r="CZ65" s="249"/>
      <c r="DA65" s="249"/>
      <c r="DB65" s="249"/>
      <c r="DC65" s="249"/>
    </row>
    <row r="66" spans="1:107" s="6" customFormat="1" ht="6" customHeight="1" x14ac:dyDescent="0.25">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c r="BF66" s="26"/>
      <c r="BG66" s="139"/>
      <c r="BH66" s="26"/>
      <c r="BI66" s="249"/>
      <c r="BJ66" s="249"/>
      <c r="BK66" s="249"/>
      <c r="BL66" s="249"/>
      <c r="BM66" s="249"/>
      <c r="BN66" s="249"/>
      <c r="BO66" s="249"/>
      <c r="BP66" s="249"/>
      <c r="BQ66" s="249"/>
      <c r="BR66" s="249"/>
      <c r="BS66" s="249"/>
      <c r="BT66" s="249"/>
      <c r="BU66" s="249"/>
      <c r="BV66" s="249"/>
      <c r="BW66" s="249"/>
      <c r="BX66" s="249"/>
      <c r="BY66" s="249"/>
      <c r="BZ66" s="249"/>
      <c r="CA66" s="249"/>
      <c r="CB66" s="249"/>
      <c r="CC66" s="249"/>
      <c r="CD66" s="249"/>
      <c r="CE66" s="249"/>
      <c r="CF66" s="249"/>
      <c r="CG66" s="249"/>
      <c r="CH66" s="249"/>
      <c r="CI66" s="249"/>
      <c r="CJ66" s="249"/>
      <c r="CK66" s="249"/>
      <c r="CL66" s="249"/>
      <c r="CM66" s="249"/>
      <c r="CN66" s="249"/>
      <c r="CO66" s="249"/>
      <c r="CP66" s="249"/>
      <c r="CQ66" s="249"/>
      <c r="CR66" s="249"/>
      <c r="CS66" s="249"/>
      <c r="CT66" s="249"/>
      <c r="CU66" s="249"/>
      <c r="CV66" s="249"/>
      <c r="CW66" s="249"/>
      <c r="CX66" s="249"/>
      <c r="CY66" s="249"/>
      <c r="CZ66" s="249"/>
      <c r="DA66" s="249"/>
      <c r="DB66" s="249"/>
      <c r="DC66" s="249"/>
    </row>
    <row r="67" spans="1:107" s="6" customFormat="1" x14ac:dyDescent="0.25">
      <c r="A67" s="204" t="s">
        <v>3513</v>
      </c>
      <c r="B67" s="204"/>
      <c r="C67" s="264" t="s">
        <v>5605</v>
      </c>
      <c r="D67" s="265"/>
      <c r="E67" s="265"/>
      <c r="F67" s="265"/>
      <c r="G67" s="265"/>
      <c r="H67" s="265"/>
      <c r="I67" s="265"/>
      <c r="J67" s="265"/>
      <c r="K67" s="265"/>
      <c r="L67" s="265"/>
      <c r="M67" s="265"/>
      <c r="N67" s="265"/>
      <c r="O67" s="265"/>
      <c r="P67" s="265"/>
      <c r="Q67" s="265"/>
      <c r="R67" s="265"/>
      <c r="S67" s="265"/>
      <c r="T67" s="265"/>
      <c r="U67" s="265"/>
      <c r="V67" s="265"/>
      <c r="W67" s="265"/>
      <c r="X67" s="265"/>
      <c r="Y67" s="265"/>
      <c r="Z67" s="265"/>
      <c r="AA67" s="265"/>
      <c r="AB67" s="265"/>
      <c r="AC67" s="265"/>
      <c r="AD67" s="265"/>
      <c r="AE67" s="265"/>
      <c r="AF67" s="265"/>
      <c r="AG67" s="265"/>
      <c r="AH67" s="265"/>
      <c r="AI67" s="265"/>
      <c r="AJ67" s="265"/>
      <c r="AK67" s="265"/>
      <c r="AL67" s="265"/>
      <c r="AM67" s="265"/>
      <c r="AN67" s="265"/>
      <c r="AO67" s="265"/>
      <c r="AP67" s="265"/>
      <c r="AQ67" s="265"/>
      <c r="AR67" s="265"/>
      <c r="AS67" s="265"/>
      <c r="AT67" s="265"/>
      <c r="AU67" s="265"/>
      <c r="AV67" s="265"/>
      <c r="AW67" s="265"/>
      <c r="AX67" s="265"/>
      <c r="AY67" s="266"/>
      <c r="AZ67" s="241" t="s">
        <v>1670</v>
      </c>
      <c r="BA67" s="7"/>
      <c r="BB67" s="241" t="s">
        <v>1671</v>
      </c>
      <c r="BC67" s="7"/>
      <c r="BD67" s="204"/>
      <c r="BE67" s="204"/>
      <c r="BF67" s="26"/>
      <c r="BG67" s="139"/>
      <c r="BH67" s="26"/>
      <c r="BI67" s="249"/>
      <c r="BJ67" s="249"/>
      <c r="BK67" s="249"/>
      <c r="BL67" s="249"/>
      <c r="BM67" s="249"/>
      <c r="BN67" s="249"/>
      <c r="BO67" s="249"/>
      <c r="BP67" s="249"/>
      <c r="BQ67" s="249"/>
      <c r="BR67" s="249"/>
      <c r="BS67" s="249"/>
      <c r="BT67" s="249"/>
      <c r="BU67" s="249"/>
      <c r="BV67" s="249"/>
      <c r="BW67" s="249"/>
      <c r="BX67" s="249"/>
      <c r="BY67" s="249"/>
      <c r="BZ67" s="249"/>
      <c r="CA67" s="249"/>
      <c r="CB67" s="249"/>
      <c r="CC67" s="249"/>
      <c r="CD67" s="249"/>
      <c r="CE67" s="249"/>
      <c r="CF67" s="249"/>
      <c r="CG67" s="249"/>
      <c r="CH67" s="249"/>
      <c r="CI67" s="249"/>
      <c r="CJ67" s="249"/>
      <c r="CK67" s="249"/>
      <c r="CL67" s="249"/>
      <c r="CM67" s="249"/>
      <c r="CN67" s="249"/>
      <c r="CO67" s="249"/>
      <c r="CP67" s="249"/>
      <c r="CQ67" s="249"/>
      <c r="CR67" s="249"/>
      <c r="CS67" s="249"/>
      <c r="CT67" s="249"/>
      <c r="CU67" s="249"/>
      <c r="CV67" s="249"/>
      <c r="CW67" s="249"/>
      <c r="CX67" s="249"/>
      <c r="CY67" s="249"/>
      <c r="CZ67" s="249"/>
      <c r="DA67" s="249"/>
      <c r="DB67" s="249"/>
      <c r="DC67" s="249"/>
    </row>
    <row r="68" spans="1:107" s="6" customFormat="1" ht="5.25" customHeight="1" x14ac:dyDescent="0.25">
      <c r="A68" s="204"/>
      <c r="B68" s="204"/>
      <c r="C68" s="267"/>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9"/>
      <c r="AZ68" s="204"/>
      <c r="BA68" s="204"/>
      <c r="BB68" s="204"/>
      <c r="BC68" s="204"/>
      <c r="BD68" s="204"/>
      <c r="BE68" s="204"/>
      <c r="BF68" s="26"/>
      <c r="BG68" s="139"/>
      <c r="BH68" s="26"/>
      <c r="BI68" s="249"/>
      <c r="BJ68" s="249"/>
      <c r="BK68" s="249"/>
      <c r="BL68" s="249"/>
      <c r="BM68" s="249"/>
      <c r="BN68" s="249"/>
      <c r="BO68" s="249"/>
      <c r="BP68" s="249"/>
      <c r="BQ68" s="249"/>
      <c r="BR68" s="249"/>
      <c r="BS68" s="249"/>
      <c r="BT68" s="249"/>
      <c r="BU68" s="249"/>
      <c r="BV68" s="249"/>
      <c r="BW68" s="249"/>
      <c r="BX68" s="249"/>
      <c r="BY68" s="249"/>
      <c r="BZ68" s="249"/>
      <c r="CA68" s="249"/>
      <c r="CB68" s="249"/>
      <c r="CC68" s="249"/>
      <c r="CD68" s="249"/>
      <c r="CE68" s="249"/>
      <c r="CF68" s="249"/>
      <c r="CG68" s="249"/>
      <c r="CH68" s="249"/>
      <c r="CI68" s="249"/>
      <c r="CJ68" s="249"/>
      <c r="CK68" s="249"/>
      <c r="CL68" s="249"/>
      <c r="CM68" s="249"/>
      <c r="CN68" s="249"/>
      <c r="CO68" s="249"/>
      <c r="CP68" s="249"/>
      <c r="CQ68" s="249"/>
      <c r="CR68" s="249"/>
      <c r="CS68" s="249"/>
      <c r="CT68" s="249"/>
      <c r="CU68" s="249"/>
      <c r="CV68" s="249"/>
      <c r="CW68" s="249"/>
      <c r="CX68" s="249"/>
      <c r="CY68" s="249"/>
      <c r="CZ68" s="249"/>
      <c r="DA68" s="249"/>
      <c r="DB68" s="249"/>
      <c r="DC68" s="249"/>
    </row>
    <row r="69" spans="1:107" s="6" customFormat="1" ht="5.25" customHeight="1" x14ac:dyDescent="0.25">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c r="BF69" s="26"/>
      <c r="BG69" s="139"/>
      <c r="BH69" s="26"/>
      <c r="BI69" s="249"/>
      <c r="BJ69" s="249"/>
      <c r="BK69" s="249"/>
      <c r="BL69" s="249"/>
      <c r="BM69" s="249"/>
      <c r="BN69" s="249"/>
      <c r="BO69" s="249"/>
      <c r="BP69" s="249"/>
      <c r="BQ69" s="249"/>
      <c r="BR69" s="249"/>
      <c r="BS69" s="249"/>
      <c r="BT69" s="249"/>
      <c r="BU69" s="249"/>
      <c r="BV69" s="249"/>
      <c r="BW69" s="249"/>
      <c r="BX69" s="249"/>
      <c r="BY69" s="249"/>
      <c r="BZ69" s="249"/>
      <c r="CA69" s="249"/>
      <c r="CB69" s="249"/>
      <c r="CC69" s="249"/>
      <c r="CD69" s="249"/>
      <c r="CE69" s="249"/>
      <c r="CF69" s="249"/>
      <c r="CG69" s="249"/>
      <c r="CH69" s="249"/>
      <c r="CI69" s="249"/>
      <c r="CJ69" s="249"/>
      <c r="CK69" s="249"/>
      <c r="CL69" s="249"/>
      <c r="CM69" s="249"/>
      <c r="CN69" s="249"/>
      <c r="CO69" s="249"/>
      <c r="CP69" s="249"/>
      <c r="CQ69" s="249"/>
      <c r="CR69" s="249"/>
      <c r="CS69" s="249"/>
      <c r="CT69" s="249"/>
      <c r="CU69" s="249"/>
      <c r="CV69" s="249"/>
      <c r="CW69" s="249"/>
      <c r="CX69" s="249"/>
      <c r="CY69" s="249"/>
      <c r="CZ69" s="249"/>
      <c r="DA69" s="249"/>
      <c r="DB69" s="249"/>
      <c r="DC69" s="249"/>
    </row>
    <row r="70" spans="1:107" s="6" customFormat="1" ht="15.75" customHeight="1" x14ac:dyDescent="0.25">
      <c r="A70" s="204" t="s">
        <v>3514</v>
      </c>
      <c r="B70" s="204"/>
      <c r="C70" s="264" t="s">
        <v>5604</v>
      </c>
      <c r="D70" s="265"/>
      <c r="E70" s="265"/>
      <c r="F70" s="265"/>
      <c r="G70" s="265"/>
      <c r="H70" s="265"/>
      <c r="I70" s="265"/>
      <c r="J70" s="265"/>
      <c r="K70" s="265"/>
      <c r="L70" s="265"/>
      <c r="M70" s="265"/>
      <c r="N70" s="265"/>
      <c r="O70" s="265"/>
      <c r="P70" s="265"/>
      <c r="Q70" s="265"/>
      <c r="R70" s="265"/>
      <c r="S70" s="265"/>
      <c r="T70" s="265"/>
      <c r="U70" s="265"/>
      <c r="V70" s="265"/>
      <c r="W70" s="265"/>
      <c r="X70" s="265"/>
      <c r="Y70" s="265"/>
      <c r="Z70" s="265"/>
      <c r="AA70" s="265"/>
      <c r="AB70" s="265"/>
      <c r="AC70" s="265"/>
      <c r="AD70" s="265"/>
      <c r="AE70" s="265"/>
      <c r="AF70" s="265"/>
      <c r="AG70" s="265"/>
      <c r="AH70" s="265"/>
      <c r="AI70" s="265"/>
      <c r="AJ70" s="265"/>
      <c r="AK70" s="265"/>
      <c r="AL70" s="265"/>
      <c r="AM70" s="265"/>
      <c r="AN70" s="265"/>
      <c r="AO70" s="265"/>
      <c r="AP70" s="265"/>
      <c r="AQ70" s="265"/>
      <c r="AR70" s="265"/>
      <c r="AS70" s="265"/>
      <c r="AT70" s="265"/>
      <c r="AU70" s="265"/>
      <c r="AV70" s="265"/>
      <c r="AW70" s="265"/>
      <c r="AX70" s="265"/>
      <c r="AY70" s="266"/>
      <c r="AZ70" s="241" t="s">
        <v>1670</v>
      </c>
      <c r="BA70" s="7"/>
      <c r="BB70" s="241" t="s">
        <v>1671</v>
      </c>
      <c r="BC70" s="7"/>
      <c r="BD70" s="204"/>
      <c r="BE70" s="204"/>
      <c r="BF70" s="26"/>
      <c r="BG70" s="139"/>
      <c r="BH70" s="26"/>
      <c r="BI70" s="249"/>
      <c r="BJ70" s="249"/>
      <c r="BK70" s="249"/>
      <c r="BL70" s="249"/>
      <c r="BM70" s="249"/>
      <c r="BN70" s="249"/>
      <c r="BO70" s="249"/>
      <c r="BP70" s="249"/>
      <c r="BQ70" s="249"/>
      <c r="BR70" s="249"/>
      <c r="BS70" s="249"/>
      <c r="BT70" s="249"/>
      <c r="BU70" s="249"/>
      <c r="BV70" s="249"/>
      <c r="BW70" s="249"/>
      <c r="BX70" s="249"/>
      <c r="BY70" s="249"/>
      <c r="BZ70" s="249"/>
      <c r="CA70" s="249"/>
      <c r="CB70" s="249"/>
      <c r="CC70" s="249"/>
      <c r="CD70" s="249"/>
      <c r="CE70" s="249"/>
      <c r="CF70" s="249"/>
      <c r="CG70" s="249"/>
      <c r="CH70" s="249"/>
      <c r="CI70" s="249"/>
      <c r="CJ70" s="249"/>
      <c r="CK70" s="249"/>
      <c r="CL70" s="249"/>
      <c r="CM70" s="249"/>
      <c r="CN70" s="249"/>
      <c r="CO70" s="249"/>
      <c r="CP70" s="249"/>
      <c r="CQ70" s="249"/>
      <c r="CR70" s="249"/>
      <c r="CS70" s="249"/>
      <c r="CT70" s="249"/>
      <c r="CU70" s="249"/>
      <c r="CV70" s="249"/>
      <c r="CW70" s="249"/>
      <c r="CX70" s="249"/>
      <c r="CY70" s="249"/>
      <c r="CZ70" s="249"/>
      <c r="DA70" s="249"/>
      <c r="DB70" s="249"/>
      <c r="DC70" s="249"/>
    </row>
    <row r="71" spans="1:107" s="6" customFormat="1" ht="11.25" customHeight="1" x14ac:dyDescent="0.25">
      <c r="A71" s="204"/>
      <c r="B71" s="204"/>
      <c r="C71" s="267"/>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8"/>
      <c r="AV71" s="268"/>
      <c r="AW71" s="268"/>
      <c r="AX71" s="268"/>
      <c r="AY71" s="269"/>
      <c r="AZ71" s="204"/>
      <c r="BA71" s="204"/>
      <c r="BB71" s="204"/>
      <c r="BC71" s="204"/>
      <c r="BD71" s="204"/>
      <c r="BE71" s="204"/>
      <c r="BF71" s="26"/>
      <c r="BG71" s="139"/>
      <c r="BH71" s="26"/>
      <c r="BI71" s="249"/>
      <c r="BJ71" s="249"/>
      <c r="BK71" s="249"/>
      <c r="BL71" s="249"/>
      <c r="BM71" s="249"/>
      <c r="BN71" s="249"/>
      <c r="BO71" s="249"/>
      <c r="BP71" s="249"/>
      <c r="BQ71" s="249"/>
      <c r="BR71" s="249"/>
      <c r="BS71" s="249"/>
      <c r="BT71" s="249"/>
      <c r="BU71" s="249"/>
      <c r="BV71" s="249"/>
      <c r="BW71" s="249"/>
      <c r="BX71" s="249"/>
      <c r="BY71" s="249"/>
      <c r="BZ71" s="249"/>
      <c r="CA71" s="249"/>
      <c r="CB71" s="249"/>
      <c r="CC71" s="249"/>
      <c r="CD71" s="249"/>
      <c r="CE71" s="249"/>
      <c r="CF71" s="249"/>
      <c r="CG71" s="249"/>
      <c r="CH71" s="249"/>
      <c r="CI71" s="249"/>
      <c r="CJ71" s="249"/>
      <c r="CK71" s="249"/>
      <c r="CL71" s="249"/>
      <c r="CM71" s="249"/>
      <c r="CN71" s="249"/>
      <c r="CO71" s="249"/>
      <c r="CP71" s="249"/>
      <c r="CQ71" s="249"/>
      <c r="CR71" s="249"/>
      <c r="CS71" s="249"/>
      <c r="CT71" s="249"/>
      <c r="CU71" s="249"/>
      <c r="CV71" s="249"/>
      <c r="CW71" s="249"/>
      <c r="CX71" s="249"/>
      <c r="CY71" s="249"/>
      <c r="CZ71" s="249"/>
      <c r="DA71" s="249"/>
      <c r="DB71" s="249"/>
      <c r="DC71" s="249"/>
    </row>
    <row r="72" spans="1:107" ht="6" customHeight="1" thickBo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t="s">
        <v>1606</v>
      </c>
      <c r="BD72" s="5"/>
      <c r="BE72" s="5"/>
      <c r="BF72" s="25"/>
      <c r="BG72" s="124"/>
      <c r="BH72" s="25"/>
    </row>
    <row r="73" spans="1:107" ht="26.25" customHeight="1" thickBot="1" x14ac:dyDescent="0.3">
      <c r="A73" s="5"/>
      <c r="B73" s="5"/>
      <c r="C73" s="367" t="str">
        <f>'Validador- Datos'!BE23</f>
        <v>REVISE SU INFORMACIÓN TRIBUTARIA</v>
      </c>
      <c r="D73" s="368"/>
      <c r="E73" s="368"/>
      <c r="F73" s="368"/>
      <c r="G73" s="368"/>
      <c r="H73" s="368"/>
      <c r="I73" s="368"/>
      <c r="J73" s="368"/>
      <c r="K73" s="368"/>
      <c r="L73" s="368"/>
      <c r="M73" s="368"/>
      <c r="N73" s="368"/>
      <c r="O73" s="368"/>
      <c r="P73" s="368"/>
      <c r="Q73" s="368"/>
      <c r="R73" s="368"/>
      <c r="S73" s="368"/>
      <c r="T73" s="368"/>
      <c r="U73" s="368"/>
      <c r="V73" s="368"/>
      <c r="W73" s="368"/>
      <c r="X73" s="368"/>
      <c r="Y73" s="368"/>
      <c r="Z73" s="368"/>
      <c r="AA73" s="368"/>
      <c r="AB73" s="368"/>
      <c r="AC73" s="368"/>
      <c r="AD73" s="368"/>
      <c r="AE73" s="368"/>
      <c r="AF73" s="368"/>
      <c r="AG73" s="368"/>
      <c r="AH73" s="368"/>
      <c r="AI73" s="368"/>
      <c r="AJ73" s="368"/>
      <c r="AK73" s="368"/>
      <c r="AL73" s="368"/>
      <c r="AM73" s="368"/>
      <c r="AN73" s="368"/>
      <c r="AO73" s="368"/>
      <c r="AP73" s="368"/>
      <c r="AQ73" s="368"/>
      <c r="AR73" s="368"/>
      <c r="AS73" s="368"/>
      <c r="AT73" s="368"/>
      <c r="AU73" s="368"/>
      <c r="AV73" s="368"/>
      <c r="AW73" s="368"/>
      <c r="AX73" s="368"/>
      <c r="AY73" s="369"/>
      <c r="AZ73" s="5"/>
      <c r="BA73" s="5"/>
      <c r="BB73" s="5"/>
      <c r="BC73" s="5"/>
      <c r="BD73" s="5"/>
      <c r="BE73" s="5"/>
      <c r="BF73" s="25"/>
      <c r="BG73" s="124"/>
      <c r="BH73" s="25"/>
    </row>
    <row r="74" spans="1:107" ht="6.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25"/>
      <c r="BG74" s="124"/>
      <c r="BH74" s="25"/>
    </row>
    <row r="75" spans="1:107" ht="15.75" customHeight="1" thickBot="1" x14ac:dyDescent="0.3">
      <c r="A75" s="364" t="s">
        <v>3567</v>
      </c>
      <c r="B75" s="364"/>
      <c r="C75" s="364"/>
      <c r="D75" s="364"/>
      <c r="E75" s="364"/>
      <c r="F75" s="364"/>
      <c r="G75" s="364"/>
      <c r="H75" s="364"/>
      <c r="I75" s="364"/>
      <c r="J75" s="364"/>
      <c r="K75" s="364"/>
      <c r="L75" s="364"/>
      <c r="M75" s="364"/>
      <c r="N75" s="364"/>
      <c r="O75" s="364"/>
      <c r="P75" s="364"/>
      <c r="Q75" s="364"/>
      <c r="R75" s="364"/>
      <c r="S75" s="364"/>
      <c r="T75" s="364"/>
      <c r="U75" s="364"/>
      <c r="V75" s="364"/>
      <c r="W75" s="364"/>
      <c r="X75" s="364"/>
      <c r="Y75" s="364"/>
      <c r="Z75" s="364"/>
      <c r="AA75" s="364"/>
      <c r="AB75" s="364"/>
      <c r="AC75" s="364"/>
      <c r="AD75" s="364"/>
      <c r="AE75" s="364"/>
      <c r="AF75" s="364"/>
      <c r="AG75" s="364"/>
      <c r="AH75" s="364"/>
      <c r="AI75" s="364"/>
      <c r="AJ75" s="364"/>
      <c r="AK75" s="364"/>
      <c r="AL75" s="364"/>
      <c r="AM75" s="364"/>
      <c r="AN75" s="364"/>
      <c r="AO75" s="364"/>
      <c r="AP75" s="364"/>
      <c r="AQ75" s="364"/>
      <c r="AR75" s="364"/>
      <c r="AS75" s="364"/>
      <c r="AT75" s="364"/>
      <c r="AU75" s="364"/>
      <c r="AV75" s="364"/>
      <c r="AW75" s="364"/>
      <c r="AX75" s="364"/>
      <c r="AY75" s="364"/>
      <c r="AZ75" s="364"/>
      <c r="BA75" s="364"/>
      <c r="BB75" s="364"/>
      <c r="BC75" s="364"/>
      <c r="BD75" s="364"/>
      <c r="BE75" s="364"/>
      <c r="BF75" s="25"/>
      <c r="BG75" s="124"/>
      <c r="BH75" s="25"/>
    </row>
    <row r="76" spans="1:107" ht="7.15" customHeight="1" x14ac:dyDescent="0.25">
      <c r="A76" s="143"/>
      <c r="B76" s="143"/>
      <c r="C76" s="143"/>
      <c r="D76" s="143"/>
      <c r="E76" s="143"/>
      <c r="F76" s="143"/>
      <c r="G76" s="143"/>
      <c r="H76" s="143"/>
      <c r="I76" s="143"/>
      <c r="J76" s="143"/>
      <c r="K76" s="143"/>
      <c r="L76" s="143"/>
      <c r="M76" s="143"/>
      <c r="N76" s="143"/>
      <c r="O76" s="143"/>
      <c r="P76" s="143"/>
      <c r="Q76" s="143"/>
      <c r="R76" s="143"/>
      <c r="S76" s="290" t="s">
        <v>3630</v>
      </c>
      <c r="T76" s="290"/>
      <c r="U76" s="290"/>
      <c r="V76" s="290"/>
      <c r="W76" s="290"/>
      <c r="X76" s="290"/>
      <c r="Y76" s="290"/>
      <c r="Z76" s="290"/>
      <c r="AA76" s="290"/>
      <c r="AB76" s="290"/>
      <c r="AC76" s="290"/>
      <c r="AD76" s="290"/>
      <c r="AE76" s="290"/>
      <c r="AF76" s="290"/>
      <c r="AG76" s="290"/>
      <c r="AH76" s="290"/>
      <c r="AI76" s="290"/>
      <c r="AJ76" s="290"/>
      <c r="AK76" s="290"/>
      <c r="AL76" s="290"/>
      <c r="AM76" s="290"/>
      <c r="AN76" s="291">
        <f ca="1">+'FORMATO DEDUCCIONES'!W16</f>
        <v>2025</v>
      </c>
      <c r="AO76" s="292"/>
      <c r="AP76" s="293"/>
      <c r="AQ76" s="143"/>
      <c r="AR76" s="143"/>
      <c r="AS76" s="143"/>
      <c r="AT76" s="143"/>
      <c r="AU76" s="143"/>
      <c r="AV76" s="143"/>
      <c r="AW76" s="143"/>
      <c r="AX76" s="143"/>
      <c r="AY76" s="143"/>
      <c r="AZ76" s="143"/>
      <c r="BA76" s="143"/>
      <c r="BB76" s="143"/>
      <c r="BC76" s="143"/>
      <c r="BD76" s="143"/>
      <c r="BE76" s="143"/>
      <c r="BF76" s="25"/>
      <c r="BG76" s="124"/>
      <c r="BH76" s="25"/>
    </row>
    <row r="77" spans="1:107" ht="10.5" customHeight="1" thickBot="1" x14ac:dyDescent="0.3">
      <c r="A77" s="143"/>
      <c r="B77" s="143"/>
      <c r="C77" s="143"/>
      <c r="D77" s="143"/>
      <c r="E77" s="143"/>
      <c r="F77" s="143"/>
      <c r="G77" s="143"/>
      <c r="H77" s="143"/>
      <c r="I77" s="143"/>
      <c r="J77" s="143"/>
      <c r="K77" s="143"/>
      <c r="L77" s="143"/>
      <c r="M77" s="143"/>
      <c r="N77" s="143"/>
      <c r="O77" s="143"/>
      <c r="P77" s="143"/>
      <c r="Q77" s="143"/>
      <c r="R77" s="143"/>
      <c r="S77" s="290"/>
      <c r="T77" s="290"/>
      <c r="U77" s="290"/>
      <c r="V77" s="290"/>
      <c r="W77" s="290"/>
      <c r="X77" s="290"/>
      <c r="Y77" s="290"/>
      <c r="Z77" s="290"/>
      <c r="AA77" s="290"/>
      <c r="AB77" s="290"/>
      <c r="AC77" s="290"/>
      <c r="AD77" s="290"/>
      <c r="AE77" s="290"/>
      <c r="AF77" s="290"/>
      <c r="AG77" s="290"/>
      <c r="AH77" s="290"/>
      <c r="AI77" s="290"/>
      <c r="AJ77" s="290"/>
      <c r="AK77" s="290"/>
      <c r="AL77" s="290"/>
      <c r="AM77" s="290"/>
      <c r="AN77" s="294"/>
      <c r="AO77" s="295"/>
      <c r="AP77" s="296"/>
      <c r="AQ77" s="143"/>
      <c r="AR77" s="143"/>
      <c r="AS77" s="143"/>
      <c r="AT77" s="143"/>
      <c r="AU77" s="143"/>
      <c r="AV77" s="143"/>
      <c r="AW77" s="143"/>
      <c r="AX77" s="143"/>
      <c r="AY77" s="143"/>
      <c r="AZ77" s="143"/>
      <c r="BA77" s="143"/>
      <c r="BB77" s="143"/>
      <c r="BC77" s="143"/>
      <c r="BD77" s="143"/>
      <c r="BE77" s="143"/>
      <c r="BF77" s="25"/>
      <c r="BG77" s="124"/>
      <c r="BH77" s="25"/>
    </row>
    <row r="78" spans="1:107" ht="9.75" customHeight="1" thickBo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25"/>
      <c r="BG78" s="124"/>
      <c r="BH78" s="25"/>
    </row>
    <row r="79" spans="1:107" ht="18.75" customHeight="1" thickBot="1" x14ac:dyDescent="0.3">
      <c r="A79" s="5"/>
      <c r="B79" s="5"/>
      <c r="C79" s="5"/>
      <c r="D79" s="327" t="s">
        <v>3490</v>
      </c>
      <c r="E79" s="327"/>
      <c r="F79" s="327"/>
      <c r="G79" s="327"/>
      <c r="H79" s="327"/>
      <c r="I79" s="327"/>
      <c r="J79" s="327"/>
      <c r="K79" s="5"/>
      <c r="L79" s="5"/>
      <c r="M79" s="327" t="s">
        <v>5672</v>
      </c>
      <c r="N79" s="327"/>
      <c r="O79" s="327"/>
      <c r="P79" s="327"/>
      <c r="Q79" s="327"/>
      <c r="R79" s="327"/>
      <c r="S79" s="327"/>
      <c r="T79" s="5"/>
      <c r="U79" s="5"/>
      <c r="V79" s="327" t="s">
        <v>3497</v>
      </c>
      <c r="W79" s="327"/>
      <c r="X79" s="327"/>
      <c r="Y79" s="327"/>
      <c r="Z79" s="327"/>
      <c r="AA79" s="327"/>
      <c r="AB79" s="327"/>
      <c r="AC79" s="5"/>
      <c r="AD79" s="5"/>
      <c r="AE79" s="208"/>
      <c r="AF79" s="412" t="s">
        <v>3631</v>
      </c>
      <c r="AG79" s="413"/>
      <c r="AH79" s="413"/>
      <c r="AI79" s="413"/>
      <c r="AJ79" s="413"/>
      <c r="AK79" s="413"/>
      <c r="AL79" s="413"/>
      <c r="AM79" s="413"/>
      <c r="AN79" s="413"/>
      <c r="AO79" s="413"/>
      <c r="AP79" s="413"/>
      <c r="AQ79" s="413"/>
      <c r="AR79" s="413"/>
      <c r="AS79" s="413"/>
      <c r="AT79" s="413"/>
      <c r="AU79" s="413"/>
      <c r="AV79" s="413"/>
      <c r="AW79" s="413"/>
      <c r="AX79" s="414"/>
      <c r="AY79" s="297">
        <f ca="1">+'FORMATO DEDUCCIONES'!W16+2</f>
        <v>2027</v>
      </c>
      <c r="AZ79" s="298"/>
      <c r="BA79" s="298"/>
      <c r="BB79" s="299"/>
      <c r="BC79" s="5"/>
      <c r="BD79" s="5"/>
      <c r="BE79" s="5"/>
      <c r="BF79" s="25"/>
      <c r="BG79" s="124"/>
      <c r="BH79" s="25"/>
    </row>
    <row r="80" spans="1:107" ht="16.5" customHeight="1" thickBot="1" x14ac:dyDescent="0.3">
      <c r="A80" s="5"/>
      <c r="B80" s="5"/>
      <c r="C80" s="5"/>
      <c r="D80" s="361"/>
      <c r="E80" s="362"/>
      <c r="F80" s="362"/>
      <c r="G80" s="362"/>
      <c r="H80" s="362"/>
      <c r="I80" s="362"/>
      <c r="J80" s="363"/>
      <c r="K80" s="5"/>
      <c r="L80" s="5"/>
      <c r="M80" s="418"/>
      <c r="N80" s="419"/>
      <c r="O80" s="419"/>
      <c r="P80" s="419"/>
      <c r="Q80" s="419"/>
      <c r="R80" s="419"/>
      <c r="S80" s="420"/>
      <c r="T80" s="5"/>
      <c r="U80" s="5"/>
      <c r="V80" s="404"/>
      <c r="W80" s="405"/>
      <c r="X80" s="405"/>
      <c r="Y80" s="405"/>
      <c r="Z80" s="405"/>
      <c r="AA80" s="405"/>
      <c r="AB80" s="406"/>
      <c r="AC80" s="5"/>
      <c r="AD80" s="5"/>
      <c r="AE80" s="208"/>
      <c r="AF80" s="358" t="s">
        <v>3632</v>
      </c>
      <c r="AG80" s="359"/>
      <c r="AH80" s="359"/>
      <c r="AI80" s="359"/>
      <c r="AJ80" s="359"/>
      <c r="AK80" s="359"/>
      <c r="AL80" s="359"/>
      <c r="AM80" s="359"/>
      <c r="AN80" s="359"/>
      <c r="AO80" s="359"/>
      <c r="AP80" s="359"/>
      <c r="AQ80" s="359"/>
      <c r="AR80" s="359"/>
      <c r="AS80" s="359"/>
      <c r="AT80" s="359"/>
      <c r="AU80" s="359"/>
      <c r="AV80" s="359"/>
      <c r="AW80" s="359"/>
      <c r="AX80" s="359"/>
      <c r="AY80" s="359"/>
      <c r="AZ80" s="359"/>
      <c r="BA80" s="359"/>
      <c r="BB80" s="360"/>
      <c r="BC80" s="5"/>
      <c r="BD80" s="5"/>
      <c r="BE80" s="5"/>
      <c r="BF80" s="25"/>
      <c r="BG80" s="124"/>
      <c r="BH80" s="25"/>
    </row>
    <row r="81" spans="1:107" ht="7.5" customHeight="1" thickBo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25"/>
      <c r="BG81" s="124"/>
      <c r="BH81" s="25"/>
    </row>
    <row r="82" spans="1:107" ht="15" customHeight="1" thickBot="1" x14ac:dyDescent="0.3">
      <c r="A82" s="5"/>
      <c r="B82" s="5"/>
      <c r="C82" s="5"/>
      <c r="D82" s="288" t="s">
        <v>3511</v>
      </c>
      <c r="E82" s="288"/>
      <c r="F82" s="288"/>
      <c r="G82" s="288"/>
      <c r="H82" s="288"/>
      <c r="I82" s="288"/>
      <c r="J82" s="288"/>
      <c r="K82" s="288"/>
      <c r="L82" s="288"/>
      <c r="M82" s="288"/>
      <c r="N82" s="288"/>
      <c r="O82" s="288"/>
      <c r="P82" s="288"/>
      <c r="Q82" s="289"/>
      <c r="R82" s="162" t="s">
        <v>1670</v>
      </c>
      <c r="S82" s="365"/>
      <c r="T82" s="366"/>
      <c r="U82" s="163" t="s">
        <v>1671</v>
      </c>
      <c r="V82" s="365"/>
      <c r="W82" s="366"/>
      <c r="X82" s="5"/>
      <c r="Y82" s="5"/>
      <c r="Z82" s="5"/>
      <c r="AA82" s="5"/>
      <c r="AB82" s="5"/>
      <c r="AC82" s="5"/>
      <c r="AD82" s="5"/>
      <c r="AE82" s="5"/>
      <c r="AF82" s="5"/>
      <c r="AG82" s="5"/>
      <c r="AH82" s="5"/>
      <c r="AI82" s="288" t="s">
        <v>3491</v>
      </c>
      <c r="AJ82" s="288"/>
      <c r="AK82" s="288"/>
      <c r="AL82" s="288"/>
      <c r="AM82" s="288"/>
      <c r="AN82" s="288"/>
      <c r="AO82" s="288"/>
      <c r="AP82" s="288"/>
      <c r="AQ82" s="288"/>
      <c r="AR82" s="288"/>
      <c r="AS82" s="288"/>
      <c r="AT82" s="288"/>
      <c r="AU82" s="288"/>
      <c r="AV82" s="289"/>
      <c r="AW82" s="87" t="s">
        <v>1670</v>
      </c>
      <c r="AX82" s="344"/>
      <c r="AY82" s="345"/>
      <c r="AZ82" s="161" t="s">
        <v>1671</v>
      </c>
      <c r="BA82" s="344"/>
      <c r="BB82" s="345"/>
      <c r="BC82" s="5"/>
      <c r="BD82" s="5"/>
      <c r="BE82" s="5"/>
      <c r="BF82" s="25"/>
      <c r="BG82" s="124"/>
      <c r="BH82" s="25"/>
    </row>
    <row r="83" spans="1:107" s="4" customFormat="1" x14ac:dyDescent="0.25">
      <c r="A83" s="202"/>
      <c r="B83" s="202"/>
      <c r="C83" s="202"/>
      <c r="D83" s="425" t="s">
        <v>3492</v>
      </c>
      <c r="E83" s="426"/>
      <c r="F83" s="426"/>
      <c r="G83" s="426"/>
      <c r="H83" s="427"/>
      <c r="I83" s="346"/>
      <c r="J83" s="347"/>
      <c r="K83" s="347"/>
      <c r="L83" s="347"/>
      <c r="M83" s="347"/>
      <c r="N83" s="347"/>
      <c r="O83" s="347"/>
      <c r="P83" s="347"/>
      <c r="Q83" s="347"/>
      <c r="R83" s="347"/>
      <c r="S83" s="347"/>
      <c r="T83" s="347"/>
      <c r="U83" s="347"/>
      <c r="V83" s="347"/>
      <c r="W83" s="348"/>
      <c r="X83" s="202"/>
      <c r="Y83" s="202"/>
      <c r="Z83" s="202"/>
      <c r="AA83" s="202"/>
      <c r="AB83" s="202"/>
      <c r="AC83" s="202"/>
      <c r="AD83" s="202"/>
      <c r="AE83" s="202"/>
      <c r="AF83" s="202"/>
      <c r="AG83" s="202"/>
      <c r="AH83" s="202"/>
      <c r="AI83" s="425" t="s">
        <v>3492</v>
      </c>
      <c r="AJ83" s="426"/>
      <c r="AK83" s="426"/>
      <c r="AL83" s="426"/>
      <c r="AM83" s="427"/>
      <c r="AN83" s="431"/>
      <c r="AO83" s="432"/>
      <c r="AP83" s="432"/>
      <c r="AQ83" s="432"/>
      <c r="AR83" s="432"/>
      <c r="AS83" s="432"/>
      <c r="AT83" s="432"/>
      <c r="AU83" s="432"/>
      <c r="AV83" s="432"/>
      <c r="AW83" s="432"/>
      <c r="AX83" s="432"/>
      <c r="AY83" s="432"/>
      <c r="AZ83" s="432"/>
      <c r="BA83" s="432"/>
      <c r="BB83" s="433"/>
      <c r="BC83" s="202"/>
      <c r="BD83" s="202"/>
      <c r="BE83" s="202"/>
      <c r="BF83" s="8"/>
      <c r="BG83" s="125"/>
      <c r="BH83" s="8"/>
      <c r="BI83" s="249"/>
      <c r="BJ83" s="249"/>
      <c r="BK83" s="249"/>
      <c r="BL83" s="249"/>
      <c r="BM83" s="249"/>
      <c r="BN83" s="249"/>
      <c r="BO83" s="249"/>
      <c r="BP83" s="249"/>
      <c r="BQ83" s="249"/>
      <c r="BR83" s="249"/>
      <c r="BS83" s="249"/>
      <c r="BT83" s="249"/>
      <c r="BU83" s="249"/>
      <c r="BV83" s="249"/>
      <c r="BW83" s="249"/>
      <c r="BX83" s="249"/>
      <c r="BY83" s="249"/>
      <c r="BZ83" s="249"/>
      <c r="CA83" s="249"/>
      <c r="CB83" s="249"/>
      <c r="CC83" s="249"/>
      <c r="CD83" s="249"/>
      <c r="CE83" s="249"/>
      <c r="CF83" s="249"/>
      <c r="CG83" s="249"/>
      <c r="CH83" s="249"/>
      <c r="CI83" s="249"/>
      <c r="CJ83" s="249"/>
      <c r="CK83" s="249"/>
      <c r="CL83" s="249"/>
      <c r="CM83" s="249"/>
      <c r="CN83" s="249"/>
      <c r="CO83" s="249"/>
      <c r="CP83" s="249"/>
      <c r="CQ83" s="249"/>
      <c r="CR83" s="249"/>
      <c r="CS83" s="249"/>
      <c r="CT83" s="249"/>
      <c r="CU83" s="249"/>
      <c r="CV83" s="249"/>
      <c r="CW83" s="249"/>
      <c r="CX83" s="249"/>
      <c r="CY83" s="249"/>
      <c r="CZ83" s="249"/>
      <c r="DA83" s="249"/>
      <c r="DB83" s="249"/>
      <c r="DC83" s="249"/>
    </row>
    <row r="84" spans="1:107" x14ac:dyDescent="0.25">
      <c r="A84" s="5"/>
      <c r="B84" s="5"/>
      <c r="C84" s="5"/>
      <c r="D84" s="354" t="s">
        <v>1676</v>
      </c>
      <c r="E84" s="355"/>
      <c r="F84" s="355"/>
      <c r="G84" s="355"/>
      <c r="H84" s="356"/>
      <c r="I84" s="357"/>
      <c r="J84" s="302"/>
      <c r="K84" s="302"/>
      <c r="L84" s="302"/>
      <c r="M84" s="302"/>
      <c r="N84" s="302"/>
      <c r="O84" s="302"/>
      <c r="P84" s="302"/>
      <c r="Q84" s="302"/>
      <c r="R84" s="302"/>
      <c r="S84" s="302"/>
      <c r="T84" s="302"/>
      <c r="U84" s="302"/>
      <c r="V84" s="302"/>
      <c r="W84" s="303"/>
      <c r="X84" s="5"/>
      <c r="Y84" s="5"/>
      <c r="Z84" s="5"/>
      <c r="AA84" s="5"/>
      <c r="AB84" s="5"/>
      <c r="AC84" s="5"/>
      <c r="AD84" s="5"/>
      <c r="AE84" s="5"/>
      <c r="AF84" s="5"/>
      <c r="AG84" s="5"/>
      <c r="AH84" s="5"/>
      <c r="AI84" s="354" t="s">
        <v>1676</v>
      </c>
      <c r="AJ84" s="355"/>
      <c r="AK84" s="355"/>
      <c r="AL84" s="355"/>
      <c r="AM84" s="356"/>
      <c r="AN84" s="301"/>
      <c r="AO84" s="302"/>
      <c r="AP84" s="302"/>
      <c r="AQ84" s="302"/>
      <c r="AR84" s="302"/>
      <c r="AS84" s="302"/>
      <c r="AT84" s="302"/>
      <c r="AU84" s="302"/>
      <c r="AV84" s="302"/>
      <c r="AW84" s="302"/>
      <c r="AX84" s="302"/>
      <c r="AY84" s="302"/>
      <c r="AZ84" s="302"/>
      <c r="BA84" s="302"/>
      <c r="BB84" s="303"/>
      <c r="BC84" s="5"/>
      <c r="BD84" s="5"/>
      <c r="BE84" s="5"/>
      <c r="BF84" s="25"/>
      <c r="BG84" s="124"/>
      <c r="BH84" s="25"/>
    </row>
    <row r="85" spans="1:107" ht="15.75" customHeight="1" thickBot="1" x14ac:dyDescent="0.3">
      <c r="A85" s="5"/>
      <c r="B85" s="5"/>
      <c r="C85" s="5"/>
      <c r="D85" s="282" t="s">
        <v>3493</v>
      </c>
      <c r="E85" s="283"/>
      <c r="F85" s="283"/>
      <c r="G85" s="283"/>
      <c r="H85" s="284"/>
      <c r="I85" s="300"/>
      <c r="J85" s="286"/>
      <c r="K85" s="286"/>
      <c r="L85" s="286"/>
      <c r="M85" s="286"/>
      <c r="N85" s="286"/>
      <c r="O85" s="286"/>
      <c r="P85" s="286"/>
      <c r="Q85" s="286"/>
      <c r="R85" s="286"/>
      <c r="S85" s="286"/>
      <c r="T85" s="286"/>
      <c r="U85" s="286"/>
      <c r="V85" s="286"/>
      <c r="W85" s="287"/>
      <c r="X85" s="5"/>
      <c r="Y85" s="5"/>
      <c r="Z85" s="5"/>
      <c r="AA85" s="5"/>
      <c r="AB85" s="5"/>
      <c r="AC85" s="5"/>
      <c r="AD85" s="5"/>
      <c r="AE85" s="5"/>
      <c r="AF85" s="5"/>
      <c r="AG85" s="5"/>
      <c r="AH85" s="5"/>
      <c r="AI85" s="282" t="s">
        <v>3493</v>
      </c>
      <c r="AJ85" s="283"/>
      <c r="AK85" s="283"/>
      <c r="AL85" s="283"/>
      <c r="AM85" s="284"/>
      <c r="AN85" s="285"/>
      <c r="AO85" s="286"/>
      <c r="AP85" s="286"/>
      <c r="AQ85" s="286"/>
      <c r="AR85" s="286"/>
      <c r="AS85" s="286"/>
      <c r="AT85" s="286"/>
      <c r="AU85" s="286"/>
      <c r="AV85" s="286"/>
      <c r="AW85" s="286"/>
      <c r="AX85" s="286"/>
      <c r="AY85" s="286"/>
      <c r="AZ85" s="286"/>
      <c r="BA85" s="286"/>
      <c r="BB85" s="287"/>
      <c r="BC85" s="5"/>
      <c r="BD85" s="5"/>
      <c r="BE85" s="5"/>
      <c r="BF85" s="25"/>
      <c r="BG85" s="124"/>
      <c r="BH85" s="25"/>
    </row>
    <row r="86" spans="1:107" ht="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25"/>
      <c r="BG86" s="124"/>
      <c r="BH86" s="25"/>
    </row>
    <row r="87" spans="1:107" ht="6.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25"/>
      <c r="BG87" s="124"/>
      <c r="BH87" s="25"/>
    </row>
    <row r="88" spans="1:107" ht="8.2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25"/>
      <c r="BG88" s="124"/>
      <c r="BH88" s="25"/>
    </row>
    <row r="89" spans="1:107" ht="18.75" x14ac:dyDescent="0.25">
      <c r="A89" s="364" t="s">
        <v>3512</v>
      </c>
      <c r="B89" s="364"/>
      <c r="C89" s="364"/>
      <c r="D89" s="364"/>
      <c r="E89" s="364"/>
      <c r="F89" s="364"/>
      <c r="G89" s="364"/>
      <c r="H89" s="364"/>
      <c r="I89" s="364"/>
      <c r="J89" s="364"/>
      <c r="K89" s="364"/>
      <c r="L89" s="364"/>
      <c r="M89" s="364"/>
      <c r="N89" s="364"/>
      <c r="O89" s="364"/>
      <c r="P89" s="364"/>
      <c r="Q89" s="364"/>
      <c r="R89" s="364"/>
      <c r="S89" s="364"/>
      <c r="T89" s="364"/>
      <c r="U89" s="364"/>
      <c r="V89" s="364"/>
      <c r="W89" s="364"/>
      <c r="X89" s="364"/>
      <c r="Y89" s="364"/>
      <c r="Z89" s="364"/>
      <c r="AA89" s="364"/>
      <c r="AB89" s="364"/>
      <c r="AC89" s="364"/>
      <c r="AD89" s="364"/>
      <c r="AE89" s="364"/>
      <c r="AF89" s="364"/>
      <c r="AG89" s="364"/>
      <c r="AH89" s="364"/>
      <c r="AI89" s="364"/>
      <c r="AJ89" s="364"/>
      <c r="AK89" s="364"/>
      <c r="AL89" s="364"/>
      <c r="AM89" s="364"/>
      <c r="AN89" s="364"/>
      <c r="AO89" s="364"/>
      <c r="AP89" s="364"/>
      <c r="AQ89" s="364"/>
      <c r="AR89" s="364"/>
      <c r="AS89" s="364"/>
      <c r="AT89" s="364"/>
      <c r="AU89" s="364"/>
      <c r="AV89" s="364"/>
      <c r="AW89" s="364"/>
      <c r="AX89" s="364"/>
      <c r="AY89" s="364"/>
      <c r="AZ89" s="364"/>
      <c r="BA89" s="364"/>
      <c r="BB89" s="364"/>
      <c r="BC89" s="364"/>
      <c r="BD89" s="364"/>
      <c r="BE89" s="364"/>
      <c r="BF89" s="25"/>
      <c r="BG89" s="124"/>
      <c r="BH89" s="25"/>
    </row>
    <row r="90" spans="1:107" ht="15.75" thickBo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25"/>
      <c r="BG90" s="124"/>
      <c r="BH90" s="25"/>
    </row>
    <row r="91" spans="1:107" ht="59.45" customHeight="1" x14ac:dyDescent="0.25">
      <c r="A91" s="5"/>
      <c r="C91" s="252" t="str">
        <f>_xlfn.CONCAT("Yo ",AI16," ",'Validador- Datos'!D69)</f>
        <v>Yo     en calidad de contratista manifiesto bajo la gravedad del juramento que la información es veridica y entiendo que soy responsable por los errores u omisiones que genere a la Entidad Contable Pública -Bogotá D.C. por la inexactitud de la misma, y autorizo a la entidad para actualizar la información en las bases de datos, en especial las de la SED, la SHD, la CGN, DIAN y demás entidades de aseguramiento y control del estado.
Al firmar este documento, autorizo de manera previa, expresa e informada a la Secretaría de Educación del Distrito para que realice el tratamiento de mis datos personales aquí suministrados. Esta información será utilizada con fines de actualización de información del tercero, conforme a la Ley 1581 de 2012 y a la Política de Tratamiento de Datos disponible en www.educacionbogota.gov.co.
Como titular, tengo derecho a conocer, actualizar, rectificar y solicitar la supresión de mis datos, así como a presentar quejas ante la Superintendencia de Industria y Comercio
Con la firma del presente formato doy constancia que conozco las condiciones tributarias y obligaciones del mismo derivado del presente contrato.</v>
      </c>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c r="AC91" s="253"/>
      <c r="AD91" s="253"/>
      <c r="AE91" s="253"/>
      <c r="AF91" s="253"/>
      <c r="AG91" s="253"/>
      <c r="AH91" s="253"/>
      <c r="AI91" s="253"/>
      <c r="AJ91" s="253"/>
      <c r="AK91" s="253"/>
      <c r="AL91" s="253"/>
      <c r="AM91" s="253"/>
      <c r="AN91" s="253"/>
      <c r="AO91" s="253"/>
      <c r="AP91" s="253"/>
      <c r="AQ91" s="253"/>
      <c r="AR91" s="253"/>
      <c r="AS91" s="253"/>
      <c r="AT91" s="253"/>
      <c r="AU91" s="253"/>
      <c r="AV91" s="253"/>
      <c r="AW91" s="253"/>
      <c r="AX91" s="253"/>
      <c r="AY91" s="253"/>
      <c r="AZ91" s="253"/>
      <c r="BA91" s="253"/>
      <c r="BB91" s="253"/>
      <c r="BC91" s="254"/>
      <c r="BD91" s="5"/>
      <c r="BE91" s="5"/>
      <c r="BF91" s="25"/>
      <c r="BG91" s="124"/>
      <c r="BH91" s="25"/>
    </row>
    <row r="92" spans="1:107" ht="58.15" customHeight="1" x14ac:dyDescent="0.25">
      <c r="A92" s="233"/>
      <c r="B92" s="234"/>
      <c r="C92" s="255"/>
      <c r="D92" s="256"/>
      <c r="E92" s="256"/>
      <c r="F92" s="256"/>
      <c r="G92" s="256"/>
      <c r="H92" s="256"/>
      <c r="I92" s="256"/>
      <c r="J92" s="256"/>
      <c r="K92" s="256"/>
      <c r="L92" s="256"/>
      <c r="M92" s="256"/>
      <c r="N92" s="256"/>
      <c r="O92" s="256"/>
      <c r="P92" s="256"/>
      <c r="Q92" s="256"/>
      <c r="R92" s="256"/>
      <c r="S92" s="256"/>
      <c r="T92" s="256"/>
      <c r="U92" s="256"/>
      <c r="V92" s="256"/>
      <c r="W92" s="256"/>
      <c r="X92" s="256"/>
      <c r="Y92" s="256"/>
      <c r="Z92" s="256"/>
      <c r="AA92" s="256"/>
      <c r="AB92" s="256"/>
      <c r="AC92" s="256"/>
      <c r="AD92" s="256"/>
      <c r="AE92" s="256"/>
      <c r="AF92" s="256"/>
      <c r="AG92" s="256"/>
      <c r="AH92" s="256"/>
      <c r="AI92" s="256"/>
      <c r="AJ92" s="256"/>
      <c r="AK92" s="256"/>
      <c r="AL92" s="256"/>
      <c r="AM92" s="256"/>
      <c r="AN92" s="256"/>
      <c r="AO92" s="256"/>
      <c r="AP92" s="256"/>
      <c r="AQ92" s="256"/>
      <c r="AR92" s="256"/>
      <c r="AS92" s="256"/>
      <c r="AT92" s="256"/>
      <c r="AU92" s="256"/>
      <c r="AV92" s="256"/>
      <c r="AW92" s="256"/>
      <c r="AX92" s="256"/>
      <c r="AY92" s="256"/>
      <c r="AZ92" s="256"/>
      <c r="BA92" s="256"/>
      <c r="BB92" s="256"/>
      <c r="BC92" s="257"/>
      <c r="BD92" s="5"/>
      <c r="BE92" s="5"/>
      <c r="BF92" s="25"/>
      <c r="BG92" s="124"/>
      <c r="BH92" s="25"/>
    </row>
    <row r="93" spans="1:107" ht="60" customHeight="1" thickBot="1" x14ac:dyDescent="0.3">
      <c r="A93" s="233"/>
      <c r="B93" s="234"/>
      <c r="C93" s="258"/>
      <c r="D93" s="259"/>
      <c r="E93" s="259"/>
      <c r="F93" s="259"/>
      <c r="G93" s="259"/>
      <c r="H93" s="259"/>
      <c r="I93" s="259"/>
      <c r="J93" s="259"/>
      <c r="K93" s="259"/>
      <c r="L93" s="259"/>
      <c r="M93" s="259"/>
      <c r="N93" s="259"/>
      <c r="O93" s="259"/>
      <c r="P93" s="259"/>
      <c r="Q93" s="259"/>
      <c r="R93" s="259"/>
      <c r="S93" s="259"/>
      <c r="T93" s="259"/>
      <c r="U93" s="259"/>
      <c r="V93" s="259"/>
      <c r="W93" s="259"/>
      <c r="X93" s="259"/>
      <c r="Y93" s="259"/>
      <c r="Z93" s="259"/>
      <c r="AA93" s="259"/>
      <c r="AB93" s="259"/>
      <c r="AC93" s="259"/>
      <c r="AD93" s="259"/>
      <c r="AE93" s="259"/>
      <c r="AF93" s="259"/>
      <c r="AG93" s="259"/>
      <c r="AH93" s="259"/>
      <c r="AI93" s="259"/>
      <c r="AJ93" s="259"/>
      <c r="AK93" s="259"/>
      <c r="AL93" s="259"/>
      <c r="AM93" s="259"/>
      <c r="AN93" s="259"/>
      <c r="AO93" s="259"/>
      <c r="AP93" s="259"/>
      <c r="AQ93" s="259"/>
      <c r="AR93" s="259"/>
      <c r="AS93" s="259"/>
      <c r="AT93" s="259"/>
      <c r="AU93" s="259"/>
      <c r="AV93" s="259"/>
      <c r="AW93" s="259"/>
      <c r="AX93" s="259"/>
      <c r="AY93" s="259"/>
      <c r="AZ93" s="259"/>
      <c r="BA93" s="259"/>
      <c r="BB93" s="259"/>
      <c r="BC93" s="260"/>
      <c r="BD93" s="5"/>
      <c r="BE93" s="5"/>
      <c r="BF93" s="25"/>
      <c r="BG93" s="124"/>
      <c r="BH93" s="25"/>
    </row>
    <row r="94" spans="1:107"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25"/>
      <c r="BG94" s="124"/>
      <c r="BH94" s="25"/>
    </row>
    <row r="95" spans="1:107" ht="15" customHeight="1" x14ac:dyDescent="0.25">
      <c r="A95" s="5"/>
      <c r="B95" s="5"/>
      <c r="C95" s="275" t="str">
        <f>IF('Validador- Datos'!D63=FALSE,'Validador- Datos'!D68,"VERIFICAR RESPONSABILIDAD DE IVA POR CUANTIA DEL CONTRATO")</f>
        <v>Por favor verifique la información de : - Número de Identificación Tributaria (NIT) - DV - Tipo de Documento - Número de Identificación - Verificar el Número  de Identificación - Primer Apellido - Primer Nombre - Indicar SI es o NO pensionado - Indique la Dirección tal y como aparece en el RUT - País - Departamento - Municipio - Teléfono 1 - Teléfono 2 - Banco - Sucursal - Tipo Cuenta - No Cuenta Bancaria - Actividad Económica RUT - Actividad económica RUT NO existe - por favor verificar - Actividad Económica RIT - Actividad economica RIT NO existe - por favor verificar - Régimen - No Contrato - Año Contrato - Valor Total del Contrato - Valor Pago Mensual según Contrato - Fecha Acta de Inicio - Fecha terminación Contrato - VIGENCIA FUTURA - Cesión - Área Funcional de la SED - Nombre Interventor Contrato - Cargo Interventor Contrato - Nombre Operativo - Identificación Operativo - Codigo ARL - Pregunta C1 - Pregunta C2 - Pregunta C3 - Pregunta C4 - Entidad (AFC) - NIT (AFC) - Valor Mensual (AFC) - Entidad (Pensiones Voluntarias) - NIT (Pensiones Voluntarias) - Valor Mensual (Pensiones Voluntarias) - Número CRP - Fecha del CRP</v>
      </c>
      <c r="D95" s="275"/>
      <c r="E95" s="275"/>
      <c r="F95" s="275"/>
      <c r="G95" s="275"/>
      <c r="H95" s="275"/>
      <c r="I95" s="275"/>
      <c r="J95" s="275"/>
      <c r="K95" s="275"/>
      <c r="L95" s="275"/>
      <c r="M95" s="275"/>
      <c r="N95" s="275"/>
      <c r="O95" s="275"/>
      <c r="P95" s="275"/>
      <c r="Q95" s="275"/>
      <c r="R95" s="275"/>
      <c r="S95" s="275"/>
      <c r="T95" s="275"/>
      <c r="U95" s="275"/>
      <c r="V95" s="275"/>
      <c r="W95" s="275"/>
      <c r="X95" s="275"/>
      <c r="Y95" s="275"/>
      <c r="Z95" s="275"/>
      <c r="AA95" s="275"/>
      <c r="AB95" s="275"/>
      <c r="AC95" s="275"/>
      <c r="AD95" s="275"/>
      <c r="AE95" s="275"/>
      <c r="AF95" s="275"/>
      <c r="AG95" s="275"/>
      <c r="AH95" s="275"/>
      <c r="AI95" s="275"/>
      <c r="AJ95" s="275"/>
      <c r="AK95" s="275"/>
      <c r="AL95" s="275"/>
      <c r="AM95" s="275"/>
      <c r="AN95" s="275"/>
      <c r="AO95" s="275"/>
      <c r="AP95" s="275"/>
      <c r="AQ95" s="275"/>
      <c r="AR95" s="275"/>
      <c r="AS95" s="275"/>
      <c r="AT95" s="275"/>
      <c r="AU95" s="275"/>
      <c r="AV95" s="275"/>
      <c r="AW95" s="275"/>
      <c r="AX95" s="275"/>
      <c r="AY95" s="275"/>
      <c r="AZ95" s="275"/>
      <c r="BA95" s="275"/>
      <c r="BB95" s="275"/>
      <c r="BC95" s="275"/>
      <c r="BD95" s="5"/>
      <c r="BE95" s="5"/>
      <c r="BF95" s="25"/>
      <c r="BG95" s="124"/>
      <c r="BH95" s="25"/>
    </row>
    <row r="96" spans="1:107" x14ac:dyDescent="0.25">
      <c r="A96" s="5"/>
      <c r="B96" s="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5"/>
      <c r="AC96" s="275"/>
      <c r="AD96" s="275"/>
      <c r="AE96" s="275"/>
      <c r="AF96" s="275"/>
      <c r="AG96" s="275"/>
      <c r="AH96" s="275"/>
      <c r="AI96" s="275"/>
      <c r="AJ96" s="275"/>
      <c r="AK96" s="275"/>
      <c r="AL96" s="275"/>
      <c r="AM96" s="275"/>
      <c r="AN96" s="275"/>
      <c r="AO96" s="275"/>
      <c r="AP96" s="275"/>
      <c r="AQ96" s="275"/>
      <c r="AR96" s="275"/>
      <c r="AS96" s="275"/>
      <c r="AT96" s="275"/>
      <c r="AU96" s="275"/>
      <c r="AV96" s="275"/>
      <c r="AW96" s="275"/>
      <c r="AX96" s="275"/>
      <c r="AY96" s="275"/>
      <c r="AZ96" s="275"/>
      <c r="BA96" s="275"/>
      <c r="BB96" s="275"/>
      <c r="BC96" s="275"/>
      <c r="BD96" s="5"/>
      <c r="BE96" s="5"/>
      <c r="BF96" s="25"/>
      <c r="BG96" s="124"/>
      <c r="BH96" s="25"/>
    </row>
    <row r="97" spans="1:60" x14ac:dyDescent="0.25">
      <c r="A97" s="5"/>
      <c r="B97" s="5"/>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c r="AA97" s="275"/>
      <c r="AB97" s="275"/>
      <c r="AC97" s="275"/>
      <c r="AD97" s="275"/>
      <c r="AE97" s="275"/>
      <c r="AF97" s="275"/>
      <c r="AG97" s="275"/>
      <c r="AH97" s="275"/>
      <c r="AI97" s="275"/>
      <c r="AJ97" s="275"/>
      <c r="AK97" s="275"/>
      <c r="AL97" s="275"/>
      <c r="AM97" s="275"/>
      <c r="AN97" s="275"/>
      <c r="AO97" s="275"/>
      <c r="AP97" s="275"/>
      <c r="AQ97" s="275"/>
      <c r="AR97" s="275"/>
      <c r="AS97" s="275"/>
      <c r="AT97" s="275"/>
      <c r="AU97" s="275"/>
      <c r="AV97" s="275"/>
      <c r="AW97" s="275"/>
      <c r="AX97" s="275"/>
      <c r="AY97" s="275"/>
      <c r="AZ97" s="275"/>
      <c r="BA97" s="275"/>
      <c r="BB97" s="275"/>
      <c r="BC97" s="275"/>
      <c r="BD97" s="5"/>
      <c r="BE97" s="5"/>
      <c r="BF97" s="25"/>
      <c r="BG97" s="124"/>
      <c r="BH97" s="25"/>
    </row>
    <row r="98" spans="1:60" x14ac:dyDescent="0.25">
      <c r="A98" s="5"/>
      <c r="B98" s="5"/>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c r="AA98" s="275"/>
      <c r="AB98" s="275"/>
      <c r="AC98" s="275"/>
      <c r="AD98" s="275"/>
      <c r="AE98" s="275"/>
      <c r="AF98" s="275"/>
      <c r="AG98" s="275"/>
      <c r="AH98" s="275"/>
      <c r="AI98" s="275"/>
      <c r="AJ98" s="275"/>
      <c r="AK98" s="275"/>
      <c r="AL98" s="275"/>
      <c r="AM98" s="275"/>
      <c r="AN98" s="275"/>
      <c r="AO98" s="275"/>
      <c r="AP98" s="275"/>
      <c r="AQ98" s="275"/>
      <c r="AR98" s="275"/>
      <c r="AS98" s="275"/>
      <c r="AT98" s="275"/>
      <c r="AU98" s="275"/>
      <c r="AV98" s="275"/>
      <c r="AW98" s="275"/>
      <c r="AX98" s="275"/>
      <c r="AY98" s="275"/>
      <c r="AZ98" s="275"/>
      <c r="BA98" s="275"/>
      <c r="BB98" s="275"/>
      <c r="BC98" s="275"/>
      <c r="BD98" s="5"/>
      <c r="BE98" s="5"/>
      <c r="BF98" s="25"/>
      <c r="BG98" s="124"/>
      <c r="BH98" s="25"/>
    </row>
    <row r="99" spans="1:60" x14ac:dyDescent="0.25">
      <c r="A99" s="5"/>
      <c r="B99" s="5"/>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c r="AA99" s="275"/>
      <c r="AB99" s="275"/>
      <c r="AC99" s="275"/>
      <c r="AD99" s="275"/>
      <c r="AE99" s="275"/>
      <c r="AF99" s="275"/>
      <c r="AG99" s="275"/>
      <c r="AH99" s="275"/>
      <c r="AI99" s="275"/>
      <c r="AJ99" s="275"/>
      <c r="AK99" s="275"/>
      <c r="AL99" s="275"/>
      <c r="AM99" s="275"/>
      <c r="AN99" s="275"/>
      <c r="AO99" s="275"/>
      <c r="AP99" s="275"/>
      <c r="AQ99" s="275"/>
      <c r="AR99" s="275"/>
      <c r="AS99" s="275"/>
      <c r="AT99" s="275"/>
      <c r="AU99" s="275"/>
      <c r="AV99" s="275"/>
      <c r="AW99" s="275"/>
      <c r="AX99" s="275"/>
      <c r="AY99" s="275"/>
      <c r="AZ99" s="275"/>
      <c r="BA99" s="275"/>
      <c r="BB99" s="275"/>
      <c r="BC99" s="275"/>
      <c r="BD99" s="5"/>
      <c r="BE99" s="5"/>
      <c r="BF99" s="25"/>
      <c r="BG99" s="124"/>
      <c r="BH99" s="25"/>
    </row>
    <row r="100" spans="1:60" ht="15.75" thickBot="1" x14ac:dyDescent="0.3">
      <c r="A100" s="5"/>
      <c r="B100" s="5"/>
      <c r="C100" s="5"/>
      <c r="D100" s="5"/>
      <c r="E100" s="5"/>
      <c r="F100" s="216"/>
      <c r="G100" s="216"/>
      <c r="H100" s="216"/>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216"/>
      <c r="AT100" s="216"/>
      <c r="AU100" s="216"/>
      <c r="AV100" s="216"/>
      <c r="AW100" s="216"/>
      <c r="AX100" s="216"/>
      <c r="AY100" s="216"/>
      <c r="AZ100" s="216"/>
      <c r="BA100" s="5"/>
      <c r="BB100" s="5"/>
      <c r="BC100" s="5"/>
      <c r="BD100" s="5"/>
      <c r="BE100" s="5"/>
      <c r="BF100" s="25"/>
      <c r="BG100" s="124"/>
      <c r="BH100" s="25"/>
    </row>
    <row r="101" spans="1:60" ht="23.25" x14ac:dyDescent="0.25">
      <c r="A101" s="5"/>
      <c r="B101" s="5"/>
      <c r="C101" s="5"/>
      <c r="D101" s="5"/>
      <c r="E101" s="276" t="str">
        <f>IF(AA11=2,AI16,"ERROR")</f>
        <v xml:space="preserve">   </v>
      </c>
      <c r="F101" s="276"/>
      <c r="G101" s="276"/>
      <c r="H101" s="276"/>
      <c r="I101" s="276"/>
      <c r="J101" s="276"/>
      <c r="K101" s="276"/>
      <c r="L101" s="276"/>
      <c r="M101" s="276"/>
      <c r="N101" s="276"/>
      <c r="O101" s="276"/>
      <c r="P101" s="276"/>
      <c r="Q101" s="276"/>
      <c r="R101" s="276"/>
      <c r="S101" s="276"/>
      <c r="T101" s="276"/>
      <c r="U101" s="276"/>
      <c r="V101" s="276"/>
      <c r="W101" s="276"/>
      <c r="X101" s="276"/>
      <c r="Y101" s="276"/>
      <c r="Z101" s="276"/>
      <c r="AA101" s="276"/>
      <c r="AB101" s="276"/>
      <c r="AC101" s="276"/>
      <c r="AD101" s="276"/>
      <c r="AE101" s="276"/>
      <c r="AF101" s="276"/>
      <c r="AG101" s="276"/>
      <c r="AH101" s="276"/>
      <c r="AI101" s="276"/>
      <c r="AJ101" s="276"/>
      <c r="AK101" s="276"/>
      <c r="AL101" s="276"/>
      <c r="AM101" s="276"/>
      <c r="AN101" s="276"/>
      <c r="AO101" s="276"/>
      <c r="AP101" s="276"/>
      <c r="AQ101" s="276"/>
      <c r="AR101" s="276"/>
      <c r="AS101" s="276"/>
      <c r="AT101" s="276"/>
      <c r="AU101" s="276"/>
      <c r="AV101" s="276"/>
      <c r="AW101" s="276"/>
      <c r="AX101" s="276"/>
      <c r="AY101" s="276"/>
      <c r="AZ101" s="276"/>
      <c r="BA101" s="276"/>
      <c r="BB101" s="276"/>
      <c r="BC101" s="5"/>
      <c r="BD101" s="5"/>
      <c r="BE101" s="5"/>
      <c r="BF101" s="25"/>
      <c r="BG101" s="124"/>
      <c r="BH101" s="25"/>
    </row>
    <row r="102" spans="1:60" ht="21" x14ac:dyDescent="0.25">
      <c r="A102" s="5"/>
      <c r="B102" s="5"/>
      <c r="C102" s="5"/>
      <c r="D102" s="5"/>
      <c r="E102" s="5"/>
      <c r="F102" s="5"/>
      <c r="G102" s="277" t="str">
        <f>_xlfn.CONCAT(AC11,AP13)</f>
        <v/>
      </c>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5"/>
      <c r="AZ102" s="5"/>
      <c r="BA102" s="5"/>
      <c r="BB102" s="5"/>
      <c r="BC102" s="5"/>
      <c r="BD102" s="5"/>
      <c r="BE102" s="5"/>
      <c r="BF102" s="25"/>
      <c r="BG102" s="124"/>
      <c r="BH102" s="25"/>
    </row>
    <row r="103" spans="1:60" ht="18.75" customHeight="1" x14ac:dyDescent="0.25">
      <c r="A103" s="5"/>
      <c r="B103" s="5"/>
      <c r="C103" s="5"/>
      <c r="D103" s="5"/>
      <c r="E103" s="5"/>
      <c r="F103" s="278" t="str">
        <f>IF(C95="Formulario sin diligenciar","",CONCATENATE("CONTRATO No ",A46," DE ",F47))</f>
        <v xml:space="preserve">CONTRATO No  DE </v>
      </c>
      <c r="G103" s="278"/>
      <c r="H103" s="278"/>
      <c r="I103" s="278"/>
      <c r="J103" s="278"/>
      <c r="K103" s="278"/>
      <c r="L103" s="278"/>
      <c r="M103" s="278"/>
      <c r="N103" s="278"/>
      <c r="O103" s="278"/>
      <c r="P103" s="278"/>
      <c r="Q103" s="278"/>
      <c r="R103" s="278"/>
      <c r="S103" s="278"/>
      <c r="T103" s="278"/>
      <c r="U103" s="278"/>
      <c r="V103" s="278"/>
      <c r="W103" s="278"/>
      <c r="X103" s="278"/>
      <c r="Y103" s="278"/>
      <c r="Z103" s="278"/>
      <c r="AA103" s="278"/>
      <c r="AB103" s="278"/>
      <c r="AC103" s="278"/>
      <c r="AD103" s="278"/>
      <c r="AE103" s="278"/>
      <c r="AF103" s="278"/>
      <c r="AG103" s="278"/>
      <c r="AH103" s="278"/>
      <c r="AI103" s="278"/>
      <c r="AJ103" s="278"/>
      <c r="AK103" s="278"/>
      <c r="AL103" s="278"/>
      <c r="AM103" s="278"/>
      <c r="AN103" s="278"/>
      <c r="AO103" s="278"/>
      <c r="AP103" s="278"/>
      <c r="AQ103" s="278"/>
      <c r="AR103" s="278"/>
      <c r="AS103" s="278"/>
      <c r="AT103" s="278"/>
      <c r="AU103" s="278"/>
      <c r="AV103" s="278"/>
      <c r="AW103" s="278"/>
      <c r="AX103" s="278"/>
      <c r="AY103" s="278"/>
      <c r="AZ103" s="278"/>
      <c r="BA103" s="5"/>
      <c r="BB103" s="5"/>
      <c r="BC103" s="5"/>
      <c r="BD103" s="5"/>
      <c r="BE103" s="5"/>
      <c r="BF103" s="25"/>
      <c r="BG103" s="124"/>
      <c r="BH103" s="25"/>
    </row>
    <row r="104" spans="1:60" x14ac:dyDescent="0.25">
      <c r="A104" s="209"/>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273" t="s">
        <v>5686</v>
      </c>
      <c r="BD104" s="273"/>
      <c r="BE104" s="5"/>
      <c r="BF104" s="25"/>
      <c r="BG104" s="124"/>
      <c r="BH104" s="25"/>
    </row>
    <row r="105" spans="1:60"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274" t="s">
        <v>5687</v>
      </c>
      <c r="BD105" s="274"/>
      <c r="BE105" s="5"/>
      <c r="BF105" s="25"/>
      <c r="BG105" s="124"/>
      <c r="BH105" s="25"/>
    </row>
    <row r="106" spans="1:60" ht="6.75" customHeight="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124"/>
      <c r="BH106" s="25"/>
    </row>
    <row r="107" spans="1:60" ht="7.5" customHeight="1" x14ac:dyDescent="0.25">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25"/>
    </row>
    <row r="108" spans="1:60" ht="6.75" customHeight="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row>
  </sheetData>
  <sheetProtection algorithmName="SHA-512" hashValue="SKbZWy2MTKzQBb+KzjWcphN1TxPIKTmHk9bh8TyJyE1cKmkJ0Q9e1Ph+dKW9LO/YIIOt3+X6patfl7qSe/dBmw==" saltValue="y8z9V/bz8Fli/JU+Lpu0hg==" spinCount="100000" sheet="1" selectLockedCells="1"/>
  <mergeCells count="169">
    <mergeCell ref="A89:BE89"/>
    <mergeCell ref="AQ49:AV49"/>
    <mergeCell ref="AQ50:AV50"/>
    <mergeCell ref="D83:H83"/>
    <mergeCell ref="D85:H85"/>
    <mergeCell ref="A50:L50"/>
    <mergeCell ref="J52:Q52"/>
    <mergeCell ref="C67:AY68"/>
    <mergeCell ref="AI83:AM83"/>
    <mergeCell ref="AN83:BB83"/>
    <mergeCell ref="X38:AS38"/>
    <mergeCell ref="V82:W82"/>
    <mergeCell ref="AH53:AN53"/>
    <mergeCell ref="C61:AY62"/>
    <mergeCell ref="V79:AB79"/>
    <mergeCell ref="V80:AB80"/>
    <mergeCell ref="N50:O50"/>
    <mergeCell ref="Q50:T50"/>
    <mergeCell ref="A49:L49"/>
    <mergeCell ref="F39:V40"/>
    <mergeCell ref="AU39:BB39"/>
    <mergeCell ref="AF79:AX79"/>
    <mergeCell ref="F46:I46"/>
    <mergeCell ref="A53:G53"/>
    <mergeCell ref="A42:BC42"/>
    <mergeCell ref="S52:X52"/>
    <mergeCell ref="M80:S80"/>
    <mergeCell ref="AU38:BC38"/>
    <mergeCell ref="A56:BC56"/>
    <mergeCell ref="A44:D44"/>
    <mergeCell ref="Z53:AF53"/>
    <mergeCell ref="K46:U46"/>
    <mergeCell ref="F47:I47"/>
    <mergeCell ref="AN47:AQ47"/>
    <mergeCell ref="AP11:BC11"/>
    <mergeCell ref="AG24:AP24"/>
    <mergeCell ref="AR24:BC24"/>
    <mergeCell ref="AN30:BC30"/>
    <mergeCell ref="M31:O31"/>
    <mergeCell ref="AE31:AF31"/>
    <mergeCell ref="AN32:BC32"/>
    <mergeCell ref="AH31:AL31"/>
    <mergeCell ref="AH30:AL30"/>
    <mergeCell ref="Q30:X30"/>
    <mergeCell ref="Q31:X31"/>
    <mergeCell ref="A30:O30"/>
    <mergeCell ref="Z31:AD31"/>
    <mergeCell ref="AG26:AO26"/>
    <mergeCell ref="AQ26:AY26"/>
    <mergeCell ref="Q16:X16"/>
    <mergeCell ref="Y15:AH15"/>
    <mergeCell ref="A21:O21"/>
    <mergeCell ref="A34:BC34"/>
    <mergeCell ref="A52:G52"/>
    <mergeCell ref="M79:S79"/>
    <mergeCell ref="Z30:AF30"/>
    <mergeCell ref="AG23:AO23"/>
    <mergeCell ref="AQ23:BC23"/>
    <mergeCell ref="W44:AA44"/>
    <mergeCell ref="A38:V38"/>
    <mergeCell ref="AS18:BC18"/>
    <mergeCell ref="AC49:AD49"/>
    <mergeCell ref="AN49:AO49"/>
    <mergeCell ref="AC50:AD50"/>
    <mergeCell ref="AN50:AO50"/>
    <mergeCell ref="V49:AA49"/>
    <mergeCell ref="V50:AA50"/>
    <mergeCell ref="AF49:AL49"/>
    <mergeCell ref="AF50:AL50"/>
    <mergeCell ref="A36:BC36"/>
    <mergeCell ref="A58:BC58"/>
    <mergeCell ref="A28:BC28"/>
    <mergeCell ref="J53:Q53"/>
    <mergeCell ref="A75:BE75"/>
    <mergeCell ref="D79:J79"/>
    <mergeCell ref="AC47:AF47"/>
    <mergeCell ref="BC3:BE3"/>
    <mergeCell ref="A23:AE23"/>
    <mergeCell ref="A24:AE24"/>
    <mergeCell ref="T20:AJ20"/>
    <mergeCell ref="A20:Q20"/>
    <mergeCell ref="A7:BC7"/>
    <mergeCell ref="T21:AH21"/>
    <mergeCell ref="A15:H15"/>
    <mergeCell ref="A8:BC8"/>
    <mergeCell ref="AI21:AJ21"/>
    <mergeCell ref="AC11:AM11"/>
    <mergeCell ref="A13:N13"/>
    <mergeCell ref="AP13:BC13"/>
    <mergeCell ref="AI15:BC15"/>
    <mergeCell ref="AI16:BC16"/>
    <mergeCell ref="AC10:AN10"/>
    <mergeCell ref="BB21:BC21"/>
    <mergeCell ref="AM21:BA21"/>
    <mergeCell ref="A11:N11"/>
    <mergeCell ref="U18:AB18"/>
    <mergeCell ref="I16:P16"/>
    <mergeCell ref="AM20:BC20"/>
    <mergeCell ref="A16:H16"/>
    <mergeCell ref="P21:Q21"/>
    <mergeCell ref="X40:AB40"/>
    <mergeCell ref="BA82:BB82"/>
    <mergeCell ref="I83:W83"/>
    <mergeCell ref="A40:D40"/>
    <mergeCell ref="K44:U44"/>
    <mergeCell ref="AX50:BC50"/>
    <mergeCell ref="AI84:AM84"/>
    <mergeCell ref="I84:W84"/>
    <mergeCell ref="AF80:BB80"/>
    <mergeCell ref="D80:J80"/>
    <mergeCell ref="A59:BC59"/>
    <mergeCell ref="Z52:AF52"/>
    <mergeCell ref="S82:T82"/>
    <mergeCell ref="AX82:AY82"/>
    <mergeCell ref="C73:AY73"/>
    <mergeCell ref="D84:H84"/>
    <mergeCell ref="AN44:AW44"/>
    <mergeCell ref="AN45:AQ45"/>
    <mergeCell ref="AS45:AT45"/>
    <mergeCell ref="AV45:AW45"/>
    <mergeCell ref="AY44:BB44"/>
    <mergeCell ref="A1:BC1"/>
    <mergeCell ref="A2:BC2"/>
    <mergeCell ref="A4:BC4"/>
    <mergeCell ref="AW52:BC52"/>
    <mergeCell ref="AW53:BC53"/>
    <mergeCell ref="R10:AA10"/>
    <mergeCell ref="R11:Z11"/>
    <mergeCell ref="A10:N10"/>
    <mergeCell ref="AP10:BC10"/>
    <mergeCell ref="Y16:AH16"/>
    <mergeCell ref="F44:I44"/>
    <mergeCell ref="AC46:AL46"/>
    <mergeCell ref="AN46:AW46"/>
    <mergeCell ref="AC44:AL44"/>
    <mergeCell ref="AY46:BB46"/>
    <mergeCell ref="W46:AA46"/>
    <mergeCell ref="I15:P15"/>
    <mergeCell ref="Q15:X15"/>
    <mergeCell ref="A18:O18"/>
    <mergeCell ref="AD39:AP40"/>
    <mergeCell ref="A31:L31"/>
    <mergeCell ref="AQ39:AS39"/>
    <mergeCell ref="AC18:AQ18"/>
    <mergeCell ref="A46:D46"/>
    <mergeCell ref="C91:BC93"/>
    <mergeCell ref="AQ40:AS40"/>
    <mergeCell ref="C64:AY65"/>
    <mergeCell ref="S53:X53"/>
    <mergeCell ref="BC104:BD104"/>
    <mergeCell ref="BC105:BD105"/>
    <mergeCell ref="C95:BC99"/>
    <mergeCell ref="E101:BB101"/>
    <mergeCell ref="G102:AX102"/>
    <mergeCell ref="F103:AZ103"/>
    <mergeCell ref="N49:O49"/>
    <mergeCell ref="Q49:T49"/>
    <mergeCell ref="AX49:BC49"/>
    <mergeCell ref="AH52:AN52"/>
    <mergeCell ref="AI85:AM85"/>
    <mergeCell ref="AN85:BB85"/>
    <mergeCell ref="D82:Q82"/>
    <mergeCell ref="AI82:AV82"/>
    <mergeCell ref="C70:AY71"/>
    <mergeCell ref="S76:AM77"/>
    <mergeCell ref="AN76:AP77"/>
    <mergeCell ref="AY79:BB79"/>
    <mergeCell ref="I85:W85"/>
    <mergeCell ref="AN84:BB84"/>
  </mergeCells>
  <conditionalFormatting sqref="A39:D39">
    <cfRule type="cellIs" dxfId="37" priority="27" operator="equal">
      <formula>""</formula>
    </cfRule>
  </conditionalFormatting>
  <conditionalFormatting sqref="A46:D46">
    <cfRule type="cellIs" dxfId="36" priority="25" operator="equal">
      <formula>""</formula>
    </cfRule>
  </conditionalFormatting>
  <conditionalFormatting sqref="A50:L50">
    <cfRule type="cellIs" dxfId="35" priority="22" operator="equal">
      <formula>""</formula>
    </cfRule>
  </conditionalFormatting>
  <conditionalFormatting sqref="C73:AY73">
    <cfRule type="containsText" dxfId="34" priority="1" operator="containsText" text="REVISE SU INFORMACIÓN TRIBUTARIA">
      <formula>NOT(ISERROR(SEARCH("REVISE SU INFORMACIÓN TRIBUTARIA",C73)))</formula>
    </cfRule>
    <cfRule type="containsText" dxfId="33" priority="2" stopIfTrue="1" operator="containsText" text="PENSIONADO">
      <formula>NOT(ISERROR(SEARCH("PENSIONADO",C73)))</formula>
    </cfRule>
  </conditionalFormatting>
  <conditionalFormatting sqref="C95:BC99">
    <cfRule type="containsText" dxfId="32" priority="9" operator="containsText" text="VERIFICAR RESPONSABILIDAD DE IVA POR CUANTIA DEL CONTRATO">
      <formula>NOT(ISERROR(SEARCH("VERIFICAR RESPONSABILIDAD DE IVA POR CUANTIA DEL CONTRATO",C95)))</formula>
    </cfRule>
  </conditionalFormatting>
  <conditionalFormatting sqref="E101 E102:G102 AY102:BB102">
    <cfRule type="cellIs" dxfId="29" priority="35" operator="equal">
      <formula>0</formula>
    </cfRule>
  </conditionalFormatting>
  <conditionalFormatting sqref="F46">
    <cfRule type="cellIs" dxfId="28" priority="24" operator="equal">
      <formula>""</formula>
    </cfRule>
  </conditionalFormatting>
  <conditionalFormatting sqref="F39:V40">
    <cfRule type="containsText" dxfId="27" priority="30" operator="containsText" text="Actividad economica NO existe - por favor verificar">
      <formula>NOT(ISERROR(SEARCH("Actividad economica NO existe - por favor verificar",F39)))</formula>
    </cfRule>
  </conditionalFormatting>
  <conditionalFormatting sqref="I83:W85">
    <cfRule type="cellIs" dxfId="26" priority="20" operator="equal">
      <formula>""</formula>
    </cfRule>
  </conditionalFormatting>
  <conditionalFormatting sqref="K46:U46">
    <cfRule type="cellIs" dxfId="25" priority="23" operator="equal">
      <formula>""</formula>
    </cfRule>
  </conditionalFormatting>
  <conditionalFormatting sqref="Q18 A11 P11 AP11 A16:AH16 S18 A21:O21 T21:AH21 AM21:BA21 A24:AE24 AG24 AR24 A31:L31 Q31:X31 Z31:AD31 AN31:BC31 AU39:BB39 AC46:AL46 AN46:AW46 AY46:BB46 N50:O50 Q50:T50 AX50:BC50 A53:G53 J53 S53 BA61 BC61 BA64 BC64 BA67 BC67">
    <cfRule type="cellIs" dxfId="24" priority="10" operator="equal">
      <formula>""</formula>
    </cfRule>
  </conditionalFormatting>
  <conditionalFormatting sqref="Q18">
    <cfRule type="cellIs" dxfId="23" priority="5" stopIfTrue="1" operator="equal">
      <formula>"X"</formula>
    </cfRule>
  </conditionalFormatting>
  <conditionalFormatting sqref="S82:T82">
    <cfRule type="cellIs" dxfId="22" priority="19" operator="equal">
      <formula>""</formula>
    </cfRule>
  </conditionalFormatting>
  <conditionalFormatting sqref="V82:W82">
    <cfRule type="cellIs" dxfId="21" priority="17" operator="equal">
      <formula>""</formula>
    </cfRule>
  </conditionalFormatting>
  <conditionalFormatting sqref="V50:AA50">
    <cfRule type="cellIs" dxfId="20" priority="4" operator="equal">
      <formula>""</formula>
    </cfRule>
  </conditionalFormatting>
  <conditionalFormatting sqref="X39:AB39">
    <cfRule type="cellIs" dxfId="19" priority="26" operator="equal">
      <formula>""</formula>
    </cfRule>
  </conditionalFormatting>
  <conditionalFormatting sqref="Z53">
    <cfRule type="cellIs" dxfId="18" priority="7" operator="equal">
      <formula>""</formula>
    </cfRule>
  </conditionalFormatting>
  <conditionalFormatting sqref="AC18">
    <cfRule type="cellIs" dxfId="17" priority="34" operator="equal">
      <formula>0</formula>
    </cfRule>
  </conditionalFormatting>
  <conditionalFormatting sqref="AC11:AM11">
    <cfRule type="cellIs" dxfId="16" priority="31" operator="equal">
      <formula>0</formula>
    </cfRule>
  </conditionalFormatting>
  <conditionalFormatting sqref="AD39:AP40">
    <cfRule type="containsText" dxfId="15" priority="28" operator="containsText" text="Actividad economica NO existe - por favor verificar">
      <formula>NOT(ISERROR(SEARCH("Actividad economica NO existe - por favor verificar",AD39)))</formula>
    </cfRule>
  </conditionalFormatting>
  <conditionalFormatting sqref="AH53">
    <cfRule type="cellIs" dxfId="14" priority="6" operator="equal">
      <formula>""</formula>
    </cfRule>
  </conditionalFormatting>
  <conditionalFormatting sqref="AN83:BB85">
    <cfRule type="cellIs" dxfId="13" priority="16" operator="equal">
      <formula>""</formula>
    </cfRule>
  </conditionalFormatting>
  <conditionalFormatting sqref="AU35">
    <cfRule type="containsText" dxfId="12" priority="29" operator="containsText" text="Actividad economica NO existe - por favor verificar">
      <formula>NOT(ISERROR(SEARCH("Actividad economica NO existe - por favor verificar",AU35)))</formula>
    </cfRule>
  </conditionalFormatting>
  <conditionalFormatting sqref="AX82:AY82">
    <cfRule type="cellIs" dxfId="11" priority="15" operator="equal">
      <formula>""</formula>
    </cfRule>
  </conditionalFormatting>
  <conditionalFormatting sqref="BA70 BC70">
    <cfRule type="cellIs" dxfId="10" priority="8" operator="equal">
      <formula>""</formula>
    </cfRule>
  </conditionalFormatting>
  <conditionalFormatting sqref="BA82:BB82">
    <cfRule type="cellIs" dxfId="9" priority="14" operator="equal">
      <formula>""</formula>
    </cfRule>
  </conditionalFormatting>
  <dataValidations xWindow="979" yWindow="681" count="19">
    <dataValidation type="textLength" allowBlank="1" showInputMessage="1" showErrorMessage="1" sqref="Q31:X31" xr:uid="{00000000-0002-0000-0000-000001000000}">
      <formula1>0</formula1>
      <formula2>16</formula2>
    </dataValidation>
    <dataValidation type="list" allowBlank="1" showInputMessage="1" showErrorMessage="1" sqref="Q18 S18 S82:T82 V82:W82 AX82:AY82 BA82:BB82 BC61 BA61 BA64 BC64 BA67 BC67 BC70 BA70" xr:uid="{00000000-0002-0000-0000-000002000000}">
      <formula1>"X"</formula1>
    </dataValidation>
    <dataValidation type="textLength" allowBlank="1" showInputMessage="1" showErrorMessage="1" sqref="A46:D47" xr:uid="{00000000-0002-0000-0000-000003000000}">
      <formula1>0</formula1>
      <formula2>8</formula2>
    </dataValidation>
    <dataValidation type="whole" allowBlank="1" showInputMessage="1" showErrorMessage="1" sqref="K46:U46" xr:uid="{00000000-0002-0000-0000-000004000000}">
      <formula1>0</formula1>
      <formula2>10000000000</formula2>
    </dataValidation>
    <dataValidation type="custom" allowBlank="1" showInputMessage="1" showErrorMessage="1" sqref="AN85:BB85 I85:W85" xr:uid="{00000000-0002-0000-0000-000005000000}">
      <formula1>S82:T82="X"</formula1>
    </dataValidation>
    <dataValidation operator="equal" showInputMessage="1" showErrorMessage="1" error="Dato Inválido" sqref="A50:L50" xr:uid="{00000000-0002-0000-0000-00000C000000}"/>
    <dataValidation type="date" allowBlank="1" showInputMessage="1" showErrorMessage="1" sqref="AN46:AW46" xr:uid="{0FA714E3-E298-46A6-B76B-3C4FEAAEB671}">
      <formula1>AC46</formula1>
      <formula2>47848</formula2>
    </dataValidation>
    <dataValidation type="date" allowBlank="1" showInputMessage="1" showErrorMessage="1" sqref="AC46 D52:G53 AF50:AL50 AQ50:AV50" xr:uid="{512C06BC-AEEB-406F-8604-124A2EDA911E}">
      <formula1>42370</formula1>
      <formula2>47848</formula2>
    </dataValidation>
    <dataValidation type="custom" allowBlank="1" showInputMessage="1" showErrorMessage="1" sqref="I83:W83 AN83:BB83" xr:uid="{575D5EEB-CAC9-4B0A-8C79-3C6C08A4D7D4}">
      <formula1>S82:T82="X"</formula1>
    </dataValidation>
    <dataValidation type="custom" allowBlank="1" showInputMessage="1" showErrorMessage="1" sqref="AA83" xr:uid="{4E9F58A8-AB0A-4A4D-8CA5-412916FE6A58}">
      <formula1>"AA94=""OK"""</formula1>
    </dataValidation>
    <dataValidation type="custom" allowBlank="1" showInputMessage="1" showErrorMessage="1" sqref="I84:W84 AN84:BB84" xr:uid="{434B01A8-B43C-45C7-9065-1E633A6D2F3D}">
      <formula1>S82:T82="X"</formula1>
    </dataValidation>
    <dataValidation type="custom" allowBlank="1" showInputMessage="1" showErrorMessage="1" sqref="R11:Z11" xr:uid="{F7FC1432-046A-4651-BA9C-42D094296EC0}">
      <formula1>"PERSONA NATURAL"</formula1>
    </dataValidation>
    <dataValidation type="list" allowBlank="1" showInputMessage="1" showErrorMessage="1" sqref="R12 W47 A12:N12 P12 AP12:BC12 AQ25:AY25 AZ25:BC26 AG25:AO25 AC12" xr:uid="{00000000-0002-0000-0000-00000D000000}">
      <formula1>#REF!</formula1>
    </dataValidation>
    <dataValidation type="custom" allowBlank="1" showInputMessage="1" showErrorMessage="1" sqref="A24:AE24" xr:uid="{2A40D63B-21B0-4C80-8B0F-1A9B70A6575C}">
      <formula1>ISNUMBER(MATCH("*@*.??*",A24,0))</formula1>
    </dataValidation>
    <dataValidation type="date" allowBlank="1" showInputMessage="1" showErrorMessage="1" sqref="Q50:T50" xr:uid="{6E1545D4-0981-4D87-BC43-5670A6AA910C}">
      <formula1>42370</formula1>
      <formula2>AC46</formula2>
    </dataValidation>
    <dataValidation type="whole" allowBlank="1" showInputMessage="1" showErrorMessage="1" sqref="AP11:BC11 A11:N11" xr:uid="{E309A854-02CF-412A-8D5A-A921B82C005D}">
      <formula1>1000</formula1>
      <formula2>3000000000</formula2>
    </dataValidation>
    <dataValidation type="whole" allowBlank="1" showInputMessage="1" showErrorMessage="1" sqref="F46:I46" xr:uid="{877048D9-DAC3-4F00-9BF2-8BEE12A63B70}">
      <formula1>2025</formula1>
      <formula2>2026</formula2>
    </dataValidation>
    <dataValidation type="textLength" operator="equal" allowBlank="1" showInputMessage="1" showErrorMessage="1" sqref="AG24:AP24 AR24:BC24" xr:uid="{F76E1E96-E833-4C05-AF63-4B89C91534E3}">
      <formula1>10</formula1>
    </dataValidation>
    <dataValidation type="list" allowBlank="1" showInputMessage="1" showErrorMessage="1" sqref="V50" xr:uid="{6DA18643-955F-4DBA-A4B7-F17CBE49D72F}">
      <formula1>"SI, NO"</formula1>
    </dataValidation>
  </dataValidations>
  <printOptions horizontalCentered="1"/>
  <pageMargins left="0.19685039370078741" right="0.11811023622047245" top="0.74803149606299213" bottom="0.55118110236220474" header="0.31496062992125984" footer="0.31496062992125984"/>
  <pageSetup scale="36"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2" operator="containsText" id="{4A44B6E9-5C27-45C8-AC2F-2832736C1D61}">
            <xm:f>NOT(ISERROR(SEARCH("Formulario sin diligenciar",C95)))</xm:f>
            <xm:f>"Formulario sin diligenciar"</xm:f>
            <x14:dxf>
              <font>
                <color rgb="FF9C0006"/>
              </font>
              <fill>
                <patternFill>
                  <bgColor rgb="FFFFC7CE"/>
                </patternFill>
              </fill>
            </x14:dxf>
          </x14:cfRule>
          <x14:cfRule type="containsText" priority="13" operator="containsText" id="{BBA74C8E-6853-4BDD-ADDE-2F013F21D1D9}">
            <xm:f>NOT(ISERROR(SEARCH("Por favor verifique la información de :",C95)))</xm:f>
            <xm:f>"Por favor verifique la información de :"</xm:f>
            <x14:dxf>
              <font>
                <color rgb="FF9C0006"/>
              </font>
              <fill>
                <patternFill>
                  <bgColor rgb="FFFFC7CE"/>
                </patternFill>
              </fill>
            </x14:dxf>
          </x14:cfRule>
          <xm:sqref>C95:BC99</xm:sqref>
        </x14:conditionalFormatting>
      </x14:conditionalFormattings>
    </ext>
    <ext xmlns:x14="http://schemas.microsoft.com/office/spreadsheetml/2009/9/main" uri="{CCE6A557-97BC-4b89-ADB6-D9C93CAAB3DF}">
      <x14:dataValidations xmlns:xm="http://schemas.microsoft.com/office/excel/2006/main" xWindow="979" yWindow="681" count="13">
        <x14:dataValidation type="list" allowBlank="1" showInputMessage="1" showErrorMessage="1" xr:uid="{00000000-0002-0000-0000-000006000000}">
          <x14:formula1>
            <xm:f>'Validador- Datos'!$O$22</xm:f>
          </x14:formula1>
          <xm:sqref>D80:J80 M80:S80 V80:AB80</xm:sqref>
        </x14:dataValidation>
        <x14:dataValidation type="list" allowBlank="1" showInputMessage="1" showErrorMessage="1" xr:uid="{00000000-0002-0000-0000-00000F000000}">
          <x14:formula1>
            <xm:f>'Validador- Datos'!$T$2:$T$249</xm:f>
          </x14:formula1>
          <xm:sqref>A21:O21</xm:sqref>
        </x14:dataValidation>
        <x14:dataValidation type="list" allowBlank="1" showInputMessage="1" showErrorMessage="1" xr:uid="{00000000-0002-0000-0000-000010000000}">
          <x14:formula1>
            <xm:f>'Validador- Datos'!$W$2:$W$36</xm:f>
          </x14:formula1>
          <xm:sqref>T21:AH21</xm:sqref>
        </x14:dataValidation>
        <x14:dataValidation type="list" allowBlank="1" showInputMessage="1" showErrorMessage="1" xr:uid="{EF739299-CD1E-4B34-AC7E-271DE86315E3}">
          <x14:formula1>
            <xm:f>'Validador- Datos'!$I$2:$I$11</xm:f>
          </x14:formula1>
          <xm:sqref>X39:AB39 P11 A39:D39 AN31:BC31</xm:sqref>
        </x14:dataValidation>
        <x14:dataValidation type="list" allowBlank="1" showInputMessage="1" showErrorMessage="1" xr:uid="{B2A3F5EB-FDEC-48AE-AFD8-7A05DAE67822}">
          <x14:formula1>
            <xm:f>'Validador- Datos'!$K$2:$K$14</xm:f>
          </x14:formula1>
          <xm:sqref>AC11:AM11</xm:sqref>
        </x14:dataValidation>
        <x14:dataValidation type="list" allowBlank="1" showInputMessage="1" showErrorMessage="1" xr:uid="{DB56EE9B-07BA-419D-AF5B-0951ED2C2F92}">
          <x14:formula1>
            <xm:f>'Validador- Datos'!$AK$2:$AK$126</xm:f>
          </x14:formula1>
          <xm:sqref>AM21:BA21</xm:sqref>
        </x14:dataValidation>
        <x14:dataValidation type="list" allowBlank="1" showInputMessage="1" showErrorMessage="1" xr:uid="{9E29075C-7D13-4F0D-991E-615DD8BD8E60}">
          <x14:formula1>
            <xm:f>'Validador- Datos'!$K$22:$K$23</xm:f>
          </x14:formula1>
          <xm:sqref>AU39:BB39</xm:sqref>
        </x14:dataValidation>
        <x14:dataValidation type="list" allowBlank="1" showInputMessage="1" showErrorMessage="1" xr:uid="{5EA41082-61E8-47FF-BBC5-D7125C7C00AF}">
          <x14:formula1>
            <xm:f>'Validador- Datos'!$K$31:$K$32</xm:f>
          </x14:formula1>
          <xm:sqref>AY46:BB46</xm:sqref>
        </x14:dataValidation>
        <x14:dataValidation type="list" allowBlank="1" showInputMessage="1" showErrorMessage="1" xr:uid="{69B34F63-0404-4987-85A3-BA6EEC5EF19B}">
          <x14:formula1>
            <xm:f>'Validador- Datos'!$BB$2:$BB$1109</xm:f>
          </x14:formula1>
          <xm:sqref>AX50:BC50</xm:sqref>
        </x14:dataValidation>
        <x14:dataValidation type="list" allowBlank="1" showInputMessage="1" showErrorMessage="1" xr:uid="{00000000-0002-0000-0000-000018000000}">
          <x14:formula1>
            <xm:f>'Validador- Datos'!$AO$2:$AO$77</xm:f>
          </x14:formula1>
          <xm:sqref>A31:L31</xm:sqref>
        </x14:dataValidation>
        <x14:dataValidation type="list" allowBlank="1" showInputMessage="1" showErrorMessage="1" xr:uid="{F8A4B3D9-540A-4F6F-A1C9-4C839B853B2C}">
          <x14:formula1>
            <xm:f>'Validador- Datos'!$K$36:$K$78</xm:f>
          </x14:formula1>
          <xm:sqref>A53:G53</xm:sqref>
        </x14:dataValidation>
        <x14:dataValidation type="list" allowBlank="1" showInputMessage="1" showErrorMessage="1" xr:uid="{00000000-0002-0000-0000-000013000000}">
          <x14:formula1>
            <xm:f>'Validador- Datos'!$AN$80:$AN$82</xm:f>
          </x14:formula1>
          <xm:sqref>Z31:AD31</xm:sqref>
        </x14:dataValidation>
        <x14:dataValidation type="whole" operator="equal" allowBlank="1" showInputMessage="1" showErrorMessage="1" xr:uid="{EB8C6CEE-BD14-4568-8EB7-4ADCCFF39606}">
          <x14:formula1>
            <xm:f>'Validador- Datos'!L28</xm:f>
          </x14:formula1>
          <xm:sqref>W46:AA46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042F3-EA71-4289-86CF-2FC9CCB5EC58}">
  <sheetPr>
    <tabColor rgb="FFFFFF00"/>
  </sheetPr>
  <dimension ref="A1:H33"/>
  <sheetViews>
    <sheetView showGridLines="0" view="pageBreakPreview" zoomScaleNormal="90" zoomScaleSheetLayoutView="100" workbookViewId="0"/>
  </sheetViews>
  <sheetFormatPr baseColWidth="10" defaultColWidth="11.42578125" defaultRowHeight="14.25" x14ac:dyDescent="0.25"/>
  <cols>
    <col min="1" max="1" width="19.5703125" style="244" customWidth="1"/>
    <col min="2" max="2" width="18.140625" style="244" customWidth="1"/>
    <col min="3" max="3" width="21.7109375" style="244" customWidth="1"/>
    <col min="4" max="4" width="1.7109375" style="244" customWidth="1"/>
    <col min="5" max="5" width="2.140625" style="244" customWidth="1"/>
    <col min="6" max="6" width="25.140625" style="244" customWidth="1"/>
    <col min="7" max="7" width="15.7109375" style="244" customWidth="1"/>
    <col min="8" max="8" width="43.28515625" style="244" customWidth="1"/>
    <col min="9" max="16384" width="11.42578125" style="244"/>
  </cols>
  <sheetData>
    <row r="1" spans="1:8" ht="30" customHeight="1" x14ac:dyDescent="0.25"/>
    <row r="2" spans="1:8" ht="47.25" customHeight="1" x14ac:dyDescent="0.25"/>
    <row r="3" spans="1:8" ht="15" customHeight="1" x14ac:dyDescent="0.25">
      <c r="E3" s="436"/>
      <c r="F3" s="436"/>
      <c r="G3" s="436"/>
      <c r="H3" s="436"/>
    </row>
    <row r="4" spans="1:8" ht="15" customHeight="1" x14ac:dyDescent="0.25">
      <c r="E4" s="436"/>
      <c r="F4" s="436"/>
      <c r="G4" s="436"/>
      <c r="H4" s="436"/>
    </row>
    <row r="6" spans="1:8" ht="15" x14ac:dyDescent="0.25">
      <c r="A6" s="245" t="s">
        <v>5642</v>
      </c>
    </row>
    <row r="7" spans="1:8" ht="59.25" customHeight="1" x14ac:dyDescent="0.25">
      <c r="A7" s="434" t="s">
        <v>5653</v>
      </c>
      <c r="B7" s="435"/>
      <c r="C7" s="435"/>
      <c r="D7" s="435"/>
      <c r="E7" s="435"/>
      <c r="F7" s="435"/>
      <c r="G7" s="435"/>
      <c r="H7" s="435"/>
    </row>
    <row r="8" spans="1:8" ht="16.5" customHeight="1" x14ac:dyDescent="0.25">
      <c r="A8" s="246"/>
      <c r="B8" s="247"/>
      <c r="C8" s="247"/>
      <c r="D8" s="247"/>
      <c r="E8" s="247"/>
      <c r="F8" s="247"/>
      <c r="G8" s="247"/>
      <c r="H8" s="247"/>
    </row>
    <row r="9" spans="1:8" ht="24.75" customHeight="1" x14ac:dyDescent="0.25">
      <c r="A9" s="245" t="s">
        <v>5643</v>
      </c>
    </row>
    <row r="10" spans="1:8" ht="61.5" customHeight="1" x14ac:dyDescent="0.25">
      <c r="A10" s="434" t="s">
        <v>5654</v>
      </c>
      <c r="B10" s="435"/>
      <c r="C10" s="435"/>
      <c r="D10" s="435"/>
      <c r="E10" s="435"/>
      <c r="F10" s="435"/>
      <c r="G10" s="435"/>
      <c r="H10" s="435"/>
    </row>
    <row r="11" spans="1:8" ht="15" x14ac:dyDescent="0.25">
      <c r="A11" s="245" t="s">
        <v>5644</v>
      </c>
    </row>
    <row r="12" spans="1:8" ht="15" x14ac:dyDescent="0.25">
      <c r="A12" s="245"/>
    </row>
    <row r="13" spans="1:8" ht="126.75" customHeight="1" x14ac:dyDescent="0.25">
      <c r="A13" s="434" t="s">
        <v>5655</v>
      </c>
      <c r="B13" s="435"/>
      <c r="C13" s="435"/>
      <c r="D13" s="435"/>
      <c r="E13" s="435"/>
      <c r="F13" s="435"/>
      <c r="G13" s="435"/>
      <c r="H13" s="435"/>
    </row>
    <row r="15" spans="1:8" ht="15" x14ac:dyDescent="0.25">
      <c r="A15" s="245" t="s">
        <v>5645</v>
      </c>
    </row>
    <row r="16" spans="1:8" ht="15" x14ac:dyDescent="0.25">
      <c r="A16" s="245"/>
    </row>
    <row r="17" spans="1:8" ht="56.25" customHeight="1" x14ac:dyDescent="0.25">
      <c r="A17" s="434" t="s">
        <v>5646</v>
      </c>
      <c r="B17" s="435"/>
      <c r="C17" s="435"/>
      <c r="D17" s="435"/>
      <c r="E17" s="435"/>
      <c r="F17" s="435"/>
      <c r="G17" s="435"/>
      <c r="H17" s="435"/>
    </row>
    <row r="19" spans="1:8" ht="15" customHeight="1" x14ac:dyDescent="0.25">
      <c r="A19" s="245" t="s">
        <v>5647</v>
      </c>
    </row>
    <row r="20" spans="1:8" ht="73.5" customHeight="1" x14ac:dyDescent="0.25">
      <c r="A20" s="434" t="s">
        <v>5678</v>
      </c>
      <c r="B20" s="435"/>
      <c r="C20" s="435"/>
      <c r="D20" s="435"/>
      <c r="E20" s="435"/>
      <c r="F20" s="435"/>
      <c r="G20" s="435"/>
      <c r="H20" s="435"/>
    </row>
    <row r="21" spans="1:8" ht="15" customHeight="1" x14ac:dyDescent="0.25">
      <c r="A21" s="246"/>
      <c r="B21" s="247"/>
      <c r="C21" s="247"/>
      <c r="D21" s="247"/>
      <c r="E21" s="247"/>
      <c r="F21" s="247"/>
      <c r="G21" s="247"/>
      <c r="H21" s="247"/>
    </row>
    <row r="22" spans="1:8" ht="336.75" customHeight="1" x14ac:dyDescent="0.25">
      <c r="A22" s="434" t="s">
        <v>5679</v>
      </c>
      <c r="B22" s="435"/>
      <c r="C22" s="435"/>
      <c r="D22" s="435"/>
      <c r="E22" s="435"/>
      <c r="F22" s="435"/>
      <c r="G22" s="435"/>
      <c r="H22" s="435"/>
    </row>
    <row r="23" spans="1:8" ht="210" customHeight="1" x14ac:dyDescent="0.25">
      <c r="A23" s="434" t="s">
        <v>5680</v>
      </c>
      <c r="B23" s="435"/>
      <c r="C23" s="435"/>
      <c r="D23" s="435"/>
      <c r="E23" s="435"/>
      <c r="F23" s="435"/>
      <c r="G23" s="435"/>
      <c r="H23" s="435"/>
    </row>
    <row r="24" spans="1:8" ht="214.5" customHeight="1" x14ac:dyDescent="0.25">
      <c r="A24" s="434" t="s">
        <v>5685</v>
      </c>
      <c r="B24" s="435"/>
      <c r="C24" s="435"/>
      <c r="D24" s="435"/>
      <c r="E24" s="435"/>
      <c r="F24" s="435"/>
      <c r="G24" s="435"/>
      <c r="H24" s="435"/>
    </row>
    <row r="25" spans="1:8" ht="133.5" customHeight="1" x14ac:dyDescent="0.25">
      <c r="A25" s="434" t="s">
        <v>5681</v>
      </c>
      <c r="B25" s="435"/>
      <c r="C25" s="435"/>
      <c r="D25" s="435"/>
      <c r="E25" s="435"/>
      <c r="F25" s="435"/>
      <c r="G25" s="435"/>
      <c r="H25" s="435"/>
    </row>
    <row r="26" spans="1:8" ht="409.5" customHeight="1" x14ac:dyDescent="0.25">
      <c r="A26" s="434" t="s">
        <v>5682</v>
      </c>
      <c r="B26" s="435"/>
      <c r="C26" s="435"/>
      <c r="D26" s="435"/>
      <c r="E26" s="435"/>
      <c r="F26" s="435"/>
      <c r="G26" s="435"/>
      <c r="H26" s="435"/>
    </row>
    <row r="27" spans="1:8" ht="103.5" customHeight="1" x14ac:dyDescent="0.25">
      <c r="A27" s="434" t="s">
        <v>5684</v>
      </c>
      <c r="B27" s="435"/>
      <c r="C27" s="435"/>
      <c r="D27" s="435"/>
      <c r="E27" s="435"/>
      <c r="F27" s="435"/>
      <c r="G27" s="435"/>
      <c r="H27" s="435"/>
    </row>
    <row r="28" spans="1:8" ht="258.75" customHeight="1" x14ac:dyDescent="0.25">
      <c r="A28" s="434" t="s">
        <v>5683</v>
      </c>
      <c r="B28" s="435"/>
      <c r="C28" s="435"/>
      <c r="D28" s="435"/>
      <c r="E28" s="435"/>
      <c r="F28" s="435"/>
      <c r="G28" s="435"/>
      <c r="H28" s="435"/>
    </row>
    <row r="29" spans="1:8" ht="27.75" customHeight="1" x14ac:dyDescent="0.25">
      <c r="A29" s="434" t="s">
        <v>5648</v>
      </c>
      <c r="B29" s="435"/>
      <c r="C29" s="435"/>
      <c r="D29" s="435"/>
      <c r="E29" s="435"/>
      <c r="F29" s="435"/>
      <c r="G29" s="435"/>
      <c r="H29" s="435"/>
    </row>
    <row r="30" spans="1:8" ht="153" customHeight="1" x14ac:dyDescent="0.25">
      <c r="A30" s="434" t="s">
        <v>5665</v>
      </c>
      <c r="B30" s="435"/>
      <c r="C30" s="435"/>
      <c r="D30" s="435"/>
      <c r="E30" s="435"/>
      <c r="F30" s="435"/>
      <c r="G30" s="435"/>
      <c r="H30" s="435"/>
    </row>
    <row r="32" spans="1:8" x14ac:dyDescent="0.25">
      <c r="A32" s="437" t="s">
        <v>5661</v>
      </c>
      <c r="B32" s="437"/>
      <c r="C32" s="437"/>
      <c r="D32" s="437"/>
      <c r="E32" s="437"/>
      <c r="F32" s="437"/>
      <c r="G32" s="437"/>
      <c r="H32" s="437"/>
    </row>
    <row r="33" spans="1:8" x14ac:dyDescent="0.25">
      <c r="A33" s="437"/>
      <c r="B33" s="437"/>
      <c r="C33" s="437"/>
      <c r="D33" s="437"/>
      <c r="E33" s="437"/>
      <c r="F33" s="437"/>
      <c r="G33" s="437"/>
      <c r="H33" s="437"/>
    </row>
  </sheetData>
  <sheetProtection algorithmName="SHA-512" hashValue="fI8U0QNOBvlHW8iEsOgUI4jAEwus64oohEz9dWA/bru/Hax3VdIIh3XK7uZMtCYUCXjNFlinQ3a7+e6y96/K0w==" saltValue="V5Gl0s7AnH4VMW+wUY9i9w==" spinCount="100000" sheet="1" objects="1" scenarios="1"/>
  <mergeCells count="17">
    <mergeCell ref="A32:H33"/>
    <mergeCell ref="A30:H30"/>
    <mergeCell ref="A22:H22"/>
    <mergeCell ref="A23:H23"/>
    <mergeCell ref="A17:H17"/>
    <mergeCell ref="A24:H24"/>
    <mergeCell ref="A20:H20"/>
    <mergeCell ref="A25:H25"/>
    <mergeCell ref="A29:H29"/>
    <mergeCell ref="A26:H26"/>
    <mergeCell ref="A27:H27"/>
    <mergeCell ref="A28:H28"/>
    <mergeCell ref="A7:H7"/>
    <mergeCell ref="A10:H10"/>
    <mergeCell ref="A13:H13"/>
    <mergeCell ref="E3:H3"/>
    <mergeCell ref="E4:H4"/>
  </mergeCells>
  <pageMargins left="0.70866141732283472" right="0.70866141732283472" top="0.74803149606299213" bottom="0.74803149606299213" header="0.31496062992125984" footer="0.31496062992125984"/>
  <pageSetup scale="50" orientation="portrait" horizontalDpi="200" verticalDpi="200" r:id="rId1"/>
  <headerFooter>
    <oddHeader>Página &amp;P</oddHeader>
  </headerFooter>
  <rowBreaks count="1" manualBreakCount="1">
    <brk id="23" max="7"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F0"/>
    <pageSetUpPr fitToPage="1"/>
  </sheetPr>
  <dimension ref="A1:BE536"/>
  <sheetViews>
    <sheetView view="pageBreakPreview" zoomScale="115" zoomScaleNormal="100" zoomScaleSheetLayoutView="115" workbookViewId="0">
      <selection activeCell="B25" sqref="B25:AB25"/>
    </sheetView>
  </sheetViews>
  <sheetFormatPr baseColWidth="10" defaultColWidth="11.5703125" defaultRowHeight="15" x14ac:dyDescent="0.25"/>
  <cols>
    <col min="1" max="1" width="2.28515625" style="2" customWidth="1"/>
    <col min="2" max="2" width="5" style="2" customWidth="1"/>
    <col min="3" max="4" width="4" style="2" customWidth="1"/>
    <col min="5" max="5" width="4.140625" style="2" customWidth="1"/>
    <col min="6" max="6" width="6.42578125" style="2" customWidth="1"/>
    <col min="7" max="14" width="3.28515625" style="2" customWidth="1"/>
    <col min="15" max="15" width="3.85546875" style="2" customWidth="1"/>
    <col min="16" max="16" width="3.7109375" style="2" customWidth="1"/>
    <col min="17" max="17" width="5.140625" style="2" customWidth="1"/>
    <col min="18" max="18" width="5.42578125" style="2" customWidth="1"/>
    <col min="19" max="19" width="3.5703125" style="2" customWidth="1"/>
    <col min="20" max="21" width="3.28515625" style="2" customWidth="1"/>
    <col min="22" max="22" width="4.7109375" style="2" customWidth="1"/>
    <col min="23" max="23" width="5.140625" style="2" customWidth="1"/>
    <col min="24" max="24" width="5.85546875" style="2" customWidth="1"/>
    <col min="25" max="25" width="8" style="2" customWidth="1"/>
    <col min="26" max="27" width="4.42578125" style="2" customWidth="1"/>
    <col min="28" max="28" width="4" style="2" customWidth="1"/>
    <col min="29" max="29" width="1.5703125" style="2" customWidth="1"/>
    <col min="30" max="30" width="13.7109375" style="185" customWidth="1"/>
    <col min="31" max="48" width="3.28515625" style="2" customWidth="1"/>
    <col min="49" max="50" width="11.42578125" style="2" customWidth="1"/>
    <col min="51" max="51" width="16.140625" style="2" bestFit="1" customWidth="1"/>
    <col min="52" max="52" width="14.5703125" style="2" bestFit="1" customWidth="1"/>
    <col min="53" max="53" width="15" style="2" bestFit="1" customWidth="1"/>
    <col min="54" max="54" width="18.7109375" style="2" customWidth="1"/>
    <col min="55" max="55" width="13.5703125" style="186" bestFit="1" customWidth="1"/>
    <col min="56" max="56" width="11.42578125" style="186" customWidth="1"/>
    <col min="57" max="143" width="11.42578125" style="2" customWidth="1"/>
    <col min="144" max="16384" width="11.5703125" style="2"/>
  </cols>
  <sheetData>
    <row r="1" spans="1:51" ht="18.75" x14ac:dyDescent="0.25">
      <c r="A1" s="305" t="s">
        <v>3565</v>
      </c>
      <c r="B1" s="305"/>
      <c r="C1" s="305"/>
      <c r="D1" s="305"/>
      <c r="E1" s="305"/>
      <c r="F1" s="305"/>
      <c r="G1" s="305"/>
      <c r="H1" s="305"/>
      <c r="I1" s="305"/>
      <c r="J1" s="305"/>
      <c r="K1" s="305"/>
      <c r="L1" s="305"/>
      <c r="M1" s="305"/>
      <c r="N1" s="305"/>
      <c r="O1" s="305"/>
      <c r="P1" s="305"/>
      <c r="Q1" s="305"/>
      <c r="R1" s="305"/>
      <c r="S1" s="305"/>
      <c r="T1" s="305"/>
      <c r="U1" s="305"/>
      <c r="V1" s="305"/>
      <c r="W1" s="305"/>
      <c r="X1" s="305"/>
      <c r="Y1" s="305"/>
      <c r="Z1" s="305"/>
      <c r="AA1" s="305"/>
      <c r="AB1" s="305"/>
      <c r="AC1" s="5"/>
    </row>
    <row r="2" spans="1:51" ht="4.5" customHeight="1" x14ac:dyDescent="0.25">
      <c r="A2" s="217"/>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5"/>
    </row>
    <row r="3" spans="1:51" ht="15.75" x14ac:dyDescent="0.25">
      <c r="A3" s="490" t="s">
        <v>3519</v>
      </c>
      <c r="B3" s="490"/>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5"/>
    </row>
    <row r="4" spans="1:51" ht="15.75" x14ac:dyDescent="0.25">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c r="AA4" s="491"/>
      <c r="AB4" s="491"/>
      <c r="AC4" s="5"/>
    </row>
    <row r="5" spans="1:51" ht="32.25" customHeight="1" x14ac:dyDescent="0.25">
      <c r="A5" s="492" t="s">
        <v>5668</v>
      </c>
      <c r="B5" s="492"/>
      <c r="C5" s="492"/>
      <c r="D5" s="492"/>
      <c r="E5" s="492"/>
      <c r="F5" s="492"/>
      <c r="G5" s="492"/>
      <c r="H5" s="492"/>
      <c r="I5" s="492"/>
      <c r="J5" s="492"/>
      <c r="K5" s="492"/>
      <c r="L5" s="492"/>
      <c r="M5" s="492"/>
      <c r="N5" s="492"/>
      <c r="O5" s="492"/>
      <c r="P5" s="492"/>
      <c r="Q5" s="492"/>
      <c r="R5" s="492"/>
      <c r="S5" s="492"/>
      <c r="T5" s="492"/>
      <c r="U5" s="492"/>
      <c r="V5" s="492"/>
      <c r="W5" s="492"/>
      <c r="X5" s="492"/>
      <c r="Y5" s="492"/>
      <c r="Z5" s="492"/>
      <c r="AA5" s="492"/>
      <c r="AB5" s="492"/>
      <c r="AC5" s="492"/>
    </row>
    <row r="6" spans="1:51" ht="6" customHeight="1"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row>
    <row r="7" spans="1:51" ht="16.5" hidden="1" thickTop="1" thickBot="1" x14ac:dyDescent="0.3">
      <c r="A7" s="202" t="s">
        <v>3520</v>
      </c>
      <c r="B7" s="202"/>
      <c r="C7" s="202"/>
      <c r="D7" s="202"/>
      <c r="E7" s="202"/>
      <c r="F7" s="5"/>
      <c r="G7" s="496"/>
      <c r="H7" s="497"/>
      <c r="I7" s="497"/>
      <c r="J7" s="497"/>
      <c r="K7" s="497"/>
      <c r="L7" s="497"/>
      <c r="M7" s="497"/>
      <c r="N7" s="497"/>
      <c r="O7" s="497"/>
      <c r="P7" s="498"/>
      <c r="Q7" s="5"/>
      <c r="R7" s="5"/>
      <c r="S7" s="5"/>
      <c r="T7" s="5"/>
      <c r="U7" s="5"/>
      <c r="V7" s="5"/>
      <c r="W7" s="5"/>
      <c r="X7" s="5"/>
      <c r="Y7" s="5"/>
      <c r="Z7" s="5"/>
      <c r="AA7" s="5"/>
      <c r="AB7" s="5"/>
      <c r="AC7" s="5"/>
    </row>
    <row r="8" spans="1:51" ht="6.75" hidden="1" customHeight="1" thickTop="1"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51" ht="15.75" x14ac:dyDescent="0.25">
      <c r="A9" s="499" t="s">
        <v>3521</v>
      </c>
      <c r="B9" s="499"/>
      <c r="C9" s="499"/>
      <c r="D9" s="499"/>
      <c r="E9" s="499"/>
      <c r="F9" s="499"/>
      <c r="G9" s="499"/>
      <c r="H9" s="499"/>
      <c r="I9" s="499"/>
      <c r="J9" s="499"/>
      <c r="K9" s="499"/>
      <c r="L9" s="499"/>
      <c r="M9" s="499"/>
      <c r="N9" s="499"/>
      <c r="O9" s="499"/>
      <c r="P9" s="499"/>
      <c r="Q9" s="499"/>
      <c r="R9" s="499"/>
      <c r="S9" s="499"/>
      <c r="T9" s="499"/>
      <c r="U9" s="499"/>
      <c r="V9" s="499"/>
      <c r="W9" s="499"/>
      <c r="X9" s="499"/>
      <c r="Y9" s="499"/>
      <c r="Z9" s="499"/>
      <c r="AA9" s="499"/>
      <c r="AB9" s="499"/>
      <c r="AC9" s="5"/>
    </row>
    <row r="10" spans="1:51" ht="8.25" customHeight="1" thickBot="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51" ht="16.5" thickTop="1" thickBot="1" x14ac:dyDescent="0.3">
      <c r="A11" s="370" t="s">
        <v>3522</v>
      </c>
      <c r="B11" s="370"/>
      <c r="C11" s="370"/>
      <c r="D11" s="370"/>
      <c r="E11" s="370"/>
      <c r="F11" s="370"/>
      <c r="G11" s="370"/>
      <c r="H11" s="370"/>
      <c r="I11" s="5"/>
      <c r="J11" s="462" t="str">
        <f>'FORMATO ACTUALIZACIÓN DATOS'!AI16</f>
        <v xml:space="preserve">   </v>
      </c>
      <c r="K11" s="463"/>
      <c r="L11" s="463"/>
      <c r="M11" s="463"/>
      <c r="N11" s="463"/>
      <c r="O11" s="463"/>
      <c r="P11" s="463"/>
      <c r="Q11" s="463"/>
      <c r="R11" s="463"/>
      <c r="S11" s="463"/>
      <c r="T11" s="463"/>
      <c r="U11" s="463"/>
      <c r="V11" s="463"/>
      <c r="W11" s="463"/>
      <c r="X11" s="463"/>
      <c r="Y11" s="463"/>
      <c r="Z11" s="463"/>
      <c r="AA11" s="463"/>
      <c r="AB11" s="464"/>
      <c r="AC11" s="5"/>
    </row>
    <row r="12" spans="1:51" ht="6" customHeight="1" thickTop="1" thickBot="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51" ht="16.5" thickTop="1" thickBot="1" x14ac:dyDescent="0.3">
      <c r="A13" s="370" t="s">
        <v>5669</v>
      </c>
      <c r="B13" s="370"/>
      <c r="C13" s="370"/>
      <c r="D13" s="370"/>
      <c r="E13" s="370"/>
      <c r="F13" s="442"/>
      <c r="G13" s="500">
        <f>'FORMATO ACTUALIZACIÓN DATOS'!AP11</f>
        <v>0</v>
      </c>
      <c r="H13" s="463"/>
      <c r="I13" s="463"/>
      <c r="J13" s="463"/>
      <c r="K13" s="463"/>
      <c r="L13" s="463"/>
      <c r="M13" s="463"/>
      <c r="N13" s="464"/>
      <c r="O13" s="5"/>
      <c r="P13" s="370" t="s">
        <v>3523</v>
      </c>
      <c r="Q13" s="370"/>
      <c r="R13" s="442"/>
      <c r="S13" s="462" t="str">
        <f>IF('FORMATO ACTUALIZACIÓN DATOS'!A46,'FORMATO ACTUALIZACIÓN DATOS'!A46," ")</f>
        <v xml:space="preserve"> </v>
      </c>
      <c r="T13" s="463"/>
      <c r="U13" s="464"/>
      <c r="V13" s="5"/>
      <c r="W13" s="370" t="s">
        <v>3524</v>
      </c>
      <c r="X13" s="370"/>
      <c r="Y13" s="442"/>
      <c r="Z13" s="462" t="str">
        <f>'FORMATO ACTUALIZACIÓN DATOS'!F47</f>
        <v/>
      </c>
      <c r="AA13" s="463"/>
      <c r="AB13" s="464"/>
      <c r="AC13" s="5"/>
      <c r="AY13" s="187"/>
    </row>
    <row r="14" spans="1:51" ht="6.75" customHeight="1" thickTop="1" thickBot="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51" ht="12.75" customHeight="1" thickTop="1" thickBot="1" x14ac:dyDescent="0.3">
      <c r="A15" s="447" t="s">
        <v>3628</v>
      </c>
      <c r="B15" s="447"/>
      <c r="C15" s="447"/>
      <c r="D15" s="447"/>
      <c r="E15" s="447"/>
      <c r="F15" s="447"/>
      <c r="G15" s="447"/>
      <c r="H15" s="447"/>
      <c r="I15" s="447"/>
      <c r="J15" s="447"/>
      <c r="K15" s="447"/>
      <c r="L15" s="447"/>
      <c r="M15" s="447"/>
      <c r="N15" s="447"/>
      <c r="O15" s="447"/>
      <c r="P15" s="447"/>
      <c r="Q15" s="447"/>
      <c r="R15" s="447"/>
      <c r="S15" s="447"/>
      <c r="T15" s="447"/>
      <c r="U15" s="447"/>
      <c r="V15" s="5"/>
      <c r="W15" s="450">
        <f ca="1">TODAY()</f>
        <v>46204</v>
      </c>
      <c r="X15" s="451"/>
      <c r="Y15" s="452"/>
      <c r="Z15" s="5"/>
      <c r="AA15" s="5"/>
      <c r="AB15" s="5"/>
      <c r="AC15" s="5"/>
    </row>
    <row r="16" spans="1:51" ht="14.25" customHeight="1" thickTop="1" thickBot="1" x14ac:dyDescent="0.3">
      <c r="A16" s="447" t="s">
        <v>3629</v>
      </c>
      <c r="B16" s="447"/>
      <c r="C16" s="447"/>
      <c r="D16" s="447"/>
      <c r="E16" s="447"/>
      <c r="F16" s="447"/>
      <c r="G16" s="447"/>
      <c r="H16" s="447"/>
      <c r="I16" s="447"/>
      <c r="J16" s="447"/>
      <c r="K16" s="447"/>
      <c r="L16" s="447"/>
      <c r="M16" s="447"/>
      <c r="N16" s="447"/>
      <c r="O16" s="447"/>
      <c r="P16" s="447"/>
      <c r="Q16" s="447"/>
      <c r="R16" s="447"/>
      <c r="S16" s="447"/>
      <c r="T16" s="447"/>
      <c r="U16" s="447"/>
      <c r="V16" s="5"/>
      <c r="W16" s="453">
        <f ca="1">'Validador- Datos'!BK12</f>
        <v>2025</v>
      </c>
      <c r="X16" s="454"/>
      <c r="Y16" s="455"/>
      <c r="Z16" s="5"/>
      <c r="AA16" s="5"/>
      <c r="AB16" s="5"/>
      <c r="AC16" s="5"/>
    </row>
    <row r="17" spans="1:54" ht="6.75" customHeight="1" thickTop="1" thickBot="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54" ht="14.25" customHeight="1" thickTop="1" x14ac:dyDescent="0.25">
      <c r="A18" s="446" t="s">
        <v>3490</v>
      </c>
      <c r="B18" s="279"/>
      <c r="C18" s="279"/>
      <c r="D18" s="279"/>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30"/>
    </row>
    <row r="19" spans="1:54" ht="6.75" customHeight="1" x14ac:dyDescent="0.25">
      <c r="A19" s="222"/>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221"/>
    </row>
    <row r="20" spans="1:54" ht="15.75" thickBot="1" x14ac:dyDescent="0.3">
      <c r="A20" s="222"/>
      <c r="B20" s="438" t="s">
        <v>3525</v>
      </c>
      <c r="C20" s="438"/>
      <c r="D20" s="438"/>
      <c r="E20" s="438"/>
      <c r="F20" s="438"/>
      <c r="G20" s="5"/>
      <c r="H20" s="5"/>
      <c r="I20" s="5"/>
      <c r="J20" s="5"/>
      <c r="K20" s="5"/>
      <c r="L20" s="5"/>
      <c r="M20" s="5"/>
      <c r="N20" s="5"/>
      <c r="O20" s="5"/>
      <c r="P20" s="5"/>
      <c r="Q20" s="5"/>
      <c r="R20" s="5"/>
      <c r="S20" s="5"/>
      <c r="T20" s="5"/>
      <c r="U20" s="5"/>
      <c r="V20" s="5"/>
      <c r="W20" s="5"/>
      <c r="X20" s="5"/>
      <c r="Y20" s="5"/>
      <c r="Z20" s="5"/>
      <c r="AA20" s="5"/>
      <c r="AB20" s="5"/>
      <c r="AC20" s="221"/>
      <c r="AZ20" s="188"/>
    </row>
    <row r="21" spans="1:54" ht="15.75" thickTop="1" x14ac:dyDescent="0.25">
      <c r="A21" s="231"/>
      <c r="B21" s="457" t="s">
        <v>3526</v>
      </c>
      <c r="C21" s="456"/>
      <c r="D21" s="456"/>
      <c r="E21" s="456"/>
      <c r="F21" s="456"/>
      <c r="G21" s="456"/>
      <c r="H21" s="456"/>
      <c r="I21" s="456"/>
      <c r="J21" s="456"/>
      <c r="K21" s="456"/>
      <c r="L21" s="456"/>
      <c r="M21" s="456"/>
      <c r="N21" s="456"/>
      <c r="O21" s="456" t="s">
        <v>3527</v>
      </c>
      <c r="P21" s="456"/>
      <c r="Q21" s="456"/>
      <c r="R21" s="456"/>
      <c r="S21" s="456"/>
      <c r="T21" s="456"/>
      <c r="U21" s="456" t="s">
        <v>3528</v>
      </c>
      <c r="V21" s="456"/>
      <c r="W21" s="456" t="s">
        <v>3529</v>
      </c>
      <c r="X21" s="456"/>
      <c r="Y21" s="456"/>
      <c r="Z21" s="456"/>
      <c r="AA21" s="501"/>
      <c r="AB21" s="202"/>
      <c r="AC21" s="221"/>
      <c r="AY21" s="189"/>
      <c r="AZ21" s="186"/>
      <c r="BA21" s="190"/>
      <c r="BB21" s="190"/>
    </row>
    <row r="22" spans="1:54" ht="15.75" thickBot="1" x14ac:dyDescent="0.3">
      <c r="A22" s="222"/>
      <c r="B22" s="493"/>
      <c r="C22" s="494"/>
      <c r="D22" s="494"/>
      <c r="E22" s="494"/>
      <c r="F22" s="494"/>
      <c r="G22" s="494"/>
      <c r="H22" s="494"/>
      <c r="I22" s="494"/>
      <c r="J22" s="494"/>
      <c r="K22" s="494"/>
      <c r="L22" s="494"/>
      <c r="M22" s="494"/>
      <c r="N22" s="494"/>
      <c r="O22" s="494"/>
      <c r="P22" s="494"/>
      <c r="Q22" s="494"/>
      <c r="R22" s="494"/>
      <c r="S22" s="494"/>
      <c r="T22" s="494"/>
      <c r="U22" s="494"/>
      <c r="V22" s="494"/>
      <c r="W22" s="494"/>
      <c r="X22" s="494"/>
      <c r="Y22" s="494"/>
      <c r="Z22" s="494"/>
      <c r="AA22" s="495"/>
      <c r="AB22" s="5"/>
      <c r="AC22" s="221"/>
      <c r="AY22" s="191"/>
      <c r="AZ22" s="186"/>
      <c r="BA22" s="190"/>
      <c r="BB22" s="190"/>
    </row>
    <row r="23" spans="1:54" ht="14.25" customHeight="1" thickTop="1" x14ac:dyDescent="0.25">
      <c r="A23" s="222"/>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221"/>
      <c r="AY23" s="191"/>
      <c r="AZ23" s="186"/>
      <c r="BA23" s="192"/>
      <c r="BB23" s="190"/>
    </row>
    <row r="24" spans="1:54" ht="15.75" thickBot="1" x14ac:dyDescent="0.3">
      <c r="A24" s="222"/>
      <c r="B24" s="438" t="s">
        <v>3530</v>
      </c>
      <c r="C24" s="438"/>
      <c r="D24" s="438"/>
      <c r="E24" s="438"/>
      <c r="F24" s="438"/>
      <c r="G24" s="438"/>
      <c r="H24" s="438"/>
      <c r="I24" s="438"/>
      <c r="J24" s="438"/>
      <c r="K24" s="5"/>
      <c r="L24" s="5"/>
      <c r="M24" s="5"/>
      <c r="N24" s="5"/>
      <c r="O24" s="5"/>
      <c r="P24" s="5"/>
      <c r="Q24" s="5"/>
      <c r="R24" s="5"/>
      <c r="S24" s="5"/>
      <c r="T24" s="5"/>
      <c r="U24" s="5"/>
      <c r="V24" s="5"/>
      <c r="W24" s="5"/>
      <c r="X24" s="5"/>
      <c r="Y24" s="5"/>
      <c r="Z24" s="5"/>
      <c r="AA24" s="5"/>
      <c r="AB24" s="5"/>
      <c r="AC24" s="221"/>
    </row>
    <row r="25" spans="1:54" ht="45.75" customHeight="1" thickTop="1" thickBot="1" x14ac:dyDescent="0.3">
      <c r="A25" s="222"/>
      <c r="B25" s="459"/>
      <c r="C25" s="460"/>
      <c r="D25" s="460"/>
      <c r="E25" s="460"/>
      <c r="F25" s="460"/>
      <c r="G25" s="460"/>
      <c r="H25" s="460"/>
      <c r="I25" s="460"/>
      <c r="J25" s="460"/>
      <c r="K25" s="460"/>
      <c r="L25" s="460"/>
      <c r="M25" s="460"/>
      <c r="N25" s="460"/>
      <c r="O25" s="460"/>
      <c r="P25" s="460"/>
      <c r="Q25" s="460"/>
      <c r="R25" s="460"/>
      <c r="S25" s="460"/>
      <c r="T25" s="460"/>
      <c r="U25" s="460"/>
      <c r="V25" s="460"/>
      <c r="W25" s="460"/>
      <c r="X25" s="460"/>
      <c r="Y25" s="460"/>
      <c r="Z25" s="460"/>
      <c r="AA25" s="460"/>
      <c r="AB25" s="461"/>
      <c r="AC25" s="193" t="e">
        <f>VALUE(LEFT(B25,1))</f>
        <v>#VALUE!</v>
      </c>
    </row>
    <row r="26" spans="1:54" ht="8.25" customHeight="1" thickTop="1" x14ac:dyDescent="0.25">
      <c r="A26" s="222"/>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221"/>
    </row>
    <row r="27" spans="1:54" ht="9.75" customHeight="1" thickBot="1" x14ac:dyDescent="0.3">
      <c r="A27" s="222"/>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221"/>
    </row>
    <row r="28" spans="1:54" ht="18.75" customHeight="1" thickTop="1" thickBot="1" x14ac:dyDescent="0.3">
      <c r="A28" s="222"/>
      <c r="B28" s="465" t="s">
        <v>3581</v>
      </c>
      <c r="C28" s="465"/>
      <c r="D28" s="465"/>
      <c r="E28" s="465"/>
      <c r="F28" s="465"/>
      <c r="G28" s="465"/>
      <c r="H28" s="465"/>
      <c r="I28" s="465"/>
      <c r="J28" s="465"/>
      <c r="K28" s="465"/>
      <c r="L28" s="465"/>
      <c r="M28" s="466">
        <f>IFERROR('Validador- Datos'!BM7,"")</f>
        <v>0</v>
      </c>
      <c r="N28" s="467"/>
      <c r="O28" s="467"/>
      <c r="P28" s="468"/>
      <c r="Q28" s="5"/>
      <c r="R28" s="5"/>
      <c r="S28" s="5"/>
      <c r="T28" s="5"/>
      <c r="U28" s="5"/>
      <c r="V28" s="5"/>
      <c r="W28" s="5"/>
      <c r="X28" s="5"/>
      <c r="Y28" s="5"/>
      <c r="Z28" s="5"/>
      <c r="AA28" s="5"/>
      <c r="AB28" s="5"/>
      <c r="AC28" s="221"/>
      <c r="AD28" s="193"/>
    </row>
    <row r="29" spans="1:54" ht="7.5" customHeight="1" thickTop="1" x14ac:dyDescent="0.25">
      <c r="A29" s="222"/>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221"/>
      <c r="AD29" s="193"/>
    </row>
    <row r="30" spans="1:54" ht="15" customHeight="1" thickBot="1" x14ac:dyDescent="0.3">
      <c r="A30" s="222"/>
      <c r="B30" s="438" t="s">
        <v>3531</v>
      </c>
      <c r="C30" s="438"/>
      <c r="D30" s="438"/>
      <c r="E30" s="438"/>
      <c r="F30" s="438"/>
      <c r="G30" s="438"/>
      <c r="H30" s="438"/>
      <c r="I30" s="438"/>
      <c r="J30" s="438"/>
      <c r="K30" s="438"/>
      <c r="L30" s="438"/>
      <c r="M30" s="438"/>
      <c r="N30" s="5"/>
      <c r="O30" s="5"/>
      <c r="P30" s="5"/>
      <c r="Q30" s="5"/>
      <c r="R30" s="5"/>
      <c r="S30" s="5"/>
      <c r="T30" s="5"/>
      <c r="U30" s="5"/>
      <c r="V30" s="5"/>
      <c r="W30" s="5"/>
      <c r="X30" s="5"/>
      <c r="Y30" s="5"/>
      <c r="Z30" s="5"/>
      <c r="AA30" s="5"/>
      <c r="AB30" s="5"/>
      <c r="AC30" s="221"/>
      <c r="AD30" s="193"/>
    </row>
    <row r="31" spans="1:54" ht="34.5" customHeight="1" thickTop="1" thickBot="1" x14ac:dyDescent="0.3">
      <c r="A31" s="222"/>
      <c r="B31" s="462" t="str">
        <f>IFERROR(VLOOKUP(AC25,P128:Q132,2,0),"")</f>
        <v/>
      </c>
      <c r="C31" s="463"/>
      <c r="D31" s="463"/>
      <c r="E31" s="463"/>
      <c r="F31" s="463"/>
      <c r="G31" s="463"/>
      <c r="H31" s="463"/>
      <c r="I31" s="463"/>
      <c r="J31" s="463"/>
      <c r="K31" s="463"/>
      <c r="L31" s="463"/>
      <c r="M31" s="463"/>
      <c r="N31" s="463"/>
      <c r="O31" s="463"/>
      <c r="P31" s="463"/>
      <c r="Q31" s="463"/>
      <c r="R31" s="463"/>
      <c r="S31" s="463"/>
      <c r="T31" s="463"/>
      <c r="U31" s="463"/>
      <c r="V31" s="463"/>
      <c r="W31" s="463"/>
      <c r="X31" s="463"/>
      <c r="Y31" s="463"/>
      <c r="Z31" s="463"/>
      <c r="AA31" s="463"/>
      <c r="AB31" s="464"/>
      <c r="AC31" s="221"/>
      <c r="AD31" s="193"/>
    </row>
    <row r="32" spans="1:54" ht="15" customHeight="1" thickTop="1" thickBot="1" x14ac:dyDescent="0.3">
      <c r="A32" s="218"/>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c r="AC32" s="220"/>
      <c r="AD32" s="193"/>
    </row>
    <row r="33" spans="1:57" ht="15.75" customHeight="1" thickTop="1" x14ac:dyDescent="0.25">
      <c r="A33" s="446" t="s">
        <v>3532</v>
      </c>
      <c r="B33" s="279"/>
      <c r="C33" s="279"/>
      <c r="D33" s="279"/>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30"/>
      <c r="AD33" s="193"/>
    </row>
    <row r="34" spans="1:57" ht="6" customHeight="1" thickBot="1" x14ac:dyDescent="0.3">
      <c r="A34" s="222"/>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221"/>
      <c r="AD34" s="193"/>
    </row>
    <row r="35" spans="1:57" ht="14.25" customHeight="1" thickTop="1" thickBot="1" x14ac:dyDescent="0.3">
      <c r="A35" s="222"/>
      <c r="B35" s="327" t="s">
        <v>3533</v>
      </c>
      <c r="C35" s="327"/>
      <c r="D35" s="327"/>
      <c r="E35" s="327"/>
      <c r="F35" s="327"/>
      <c r="G35" s="449"/>
      <c r="H35" s="443"/>
      <c r="I35" s="444"/>
      <c r="J35" s="444"/>
      <c r="K35" s="444"/>
      <c r="L35" s="444"/>
      <c r="M35" s="444"/>
      <c r="N35" s="444"/>
      <c r="O35" s="444"/>
      <c r="P35" s="444"/>
      <c r="Q35" s="444"/>
      <c r="R35" s="444"/>
      <c r="S35" s="444"/>
      <c r="T35" s="444"/>
      <c r="U35" s="444"/>
      <c r="V35" s="444"/>
      <c r="W35" s="444"/>
      <c r="X35" s="444"/>
      <c r="Y35" s="444"/>
      <c r="Z35" s="444"/>
      <c r="AA35" s="444"/>
      <c r="AB35" s="445"/>
      <c r="AC35" s="221"/>
      <c r="AD35" s="193"/>
    </row>
    <row r="36" spans="1:57" ht="8.25" customHeight="1" thickTop="1" thickBot="1" x14ac:dyDescent="0.3">
      <c r="A36" s="222"/>
      <c r="B36" s="202"/>
      <c r="C36" s="5"/>
      <c r="D36" s="5"/>
      <c r="E36" s="5"/>
      <c r="F36" s="5"/>
      <c r="G36" s="5"/>
      <c r="H36" s="5"/>
      <c r="I36" s="5"/>
      <c r="J36" s="5"/>
      <c r="K36" s="5"/>
      <c r="L36" s="5"/>
      <c r="M36" s="5"/>
      <c r="N36" s="5"/>
      <c r="O36" s="5"/>
      <c r="P36" s="5"/>
      <c r="Q36" s="5"/>
      <c r="R36" s="5"/>
      <c r="S36" s="5"/>
      <c r="T36" s="5"/>
      <c r="U36" s="5"/>
      <c r="V36" s="5"/>
      <c r="W36" s="5"/>
      <c r="X36" s="5"/>
      <c r="Y36" s="5"/>
      <c r="Z36" s="5"/>
      <c r="AA36" s="5"/>
      <c r="AB36" s="5"/>
      <c r="AC36" s="221"/>
      <c r="AD36" s="193"/>
    </row>
    <row r="37" spans="1:57" ht="25.5" customHeight="1" thickTop="1" thickBot="1" x14ac:dyDescent="0.3">
      <c r="A37" s="222"/>
      <c r="B37" s="327" t="s">
        <v>3534</v>
      </c>
      <c r="C37" s="327"/>
      <c r="D37" s="449"/>
      <c r="E37" s="443"/>
      <c r="F37" s="444"/>
      <c r="G37" s="444"/>
      <c r="H37" s="444"/>
      <c r="I37" s="444"/>
      <c r="J37" s="445"/>
      <c r="K37" s="5"/>
      <c r="L37" s="228"/>
      <c r="M37" s="228"/>
      <c r="N37" s="228"/>
      <c r="O37" s="228"/>
      <c r="P37" s="228"/>
      <c r="Q37" s="228"/>
      <c r="R37" s="229"/>
      <c r="S37" s="229"/>
      <c r="T37" s="225"/>
      <c r="U37" s="485" t="s">
        <v>3623</v>
      </c>
      <c r="V37" s="485"/>
      <c r="W37" s="485"/>
      <c r="X37" s="486"/>
      <c r="Y37" s="482"/>
      <c r="Z37" s="483"/>
      <c r="AA37" s="483"/>
      <c r="AB37" s="484"/>
      <c r="AC37" s="221"/>
      <c r="AD37" s="193"/>
    </row>
    <row r="38" spans="1:57" ht="36" customHeight="1" thickTop="1" thickBot="1" x14ac:dyDescent="0.3">
      <c r="A38" s="222"/>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221"/>
      <c r="AD38" s="193"/>
      <c r="AW38" s="194"/>
    </row>
    <row r="39" spans="1:57" ht="25.5" customHeight="1" thickTop="1" thickBot="1" x14ac:dyDescent="0.3">
      <c r="A39" s="222"/>
      <c r="B39" s="226"/>
      <c r="C39" s="5"/>
      <c r="D39" s="5"/>
      <c r="E39" s="5"/>
      <c r="F39" s="5"/>
      <c r="G39" s="5"/>
      <c r="H39" s="5"/>
      <c r="I39" s="5"/>
      <c r="J39" s="5"/>
      <c r="K39" s="5"/>
      <c r="L39" s="5"/>
      <c r="M39" s="458"/>
      <c r="N39" s="458"/>
      <c r="O39" s="458"/>
      <c r="P39" s="458"/>
      <c r="Q39" s="447" t="s">
        <v>3581</v>
      </c>
      <c r="R39" s="447"/>
      <c r="S39" s="447"/>
      <c r="T39" s="447"/>
      <c r="U39" s="447"/>
      <c r="V39" s="448"/>
      <c r="W39" s="487">
        <f>'Validador- Datos'!BM8</f>
        <v>0</v>
      </c>
      <c r="X39" s="488"/>
      <c r="Y39" s="488"/>
      <c r="Z39" s="488"/>
      <c r="AA39" s="488"/>
      <c r="AB39" s="489"/>
      <c r="AC39" s="221"/>
      <c r="AD39" s="193"/>
    </row>
    <row r="40" spans="1:57" ht="24.75" customHeight="1" thickTop="1" thickBot="1" x14ac:dyDescent="0.3">
      <c r="A40" s="222"/>
      <c r="B40" s="370" t="s">
        <v>3535</v>
      </c>
      <c r="C40" s="370"/>
      <c r="D40" s="370"/>
      <c r="E40" s="370"/>
      <c r="F40" s="370"/>
      <c r="G40" s="370"/>
      <c r="H40" s="370"/>
      <c r="I40" s="5"/>
      <c r="J40" s="439"/>
      <c r="K40" s="440"/>
      <c r="L40" s="440"/>
      <c r="M40" s="440"/>
      <c r="N40" s="440"/>
      <c r="O40" s="440"/>
      <c r="P40" s="441"/>
      <c r="Q40" s="5"/>
      <c r="R40" s="370" t="s">
        <v>3536</v>
      </c>
      <c r="S40" s="370"/>
      <c r="T40" s="370"/>
      <c r="U40" s="370"/>
      <c r="V40" s="370"/>
      <c r="W40" s="370"/>
      <c r="X40" s="442"/>
      <c r="Y40" s="439"/>
      <c r="Z40" s="440"/>
      <c r="AA40" s="440"/>
      <c r="AB40" s="441"/>
      <c r="AC40" s="221"/>
      <c r="AD40" s="193"/>
    </row>
    <row r="41" spans="1:57" ht="19.5" customHeight="1" thickTop="1" thickBot="1" x14ac:dyDescent="0.3">
      <c r="A41" s="222"/>
      <c r="B41" s="438" t="str">
        <f>+B30</f>
        <v>Como soporte se anexa la siguiente documentación:</v>
      </c>
      <c r="C41" s="438"/>
      <c r="D41" s="438"/>
      <c r="E41" s="438"/>
      <c r="F41" s="438"/>
      <c r="G41" s="438"/>
      <c r="H41" s="438"/>
      <c r="I41" s="438"/>
      <c r="J41" s="438"/>
      <c r="K41" s="438"/>
      <c r="L41" s="438"/>
      <c r="M41" s="438"/>
      <c r="N41" s="5"/>
      <c r="O41" s="5"/>
      <c r="P41" s="5"/>
      <c r="Q41" s="5"/>
      <c r="R41" s="5"/>
      <c r="S41" s="5"/>
      <c r="T41" s="5"/>
      <c r="U41" s="5"/>
      <c r="V41" s="5"/>
      <c r="W41" s="5"/>
      <c r="X41" s="5"/>
      <c r="Y41" s="5"/>
      <c r="Z41" s="5"/>
      <c r="AA41" s="5"/>
      <c r="AB41" s="5"/>
      <c r="AC41" s="221"/>
      <c r="AD41" s="193"/>
    </row>
    <row r="42" spans="1:57" ht="25.5" customHeight="1" thickTop="1" thickBot="1" x14ac:dyDescent="0.3">
      <c r="A42" s="222"/>
      <c r="B42" s="462" t="str">
        <f>IF(H35="","",AD44)</f>
        <v/>
      </c>
      <c r="C42" s="463"/>
      <c r="D42" s="463"/>
      <c r="E42" s="463"/>
      <c r="F42" s="463"/>
      <c r="G42" s="463"/>
      <c r="H42" s="463"/>
      <c r="I42" s="463"/>
      <c r="J42" s="463"/>
      <c r="K42" s="463"/>
      <c r="L42" s="463"/>
      <c r="M42" s="463"/>
      <c r="N42" s="463"/>
      <c r="O42" s="463"/>
      <c r="P42" s="463"/>
      <c r="Q42" s="463"/>
      <c r="R42" s="463"/>
      <c r="S42" s="463"/>
      <c r="T42" s="463"/>
      <c r="U42" s="463"/>
      <c r="V42" s="463"/>
      <c r="W42" s="463"/>
      <c r="X42" s="463"/>
      <c r="Y42" s="463"/>
      <c r="Z42" s="463"/>
      <c r="AA42" s="464"/>
      <c r="AB42" s="5"/>
      <c r="AC42" s="221"/>
      <c r="AD42" s="193"/>
    </row>
    <row r="43" spans="1:57" ht="13.5" customHeight="1" thickTop="1" thickBot="1" x14ac:dyDescent="0.3">
      <c r="A43" s="218"/>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20"/>
      <c r="AD43" s="193"/>
    </row>
    <row r="44" spans="1:57" ht="21.75" customHeight="1" thickTop="1" x14ac:dyDescent="0.25">
      <c r="A44" s="446" t="s">
        <v>3537</v>
      </c>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30"/>
      <c r="AD44" s="193" t="str">
        <f>CONCATENATE("CERTIFICADO EXPEDIDO POR ",H35," A NOMBRE DE ",J11," TITULAR DEL CONTRATO ")</f>
        <v xml:space="preserve">CERTIFICADO EXPEDIDO POR  A NOMBRE DE     TITULAR DEL CONTRATO </v>
      </c>
    </row>
    <row r="45" spans="1:57" ht="9" customHeight="1" thickBot="1" x14ac:dyDescent="0.3">
      <c r="A45" s="222"/>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221"/>
      <c r="AD45" s="193"/>
    </row>
    <row r="46" spans="1:57" ht="20.25" customHeight="1" thickTop="1" thickBot="1" x14ac:dyDescent="0.3">
      <c r="A46" s="222"/>
      <c r="B46" s="327" t="s">
        <v>3533</v>
      </c>
      <c r="C46" s="327"/>
      <c r="D46" s="327"/>
      <c r="E46" s="327"/>
      <c r="F46" s="327"/>
      <c r="G46" s="5"/>
      <c r="H46" s="443"/>
      <c r="I46" s="444"/>
      <c r="J46" s="444"/>
      <c r="K46" s="444"/>
      <c r="L46" s="444"/>
      <c r="M46" s="444"/>
      <c r="N46" s="444"/>
      <c r="O46" s="444"/>
      <c r="P46" s="444"/>
      <c r="Q46" s="444"/>
      <c r="R46" s="444"/>
      <c r="S46" s="444"/>
      <c r="T46" s="444"/>
      <c r="U46" s="444"/>
      <c r="V46" s="444"/>
      <c r="W46" s="444"/>
      <c r="X46" s="444"/>
      <c r="Y46" s="444"/>
      <c r="Z46" s="444"/>
      <c r="AA46" s="444"/>
      <c r="AB46" s="445"/>
      <c r="AC46" s="221"/>
      <c r="AD46" s="193"/>
    </row>
    <row r="47" spans="1:57" ht="18.75" customHeight="1" thickTop="1" thickBot="1" x14ac:dyDescent="0.3">
      <c r="A47" s="222"/>
      <c r="B47" s="202"/>
      <c r="C47" s="5"/>
      <c r="D47" s="5"/>
      <c r="E47" s="5"/>
      <c r="F47" s="5"/>
      <c r="G47" s="5"/>
      <c r="H47" s="5"/>
      <c r="I47" s="5"/>
      <c r="J47" s="5"/>
      <c r="K47" s="5"/>
      <c r="L47" s="5"/>
      <c r="M47" s="5"/>
      <c r="N47" s="5"/>
      <c r="O47" s="5"/>
      <c r="P47" s="5"/>
      <c r="Q47" s="5"/>
      <c r="R47" s="5"/>
      <c r="S47" s="5"/>
      <c r="T47" s="5"/>
      <c r="U47" s="5"/>
      <c r="V47" s="5"/>
      <c r="W47" s="5"/>
      <c r="X47" s="5"/>
      <c r="Y47" s="5"/>
      <c r="Z47" s="5"/>
      <c r="AA47" s="5"/>
      <c r="AB47" s="5"/>
      <c r="AC47" s="221"/>
      <c r="AD47" s="193"/>
      <c r="BC47" s="195"/>
      <c r="BD47" s="196"/>
      <c r="BE47" s="197"/>
    </row>
    <row r="48" spans="1:57" ht="24" customHeight="1" thickTop="1" thickBot="1" x14ac:dyDescent="0.3">
      <c r="A48" s="222"/>
      <c r="B48" s="327" t="s">
        <v>3534</v>
      </c>
      <c r="C48" s="327"/>
      <c r="D48" s="449"/>
      <c r="E48" s="443"/>
      <c r="F48" s="444"/>
      <c r="G48" s="444"/>
      <c r="H48" s="444"/>
      <c r="I48" s="444"/>
      <c r="J48" s="445"/>
      <c r="K48" s="5"/>
      <c r="L48" s="228"/>
      <c r="M48" s="228"/>
      <c r="N48" s="228"/>
      <c r="O48" s="228"/>
      <c r="P48" s="228"/>
      <c r="Q48" s="228"/>
      <c r="R48" s="229"/>
      <c r="S48" s="229"/>
      <c r="T48" s="225"/>
      <c r="U48" s="485" t="s">
        <v>5606</v>
      </c>
      <c r="V48" s="485"/>
      <c r="W48" s="485"/>
      <c r="X48" s="486"/>
      <c r="Y48" s="482"/>
      <c r="Z48" s="483"/>
      <c r="AA48" s="483"/>
      <c r="AB48" s="484"/>
      <c r="AC48" s="221"/>
      <c r="AD48" s="193"/>
      <c r="BC48" s="195"/>
      <c r="BD48" s="196"/>
    </row>
    <row r="49" spans="1:56" ht="9" customHeight="1" thickTop="1" thickBot="1" x14ac:dyDescent="0.3">
      <c r="A49" s="222"/>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221"/>
      <c r="AD49" s="193"/>
      <c r="BC49" s="195"/>
      <c r="BD49" s="196"/>
    </row>
    <row r="50" spans="1:56" ht="26.25" customHeight="1" thickTop="1" thickBot="1" x14ac:dyDescent="0.3">
      <c r="A50" s="222"/>
      <c r="B50" s="226"/>
      <c r="C50" s="5"/>
      <c r="D50" s="5"/>
      <c r="E50" s="5"/>
      <c r="F50" s="5"/>
      <c r="G50" s="5"/>
      <c r="H50" s="5"/>
      <c r="I50" s="5"/>
      <c r="J50" s="5"/>
      <c r="K50" s="5"/>
      <c r="L50" s="5"/>
      <c r="M50" s="227"/>
      <c r="N50" s="227"/>
      <c r="O50" s="227"/>
      <c r="P50" s="227"/>
      <c r="Q50" s="447" t="s">
        <v>3581</v>
      </c>
      <c r="R50" s="447"/>
      <c r="S50" s="447"/>
      <c r="T50" s="447"/>
      <c r="U50" s="447"/>
      <c r="V50" s="448"/>
      <c r="W50" s="487">
        <f>IF(L54="",'Validador- Datos'!BM9,'Validador- Datos'!BM9/L54)</f>
        <v>0</v>
      </c>
      <c r="X50" s="488"/>
      <c r="Y50" s="488"/>
      <c r="Z50" s="488"/>
      <c r="AA50" s="488"/>
      <c r="AB50" s="489"/>
      <c r="AC50" s="221"/>
      <c r="AD50" s="193"/>
      <c r="BC50" s="195"/>
      <c r="BD50" s="196"/>
    </row>
    <row r="51" spans="1:56" ht="14.25" customHeight="1" thickTop="1" thickBot="1" x14ac:dyDescent="0.3">
      <c r="A51" s="222"/>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221"/>
      <c r="AD51" s="193"/>
      <c r="BC51" s="195"/>
      <c r="BD51" s="196"/>
    </row>
    <row r="52" spans="1:56" ht="30" customHeight="1" thickTop="1" thickBot="1" x14ac:dyDescent="0.3">
      <c r="A52" s="222"/>
      <c r="B52" s="370" t="s">
        <v>3535</v>
      </c>
      <c r="C52" s="370"/>
      <c r="D52" s="370"/>
      <c r="E52" s="370"/>
      <c r="F52" s="370"/>
      <c r="G52" s="370"/>
      <c r="H52" s="370"/>
      <c r="I52" s="5"/>
      <c r="J52" s="439"/>
      <c r="K52" s="440"/>
      <c r="L52" s="440"/>
      <c r="M52" s="440"/>
      <c r="N52" s="440"/>
      <c r="O52" s="440"/>
      <c r="P52" s="441"/>
      <c r="Q52" s="5"/>
      <c r="R52" s="370" t="s">
        <v>3536</v>
      </c>
      <c r="S52" s="370"/>
      <c r="T52" s="370"/>
      <c r="U52" s="370"/>
      <c r="V52" s="370"/>
      <c r="W52" s="370"/>
      <c r="X52" s="442"/>
      <c r="Y52" s="439"/>
      <c r="Z52" s="440"/>
      <c r="AA52" s="440"/>
      <c r="AB52" s="441"/>
      <c r="AC52" s="221"/>
      <c r="AD52" s="193"/>
    </row>
    <row r="53" spans="1:56" ht="6" customHeight="1" thickTop="1" thickBot="1" x14ac:dyDescent="0.3">
      <c r="A53" s="222"/>
      <c r="B53" s="5"/>
      <c r="C53" s="5"/>
      <c r="D53" s="5"/>
      <c r="E53" s="5"/>
      <c r="F53" s="5"/>
      <c r="G53" s="5"/>
      <c r="H53" s="5"/>
      <c r="I53" s="5"/>
      <c r="J53" s="5"/>
      <c r="K53" s="5"/>
      <c r="L53" s="5"/>
      <c r="M53" s="5"/>
      <c r="N53" s="5"/>
      <c r="O53" s="5"/>
      <c r="P53" s="5"/>
      <c r="Q53" s="5"/>
      <c r="R53" s="5"/>
      <c r="S53" s="5"/>
      <c r="T53" s="5"/>
      <c r="U53" s="5"/>
      <c r="V53" s="5"/>
      <c r="W53" s="5"/>
      <c r="X53" s="5"/>
      <c r="Y53" s="224"/>
      <c r="Z53" s="5"/>
      <c r="AA53" s="5"/>
      <c r="AB53" s="5"/>
      <c r="AC53" s="221"/>
      <c r="AD53" s="193"/>
    </row>
    <row r="54" spans="1:56" ht="15.75" customHeight="1" thickTop="1" thickBot="1" x14ac:dyDescent="0.3">
      <c r="A54" s="222"/>
      <c r="B54" s="370" t="s">
        <v>3538</v>
      </c>
      <c r="C54" s="370"/>
      <c r="D54" s="370"/>
      <c r="E54" s="370"/>
      <c r="F54" s="370"/>
      <c r="G54" s="370"/>
      <c r="H54" s="370"/>
      <c r="I54" s="370"/>
      <c r="J54" s="5"/>
      <c r="K54" s="5"/>
      <c r="L54" s="478"/>
      <c r="M54" s="479"/>
      <c r="N54" s="479"/>
      <c r="O54" s="479"/>
      <c r="P54" s="480"/>
      <c r="Q54" s="5"/>
      <c r="R54" s="5"/>
      <c r="S54" s="5"/>
      <c r="T54" s="5"/>
      <c r="U54" s="5"/>
      <c r="V54" s="5"/>
      <c r="W54" s="5"/>
      <c r="X54" s="481"/>
      <c r="Y54" s="481"/>
      <c r="Z54" s="481"/>
      <c r="AA54" s="481"/>
      <c r="AB54" s="481"/>
      <c r="AC54" s="221"/>
      <c r="AD54" s="193"/>
    </row>
    <row r="55" spans="1:56" ht="7.5" customHeight="1" thickTop="1" x14ac:dyDescent="0.25">
      <c r="A55" s="222"/>
      <c r="B55" s="5"/>
      <c r="C55" s="5"/>
      <c r="D55" s="5"/>
      <c r="E55" s="5"/>
      <c r="F55" s="5"/>
      <c r="G55" s="5"/>
      <c r="H55" s="5"/>
      <c r="I55" s="5"/>
      <c r="J55" s="5"/>
      <c r="K55" s="5"/>
      <c r="L55" s="5"/>
      <c r="M55" s="5"/>
      <c r="N55" s="5"/>
      <c r="O55" s="5"/>
      <c r="P55" s="5"/>
      <c r="Q55" s="5"/>
      <c r="R55" s="5"/>
      <c r="S55" s="5"/>
      <c r="T55" s="5"/>
      <c r="U55" s="5"/>
      <c r="V55" s="5"/>
      <c r="W55" s="5"/>
      <c r="X55" s="223"/>
      <c r="Y55" s="223"/>
      <c r="Z55" s="223"/>
      <c r="AA55" s="223"/>
      <c r="AB55" s="223"/>
      <c r="AC55" s="221"/>
      <c r="AD55" s="193"/>
    </row>
    <row r="56" spans="1:56" ht="15.75" customHeight="1" thickBot="1" x14ac:dyDescent="0.3">
      <c r="A56" s="222"/>
      <c r="B56" s="438" t="str">
        <f>+B41</f>
        <v>Como soporte se anexa la siguiente documentación:</v>
      </c>
      <c r="C56" s="438"/>
      <c r="D56" s="438"/>
      <c r="E56" s="438"/>
      <c r="F56" s="438"/>
      <c r="G56" s="438"/>
      <c r="H56" s="438"/>
      <c r="I56" s="438"/>
      <c r="J56" s="438"/>
      <c r="K56" s="438"/>
      <c r="L56" s="438"/>
      <c r="M56" s="438"/>
      <c r="N56" s="5"/>
      <c r="O56" s="5"/>
      <c r="P56" s="5"/>
      <c r="Q56" s="5"/>
      <c r="R56" s="5"/>
      <c r="S56" s="5"/>
      <c r="T56" s="5"/>
      <c r="U56" s="5"/>
      <c r="V56" s="5"/>
      <c r="W56" s="5"/>
      <c r="X56" s="5"/>
      <c r="Y56" s="224"/>
      <c r="Z56" s="5"/>
      <c r="AA56" s="5"/>
      <c r="AB56" s="5"/>
      <c r="AC56" s="221"/>
      <c r="AD56" s="193"/>
    </row>
    <row r="57" spans="1:56" ht="21.75" customHeight="1" thickTop="1" thickBot="1" x14ac:dyDescent="0.3">
      <c r="A57" s="222"/>
      <c r="B57" s="462" t="str">
        <f>IF(H46="","",AD59)</f>
        <v/>
      </c>
      <c r="C57" s="463"/>
      <c r="D57" s="463"/>
      <c r="E57" s="463"/>
      <c r="F57" s="463"/>
      <c r="G57" s="463"/>
      <c r="H57" s="463"/>
      <c r="I57" s="463"/>
      <c r="J57" s="463"/>
      <c r="K57" s="463"/>
      <c r="L57" s="463"/>
      <c r="M57" s="463"/>
      <c r="N57" s="463"/>
      <c r="O57" s="463"/>
      <c r="P57" s="463"/>
      <c r="Q57" s="463"/>
      <c r="R57" s="463"/>
      <c r="S57" s="463"/>
      <c r="T57" s="463"/>
      <c r="U57" s="463"/>
      <c r="V57" s="463"/>
      <c r="W57" s="463"/>
      <c r="X57" s="463"/>
      <c r="Y57" s="463"/>
      <c r="Z57" s="463"/>
      <c r="AA57" s="464"/>
      <c r="AB57" s="5"/>
      <c r="AC57" s="221"/>
      <c r="AD57" s="193"/>
    </row>
    <row r="58" spans="1:56" ht="11.25" customHeight="1" thickTop="1" thickBot="1" x14ac:dyDescent="0.3">
      <c r="A58" s="218"/>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c r="AA58" s="219"/>
      <c r="AB58" s="219"/>
      <c r="AC58" s="220"/>
      <c r="AD58" s="193"/>
    </row>
    <row r="59" spans="1:56" ht="29.25" customHeight="1" thickTop="1" thickBo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193" t="str">
        <f>CONCATENATE("CERTIFICADO EXPEDIDO POR ",H46," A NOMBRE DE ",,J11, " TITULAR DEL CREDITO ")</f>
        <v xml:space="preserve">CERTIFICADO EXPEDIDO POR  A NOMBRE DE     TITULAR DEL CREDITO </v>
      </c>
    </row>
    <row r="60" spans="1:56" ht="34.5" customHeight="1" thickBot="1" x14ac:dyDescent="0.3">
      <c r="A60" s="5"/>
      <c r="B60" s="473" t="s">
        <v>3539</v>
      </c>
      <c r="C60" s="474"/>
      <c r="D60" s="474"/>
      <c r="E60" s="474"/>
      <c r="F60" s="474"/>
      <c r="G60" s="474"/>
      <c r="H60" s="474"/>
      <c r="I60" s="474"/>
      <c r="J60" s="474"/>
      <c r="K60" s="474"/>
      <c r="L60" s="474"/>
      <c r="M60" s="474"/>
      <c r="N60" s="474"/>
      <c r="O60" s="474"/>
      <c r="P60" s="474"/>
      <c r="Q60" s="474"/>
      <c r="R60" s="474"/>
      <c r="S60" s="474"/>
      <c r="T60" s="474"/>
      <c r="U60" s="474"/>
      <c r="V60" s="474"/>
      <c r="W60" s="474"/>
      <c r="X60" s="474"/>
      <c r="Y60" s="474"/>
      <c r="Z60" s="474"/>
      <c r="AA60" s="475"/>
      <c r="AB60" s="5"/>
      <c r="AC60" s="5"/>
      <c r="AD60" s="193"/>
    </row>
    <row r="61" spans="1:56" ht="9.75" customHeight="1" thickBo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spans="1:56" ht="30" customHeight="1" thickTop="1" thickBot="1" x14ac:dyDescent="0.3">
      <c r="A62" s="5"/>
      <c r="B62" s="202" t="s">
        <v>3540</v>
      </c>
      <c r="C62" s="5"/>
      <c r="D62" s="5"/>
      <c r="E62" s="5"/>
      <c r="F62" s="5"/>
      <c r="G62" s="443"/>
      <c r="H62" s="444"/>
      <c r="I62" s="445"/>
      <c r="J62" s="5"/>
      <c r="K62" s="5"/>
      <c r="L62" s="5"/>
      <c r="M62" s="5"/>
      <c r="N62" s="5"/>
      <c r="O62" s="5"/>
      <c r="P62" s="5"/>
      <c r="Q62" s="5"/>
      <c r="R62" s="5"/>
      <c r="S62" s="5"/>
      <c r="T62" s="5"/>
      <c r="U62" s="5"/>
      <c r="V62" s="5"/>
      <c r="W62" s="5"/>
      <c r="X62" s="5"/>
      <c r="Y62" s="5"/>
      <c r="Z62" s="5"/>
      <c r="AA62" s="5"/>
      <c r="AB62" s="5"/>
      <c r="AC62" s="5"/>
    </row>
    <row r="63" spans="1:56" ht="15.75" thickTop="1" x14ac:dyDescent="0.25">
      <c r="A63" s="5"/>
      <c r="B63" s="5"/>
      <c r="C63" s="5"/>
      <c r="D63" s="5"/>
      <c r="E63" s="5"/>
      <c r="F63" s="5"/>
      <c r="G63" s="5"/>
      <c r="H63" s="5"/>
      <c r="I63" s="5"/>
      <c r="J63" s="5"/>
      <c r="K63" s="5"/>
      <c r="L63" s="5"/>
      <c r="M63" s="5"/>
      <c r="N63" s="5"/>
      <c r="O63" s="5"/>
      <c r="P63" s="470"/>
      <c r="Q63" s="470"/>
      <c r="R63" s="470"/>
      <c r="S63" s="470"/>
      <c r="T63" s="470"/>
      <c r="U63" s="470"/>
      <c r="V63" s="470"/>
      <c r="W63" s="470"/>
      <c r="X63" s="470"/>
      <c r="Y63" s="470"/>
      <c r="Z63" s="470"/>
      <c r="AA63" s="470"/>
      <c r="AB63" s="470"/>
      <c r="AC63" s="5"/>
    </row>
    <row r="64" spans="1:56" x14ac:dyDescent="0.25">
      <c r="A64" s="5"/>
      <c r="B64" s="5"/>
      <c r="C64" s="5"/>
      <c r="D64" s="5"/>
      <c r="E64" s="5"/>
      <c r="F64" s="5"/>
      <c r="G64" s="5"/>
      <c r="H64" s="5"/>
      <c r="I64" s="5"/>
      <c r="J64" s="5"/>
      <c r="K64" s="5"/>
      <c r="L64" s="5"/>
      <c r="M64" s="5"/>
      <c r="N64" s="5"/>
      <c r="O64" s="5"/>
      <c r="P64" s="470"/>
      <c r="Q64" s="470"/>
      <c r="R64" s="470"/>
      <c r="S64" s="470"/>
      <c r="T64" s="470"/>
      <c r="U64" s="470"/>
      <c r="V64" s="470"/>
      <c r="W64" s="470"/>
      <c r="X64" s="470"/>
      <c r="Y64" s="470"/>
      <c r="Z64" s="470"/>
      <c r="AA64" s="470"/>
      <c r="AB64" s="470"/>
      <c r="AC64" s="5"/>
    </row>
    <row r="65" spans="1:29" x14ac:dyDescent="0.25">
      <c r="A65" s="5"/>
      <c r="B65" s="5"/>
      <c r="C65" s="5"/>
      <c r="D65" s="5"/>
      <c r="E65" s="5"/>
      <c r="F65" s="5"/>
      <c r="G65" s="5"/>
      <c r="H65" s="5"/>
      <c r="I65" s="5"/>
      <c r="J65" s="5"/>
      <c r="K65" s="5"/>
      <c r="L65" s="5"/>
      <c r="M65" s="5"/>
      <c r="N65" s="5"/>
      <c r="O65" s="5"/>
      <c r="P65" s="470"/>
      <c r="Q65" s="470"/>
      <c r="R65" s="470"/>
      <c r="S65" s="470"/>
      <c r="T65" s="470"/>
      <c r="U65" s="470"/>
      <c r="V65" s="470"/>
      <c r="W65" s="470"/>
      <c r="X65" s="470"/>
      <c r="Y65" s="470"/>
      <c r="Z65" s="470"/>
      <c r="AA65" s="470"/>
      <c r="AB65" s="470"/>
      <c r="AC65" s="5"/>
    </row>
    <row r="66" spans="1:29" x14ac:dyDescent="0.25">
      <c r="A66" s="5"/>
      <c r="B66" s="5"/>
      <c r="C66" s="5"/>
      <c r="D66" s="5"/>
      <c r="E66" s="5"/>
      <c r="F66" s="5"/>
      <c r="G66" s="5"/>
      <c r="H66" s="5"/>
      <c r="I66" s="5"/>
      <c r="J66" s="5"/>
      <c r="K66" s="5"/>
      <c r="L66" s="5"/>
      <c r="M66" s="5"/>
      <c r="N66" s="5"/>
      <c r="O66" s="5"/>
      <c r="P66" s="470"/>
      <c r="Q66" s="470"/>
      <c r="R66" s="470"/>
      <c r="S66" s="470"/>
      <c r="T66" s="470"/>
      <c r="U66" s="470"/>
      <c r="V66" s="470"/>
      <c r="W66" s="470"/>
      <c r="X66" s="470"/>
      <c r="Y66" s="470"/>
      <c r="Z66" s="470"/>
      <c r="AA66" s="470"/>
      <c r="AB66" s="470"/>
      <c r="AC66" s="5"/>
    </row>
    <row r="67" spans="1:29" ht="15.75" thickBot="1" x14ac:dyDescent="0.3">
      <c r="A67" s="5"/>
      <c r="B67" s="216"/>
      <c r="C67" s="216"/>
      <c r="D67" s="216"/>
      <c r="E67" s="216"/>
      <c r="F67" s="216"/>
      <c r="G67" s="216"/>
      <c r="H67" s="216"/>
      <c r="I67" s="216"/>
      <c r="J67" s="216"/>
      <c r="K67" s="216"/>
      <c r="L67" s="216"/>
      <c r="M67" s="216"/>
      <c r="N67" s="216"/>
      <c r="O67" s="216"/>
      <c r="P67" s="5"/>
      <c r="Q67" s="5"/>
      <c r="R67" s="5"/>
      <c r="S67" s="5"/>
      <c r="T67" s="5"/>
      <c r="U67" s="5"/>
      <c r="V67" s="5"/>
      <c r="W67" s="5"/>
      <c r="X67" s="5"/>
      <c r="Y67" s="5"/>
      <c r="Z67" s="5"/>
      <c r="AA67" s="5"/>
      <c r="AB67" s="5"/>
      <c r="AC67" s="5"/>
    </row>
    <row r="68" spans="1:29" x14ac:dyDescent="0.25">
      <c r="A68" s="5"/>
      <c r="B68" s="465" t="str">
        <f>+J11</f>
        <v xml:space="preserve">   </v>
      </c>
      <c r="C68" s="465"/>
      <c r="D68" s="465"/>
      <c r="E68" s="465"/>
      <c r="F68" s="465"/>
      <c r="G68" s="465"/>
      <c r="H68" s="465"/>
      <c r="I68" s="465"/>
      <c r="J68" s="465"/>
      <c r="K68" s="465"/>
      <c r="L68" s="465"/>
      <c r="M68" s="465"/>
      <c r="N68" s="465"/>
      <c r="O68" s="465"/>
      <c r="P68" s="5"/>
      <c r="Q68" s="5"/>
      <c r="R68" s="5"/>
      <c r="S68" s="5"/>
      <c r="T68" s="5"/>
      <c r="U68" s="5"/>
      <c r="V68" s="5"/>
      <c r="W68" s="5"/>
      <c r="X68" s="5"/>
      <c r="Y68" s="5"/>
      <c r="Z68" s="5"/>
      <c r="AA68" s="5"/>
      <c r="AB68" s="5"/>
      <c r="AC68" s="5"/>
    </row>
    <row r="69" spans="1:29" x14ac:dyDescent="0.25">
      <c r="A69" s="5"/>
      <c r="B69" s="202"/>
      <c r="C69" s="202"/>
      <c r="D69" s="202"/>
      <c r="E69" s="202"/>
      <c r="F69" s="202"/>
      <c r="G69" s="202"/>
      <c r="H69" s="202"/>
      <c r="I69" s="202"/>
      <c r="J69" s="202"/>
      <c r="K69" s="202"/>
      <c r="L69" s="202"/>
      <c r="M69" s="202"/>
      <c r="N69" s="202"/>
      <c r="O69" s="202"/>
      <c r="P69" s="5"/>
      <c r="Q69" s="5"/>
      <c r="R69" s="5"/>
      <c r="S69" s="5"/>
      <c r="T69" s="5"/>
      <c r="U69" s="5"/>
      <c r="V69" s="5"/>
      <c r="W69" s="5"/>
      <c r="X69" s="5"/>
      <c r="Y69" s="5"/>
      <c r="Z69" s="5"/>
      <c r="AA69" s="5"/>
      <c r="AB69" s="5"/>
      <c r="AC69" s="5"/>
    </row>
    <row r="70" spans="1:29" ht="93.6" customHeight="1" x14ac:dyDescent="0.25">
      <c r="A70" s="5"/>
      <c r="B70" s="476" t="s">
        <v>5667</v>
      </c>
      <c r="C70" s="477"/>
      <c r="D70" s="477"/>
      <c r="E70" s="477"/>
      <c r="F70" s="477"/>
      <c r="G70" s="477"/>
      <c r="H70" s="477"/>
      <c r="I70" s="477"/>
      <c r="J70" s="477"/>
      <c r="K70" s="477"/>
      <c r="L70" s="477"/>
      <c r="M70" s="477"/>
      <c r="N70" s="477"/>
      <c r="O70" s="477"/>
      <c r="P70" s="477"/>
      <c r="Q70" s="477"/>
      <c r="R70" s="477"/>
      <c r="S70" s="477"/>
      <c r="T70" s="477"/>
      <c r="U70" s="477"/>
      <c r="V70" s="477"/>
      <c r="W70" s="477"/>
      <c r="X70" s="477"/>
      <c r="Y70" s="477"/>
      <c r="Z70" s="477"/>
      <c r="AA70" s="477"/>
      <c r="AB70" s="477"/>
      <c r="AC70" s="5"/>
    </row>
    <row r="71" spans="1:29" x14ac:dyDescent="0.25">
      <c r="A71" s="5"/>
      <c r="B71" s="471">
        <f>+G13</f>
        <v>0</v>
      </c>
      <c r="C71" s="471"/>
      <c r="D71" s="471"/>
      <c r="E71" s="471"/>
      <c r="F71" s="471"/>
      <c r="G71" s="471"/>
      <c r="H71" s="471"/>
      <c r="I71" s="471"/>
      <c r="J71" s="471"/>
      <c r="K71" s="471"/>
      <c r="L71" s="471"/>
      <c r="M71" s="471"/>
      <c r="N71" s="471"/>
      <c r="O71" s="471"/>
      <c r="P71" s="5"/>
      <c r="Q71" s="5"/>
      <c r="R71" s="5"/>
      <c r="S71" s="5"/>
      <c r="T71" s="5"/>
      <c r="U71" s="5"/>
      <c r="V71" s="5"/>
      <c r="W71" s="5"/>
      <c r="X71" s="5"/>
      <c r="Y71" s="5"/>
      <c r="Z71" s="472" t="s">
        <v>5686</v>
      </c>
      <c r="AA71" s="472"/>
      <c r="AB71" s="5"/>
      <c r="AC71" s="5"/>
    </row>
    <row r="72" spans="1:29" x14ac:dyDescent="0.25">
      <c r="A72" s="5"/>
      <c r="B72" s="469"/>
      <c r="C72" s="469"/>
      <c r="D72" s="469"/>
      <c r="E72" s="469"/>
      <c r="F72" s="469"/>
      <c r="G72" s="469"/>
      <c r="H72" s="469"/>
      <c r="I72" s="469"/>
      <c r="J72" s="469"/>
      <c r="K72" s="469"/>
      <c r="L72" s="469"/>
      <c r="M72" s="469"/>
      <c r="N72" s="469"/>
      <c r="O72" s="469"/>
      <c r="P72" s="5"/>
      <c r="Q72" s="5"/>
      <c r="R72" s="5"/>
      <c r="S72" s="5"/>
      <c r="T72" s="5"/>
      <c r="U72" s="5"/>
      <c r="V72" s="5"/>
      <c r="W72" s="5"/>
      <c r="X72" s="5"/>
      <c r="Y72" s="5"/>
      <c r="Z72" s="472" t="s">
        <v>5687</v>
      </c>
      <c r="AA72" s="472"/>
      <c r="AB72" s="5"/>
      <c r="AC72" s="5"/>
    </row>
    <row r="73" spans="1:29" x14ac:dyDescent="0.25">
      <c r="B73" s="200"/>
      <c r="C73" s="200"/>
      <c r="D73" s="200"/>
      <c r="E73" s="200"/>
      <c r="F73" s="200"/>
      <c r="G73" s="200"/>
      <c r="H73" s="200"/>
      <c r="I73" s="200"/>
      <c r="J73" s="200"/>
      <c r="K73" s="200"/>
      <c r="L73" s="200"/>
      <c r="M73" s="200"/>
      <c r="N73" s="200"/>
      <c r="O73" s="200"/>
    </row>
    <row r="74" spans="1:29" x14ac:dyDescent="0.25">
      <c r="B74" s="200"/>
      <c r="C74" s="200"/>
      <c r="D74" s="200"/>
      <c r="E74" s="200"/>
      <c r="F74" s="200"/>
      <c r="G74" s="200"/>
      <c r="H74" s="200"/>
      <c r="I74" s="200"/>
      <c r="J74" s="200"/>
      <c r="K74" s="200"/>
      <c r="L74" s="200"/>
      <c r="M74" s="200"/>
      <c r="N74" s="200"/>
      <c r="O74" s="200"/>
    </row>
    <row r="75" spans="1:29" x14ac:dyDescent="0.25">
      <c r="B75" s="200"/>
      <c r="C75" s="200"/>
      <c r="D75" s="200"/>
      <c r="E75" s="200"/>
      <c r="F75" s="200"/>
      <c r="G75" s="200"/>
      <c r="H75" s="200"/>
      <c r="I75" s="200"/>
      <c r="J75" s="200"/>
      <c r="K75" s="200"/>
      <c r="L75" s="200"/>
      <c r="M75" s="200"/>
      <c r="N75" s="200"/>
      <c r="O75" s="200"/>
    </row>
    <row r="76" spans="1:29" hidden="1" x14ac:dyDescent="0.25">
      <c r="B76" s="200"/>
      <c r="C76" s="200"/>
      <c r="D76" s="200"/>
      <c r="E76" s="200"/>
      <c r="F76" s="200"/>
      <c r="G76" s="200"/>
      <c r="H76" s="200"/>
      <c r="I76" s="200"/>
      <c r="J76" s="200"/>
      <c r="K76" s="200"/>
      <c r="L76" s="200"/>
      <c r="M76" s="200"/>
      <c r="N76" s="200"/>
      <c r="O76" s="200"/>
    </row>
    <row r="77" spans="1:29" hidden="1" x14ac:dyDescent="0.25">
      <c r="B77" s="200"/>
      <c r="C77" s="200"/>
      <c r="D77" s="200"/>
      <c r="E77" s="200"/>
      <c r="F77" s="200"/>
      <c r="G77" s="200"/>
      <c r="H77" s="200"/>
      <c r="I77" s="200"/>
      <c r="J77" s="200"/>
      <c r="K77" s="200"/>
      <c r="L77" s="200"/>
      <c r="M77" s="200"/>
      <c r="N77" s="200"/>
      <c r="O77" s="200"/>
    </row>
    <row r="78" spans="1:29" hidden="1" x14ac:dyDescent="0.25">
      <c r="B78" s="200"/>
      <c r="C78" s="200"/>
      <c r="D78" s="200"/>
      <c r="E78" s="200"/>
      <c r="F78" s="200"/>
      <c r="G78" s="200"/>
      <c r="H78" s="200"/>
      <c r="I78" s="200"/>
      <c r="J78" s="200"/>
      <c r="K78" s="200"/>
      <c r="L78" s="200"/>
      <c r="M78" s="200"/>
      <c r="N78" s="200"/>
      <c r="O78" s="200"/>
    </row>
    <row r="79" spans="1:29" hidden="1" x14ac:dyDescent="0.25">
      <c r="B79" s="200"/>
      <c r="C79" s="200"/>
      <c r="D79" s="200"/>
      <c r="E79" s="200"/>
      <c r="F79" s="200"/>
      <c r="G79" s="200"/>
      <c r="H79" s="200"/>
      <c r="I79" s="200"/>
      <c r="J79" s="200"/>
      <c r="K79" s="200"/>
      <c r="L79" s="200"/>
      <c r="M79" s="200"/>
      <c r="N79" s="200"/>
      <c r="O79" s="200"/>
    </row>
    <row r="80" spans="1:29" hidden="1" x14ac:dyDescent="0.25">
      <c r="B80" s="200"/>
      <c r="C80" s="200"/>
      <c r="D80" s="200"/>
      <c r="E80" s="200"/>
      <c r="F80" s="200"/>
      <c r="G80" s="200"/>
      <c r="H80" s="200"/>
      <c r="I80" s="200"/>
      <c r="J80" s="200"/>
      <c r="K80" s="200"/>
      <c r="L80" s="200"/>
      <c r="M80" s="200"/>
      <c r="N80" s="200"/>
      <c r="O80" s="200"/>
    </row>
    <row r="81" spans="2:15" hidden="1" x14ac:dyDescent="0.25">
      <c r="B81" s="200"/>
      <c r="C81" s="200"/>
      <c r="D81" s="200"/>
      <c r="E81" s="200"/>
      <c r="F81" s="200"/>
      <c r="G81" s="200"/>
      <c r="H81" s="200"/>
      <c r="I81" s="200"/>
      <c r="J81" s="200"/>
      <c r="K81" s="200"/>
      <c r="L81" s="200"/>
      <c r="M81" s="200"/>
      <c r="N81" s="200"/>
      <c r="O81" s="200"/>
    </row>
    <row r="82" spans="2:15" hidden="1" x14ac:dyDescent="0.25">
      <c r="B82" s="200"/>
      <c r="C82" s="200"/>
      <c r="D82" s="200"/>
      <c r="E82" s="200"/>
      <c r="F82" s="200"/>
      <c r="G82" s="200"/>
      <c r="H82" s="200"/>
      <c r="I82" s="200"/>
      <c r="J82" s="200"/>
      <c r="K82" s="200"/>
      <c r="L82" s="200"/>
      <c r="M82" s="200"/>
      <c r="N82" s="200"/>
      <c r="O82" s="200"/>
    </row>
    <row r="83" spans="2:15" hidden="1" x14ac:dyDescent="0.25">
      <c r="B83" s="200"/>
      <c r="C83" s="200"/>
      <c r="D83" s="200"/>
      <c r="E83" s="200"/>
      <c r="F83" s="200"/>
      <c r="G83" s="200"/>
      <c r="H83" s="200"/>
      <c r="I83" s="200"/>
      <c r="J83" s="200"/>
      <c r="K83" s="200"/>
      <c r="L83" s="200"/>
      <c r="M83" s="200"/>
      <c r="N83" s="200"/>
      <c r="O83" s="200"/>
    </row>
    <row r="84" spans="2:15" hidden="1" x14ac:dyDescent="0.25">
      <c r="H84" s="2">
        <v>2018</v>
      </c>
    </row>
    <row r="85" spans="2:15" hidden="1" x14ac:dyDescent="0.25">
      <c r="B85" s="198">
        <v>44562</v>
      </c>
      <c r="H85" s="2">
        <v>2017</v>
      </c>
    </row>
    <row r="86" spans="2:15" hidden="1" x14ac:dyDescent="0.25">
      <c r="B86" s="198">
        <v>44563</v>
      </c>
      <c r="H86" s="2">
        <v>2016</v>
      </c>
    </row>
    <row r="87" spans="2:15" hidden="1" x14ac:dyDescent="0.25">
      <c r="B87" s="198">
        <v>44564</v>
      </c>
      <c r="F87" s="2">
        <v>1</v>
      </c>
      <c r="G87" s="2">
        <v>1</v>
      </c>
      <c r="H87" s="2">
        <v>2015</v>
      </c>
      <c r="I87" s="2">
        <v>0</v>
      </c>
    </row>
    <row r="88" spans="2:15" hidden="1" x14ac:dyDescent="0.25">
      <c r="B88" s="198">
        <v>44565</v>
      </c>
      <c r="F88" s="2">
        <v>2</v>
      </c>
      <c r="G88" s="2">
        <v>2</v>
      </c>
      <c r="H88" s="2">
        <v>2014</v>
      </c>
      <c r="I88" s="2">
        <v>1</v>
      </c>
    </row>
    <row r="89" spans="2:15" hidden="1" x14ac:dyDescent="0.25">
      <c r="B89" s="198">
        <v>44566</v>
      </c>
      <c r="F89" s="2">
        <v>3</v>
      </c>
      <c r="G89" s="2">
        <v>3</v>
      </c>
      <c r="H89" s="2">
        <v>2013</v>
      </c>
      <c r="I89" s="2">
        <v>2</v>
      </c>
    </row>
    <row r="90" spans="2:15" hidden="1" x14ac:dyDescent="0.25">
      <c r="B90" s="198">
        <v>44567</v>
      </c>
      <c r="F90" s="2">
        <v>4</v>
      </c>
      <c r="G90" s="2">
        <v>4</v>
      </c>
      <c r="H90" s="2">
        <v>2012</v>
      </c>
      <c r="I90" s="2">
        <v>3</v>
      </c>
    </row>
    <row r="91" spans="2:15" hidden="1" x14ac:dyDescent="0.25">
      <c r="B91" s="198">
        <v>44568</v>
      </c>
      <c r="F91" s="2">
        <v>5</v>
      </c>
      <c r="G91" s="2">
        <v>5</v>
      </c>
      <c r="H91" s="2">
        <v>2011</v>
      </c>
      <c r="I91" s="2">
        <v>4</v>
      </c>
    </row>
    <row r="92" spans="2:15" hidden="1" x14ac:dyDescent="0.25">
      <c r="B92" s="198">
        <v>44569</v>
      </c>
      <c r="F92" s="2">
        <v>6</v>
      </c>
      <c r="G92" s="2">
        <v>6</v>
      </c>
      <c r="H92" s="2">
        <v>2010</v>
      </c>
      <c r="I92" s="2">
        <v>5</v>
      </c>
    </row>
    <row r="93" spans="2:15" hidden="1" x14ac:dyDescent="0.25">
      <c r="B93" s="198">
        <v>44570</v>
      </c>
      <c r="F93" s="2">
        <v>7</v>
      </c>
      <c r="G93" s="2">
        <v>7</v>
      </c>
      <c r="H93" s="2">
        <v>2009</v>
      </c>
      <c r="I93" s="2">
        <v>6</v>
      </c>
    </row>
    <row r="94" spans="2:15" hidden="1" x14ac:dyDescent="0.25">
      <c r="B94" s="198">
        <v>44571</v>
      </c>
      <c r="F94" s="2">
        <v>8</v>
      </c>
      <c r="G94" s="2">
        <v>8</v>
      </c>
      <c r="H94" s="2">
        <v>2008</v>
      </c>
      <c r="I94" s="2">
        <v>7</v>
      </c>
    </row>
    <row r="95" spans="2:15" hidden="1" x14ac:dyDescent="0.25">
      <c r="B95" s="198">
        <v>44572</v>
      </c>
      <c r="F95" s="2">
        <v>9</v>
      </c>
      <c r="G95" s="2">
        <v>9</v>
      </c>
      <c r="H95" s="2">
        <v>2007</v>
      </c>
      <c r="I95" s="2">
        <v>8</v>
      </c>
    </row>
    <row r="96" spans="2:15" hidden="1" x14ac:dyDescent="0.25">
      <c r="B96" s="198">
        <v>44573</v>
      </c>
      <c r="F96" s="2">
        <v>10</v>
      </c>
      <c r="G96" s="2">
        <v>10</v>
      </c>
      <c r="H96" s="2">
        <v>2006</v>
      </c>
      <c r="I96" s="2">
        <v>9</v>
      </c>
    </row>
    <row r="97" spans="2:9" hidden="1" x14ac:dyDescent="0.25">
      <c r="B97" s="198">
        <v>44574</v>
      </c>
      <c r="F97" s="2">
        <v>11</v>
      </c>
      <c r="G97" s="2">
        <v>11</v>
      </c>
      <c r="H97" s="2">
        <v>2005</v>
      </c>
      <c r="I97" s="2">
        <v>10</v>
      </c>
    </row>
    <row r="98" spans="2:9" hidden="1" x14ac:dyDescent="0.25">
      <c r="B98" s="198">
        <v>44575</v>
      </c>
      <c r="F98" s="2">
        <v>12</v>
      </c>
      <c r="G98" s="2">
        <v>12</v>
      </c>
      <c r="H98" s="2">
        <v>2004</v>
      </c>
      <c r="I98" s="2">
        <v>11</v>
      </c>
    </row>
    <row r="99" spans="2:9" hidden="1" x14ac:dyDescent="0.25">
      <c r="B99" s="198">
        <v>44576</v>
      </c>
      <c r="G99" s="2">
        <v>13</v>
      </c>
      <c r="H99" s="2">
        <v>2003</v>
      </c>
      <c r="I99" s="2">
        <v>12</v>
      </c>
    </row>
    <row r="100" spans="2:9" hidden="1" x14ac:dyDescent="0.25">
      <c r="B100" s="198">
        <v>44577</v>
      </c>
      <c r="G100" s="2">
        <v>14</v>
      </c>
      <c r="H100" s="2">
        <v>2002</v>
      </c>
      <c r="I100" s="2">
        <v>13</v>
      </c>
    </row>
    <row r="101" spans="2:9" hidden="1" x14ac:dyDescent="0.25">
      <c r="B101" s="198">
        <v>44578</v>
      </c>
      <c r="G101" s="2">
        <v>15</v>
      </c>
      <c r="H101" s="2">
        <v>2001</v>
      </c>
      <c r="I101" s="2">
        <v>14</v>
      </c>
    </row>
    <row r="102" spans="2:9" hidden="1" x14ac:dyDescent="0.25">
      <c r="B102" s="198">
        <v>44579</v>
      </c>
      <c r="G102" s="2">
        <v>16</v>
      </c>
      <c r="H102" s="2">
        <v>2000</v>
      </c>
      <c r="I102" s="2">
        <v>15</v>
      </c>
    </row>
    <row r="103" spans="2:9" hidden="1" x14ac:dyDescent="0.25">
      <c r="B103" s="198">
        <v>44580</v>
      </c>
      <c r="G103" s="2">
        <v>17</v>
      </c>
      <c r="H103" s="2">
        <v>1999</v>
      </c>
      <c r="I103" s="2">
        <v>16</v>
      </c>
    </row>
    <row r="104" spans="2:9" hidden="1" x14ac:dyDescent="0.25">
      <c r="B104" s="198">
        <v>44581</v>
      </c>
      <c r="G104" s="2">
        <v>18</v>
      </c>
      <c r="H104" s="2">
        <v>1998</v>
      </c>
      <c r="I104" s="2">
        <v>17</v>
      </c>
    </row>
    <row r="105" spans="2:9" hidden="1" x14ac:dyDescent="0.25">
      <c r="B105" s="198">
        <v>44582</v>
      </c>
      <c r="G105" s="2">
        <v>19</v>
      </c>
      <c r="H105" s="2">
        <v>1997</v>
      </c>
      <c r="I105" s="2">
        <v>18</v>
      </c>
    </row>
    <row r="106" spans="2:9" hidden="1" x14ac:dyDescent="0.25">
      <c r="B106" s="198">
        <v>44583</v>
      </c>
      <c r="G106" s="2">
        <v>20</v>
      </c>
      <c r="H106" s="2">
        <v>1996</v>
      </c>
      <c r="I106" s="2">
        <v>19</v>
      </c>
    </row>
    <row r="107" spans="2:9" hidden="1" x14ac:dyDescent="0.25">
      <c r="B107" s="198">
        <v>44584</v>
      </c>
      <c r="G107" s="2">
        <v>21</v>
      </c>
      <c r="H107" s="2">
        <v>1995</v>
      </c>
      <c r="I107" s="2">
        <v>20</v>
      </c>
    </row>
    <row r="108" spans="2:9" hidden="1" x14ac:dyDescent="0.25">
      <c r="B108" s="198">
        <v>44585</v>
      </c>
      <c r="G108" s="2">
        <v>22</v>
      </c>
      <c r="H108" s="2">
        <v>1994</v>
      </c>
      <c r="I108" s="2">
        <v>21</v>
      </c>
    </row>
    <row r="109" spans="2:9" hidden="1" x14ac:dyDescent="0.25">
      <c r="B109" s="198">
        <v>44586</v>
      </c>
      <c r="G109" s="2">
        <v>23</v>
      </c>
      <c r="H109" s="2">
        <v>1993</v>
      </c>
      <c r="I109" s="2">
        <v>22</v>
      </c>
    </row>
    <row r="110" spans="2:9" hidden="1" x14ac:dyDescent="0.25">
      <c r="B110" s="198">
        <v>44587</v>
      </c>
      <c r="G110" s="2">
        <v>24</v>
      </c>
      <c r="H110" s="2">
        <v>1992</v>
      </c>
      <c r="I110" s="2">
        <v>23</v>
      </c>
    </row>
    <row r="111" spans="2:9" hidden="1" x14ac:dyDescent="0.25">
      <c r="B111" s="198">
        <v>44588</v>
      </c>
      <c r="G111" s="2">
        <v>25</v>
      </c>
      <c r="H111" s="2">
        <v>1991</v>
      </c>
      <c r="I111" s="2">
        <v>24</v>
      </c>
    </row>
    <row r="112" spans="2:9" hidden="1" x14ac:dyDescent="0.25">
      <c r="B112" s="198">
        <v>44589</v>
      </c>
      <c r="G112" s="2">
        <v>26</v>
      </c>
      <c r="H112" s="2">
        <v>1990</v>
      </c>
      <c r="I112" s="2">
        <v>25</v>
      </c>
    </row>
    <row r="113" spans="2:17" hidden="1" x14ac:dyDescent="0.25">
      <c r="B113" s="198">
        <v>44590</v>
      </c>
      <c r="G113" s="2">
        <v>27</v>
      </c>
      <c r="I113" s="2">
        <v>26</v>
      </c>
    </row>
    <row r="114" spans="2:17" hidden="1" x14ac:dyDescent="0.25">
      <c r="B114" s="198">
        <v>44591</v>
      </c>
      <c r="G114" s="2">
        <v>28</v>
      </c>
      <c r="I114" s="2">
        <v>27</v>
      </c>
    </row>
    <row r="115" spans="2:17" hidden="1" x14ac:dyDescent="0.25">
      <c r="B115" s="198">
        <v>44592</v>
      </c>
      <c r="G115" s="2">
        <v>29</v>
      </c>
      <c r="I115" s="2">
        <v>28</v>
      </c>
    </row>
    <row r="116" spans="2:17" hidden="1" x14ac:dyDescent="0.25">
      <c r="B116" s="198">
        <v>44593</v>
      </c>
      <c r="G116" s="2">
        <v>30</v>
      </c>
      <c r="I116" s="2">
        <v>29</v>
      </c>
    </row>
    <row r="117" spans="2:17" hidden="1" x14ac:dyDescent="0.25">
      <c r="B117" s="198">
        <v>44594</v>
      </c>
      <c r="G117" s="2">
        <v>31</v>
      </c>
      <c r="I117" s="2">
        <v>30</v>
      </c>
    </row>
    <row r="118" spans="2:17" hidden="1" x14ac:dyDescent="0.25">
      <c r="B118" s="198">
        <v>44595</v>
      </c>
      <c r="I118" s="2">
        <v>31</v>
      </c>
    </row>
    <row r="119" spans="2:17" hidden="1" x14ac:dyDescent="0.25">
      <c r="B119" s="198">
        <v>44596</v>
      </c>
      <c r="I119" s="2">
        <v>32</v>
      </c>
    </row>
    <row r="120" spans="2:17" hidden="1" x14ac:dyDescent="0.25">
      <c r="B120" s="198">
        <v>44597</v>
      </c>
      <c r="I120" s="2">
        <v>33</v>
      </c>
    </row>
    <row r="121" spans="2:17" hidden="1" x14ac:dyDescent="0.25">
      <c r="B121" s="198">
        <v>44598</v>
      </c>
      <c r="I121" s="2">
        <v>34</v>
      </c>
    </row>
    <row r="122" spans="2:17" hidden="1" x14ac:dyDescent="0.25">
      <c r="B122" s="198">
        <v>44599</v>
      </c>
      <c r="I122" s="2">
        <v>35</v>
      </c>
    </row>
    <row r="123" spans="2:17" hidden="1" x14ac:dyDescent="0.25">
      <c r="B123" s="198">
        <v>44600</v>
      </c>
      <c r="I123" s="2">
        <v>36</v>
      </c>
    </row>
    <row r="124" spans="2:17" hidden="1" x14ac:dyDescent="0.25">
      <c r="B124" s="198">
        <v>44601</v>
      </c>
      <c r="I124" s="2">
        <v>37</v>
      </c>
    </row>
    <row r="125" spans="2:17" hidden="1" x14ac:dyDescent="0.25">
      <c r="B125" s="198">
        <v>44602</v>
      </c>
      <c r="I125" s="2">
        <v>38</v>
      </c>
    </row>
    <row r="126" spans="2:17" hidden="1" x14ac:dyDescent="0.25">
      <c r="B126" s="198">
        <v>44603</v>
      </c>
      <c r="I126" s="2">
        <v>39</v>
      </c>
    </row>
    <row r="127" spans="2:17" hidden="1" x14ac:dyDescent="0.25">
      <c r="B127" s="198">
        <v>44604</v>
      </c>
      <c r="C127" s="2" t="s">
        <v>3541</v>
      </c>
      <c r="I127" s="2">
        <v>40</v>
      </c>
      <c r="Q127" s="2" t="s">
        <v>3542</v>
      </c>
    </row>
    <row r="128" spans="2:17" hidden="1" x14ac:dyDescent="0.25">
      <c r="B128" s="198">
        <v>44605</v>
      </c>
      <c r="C128" s="199" t="s">
        <v>3543</v>
      </c>
      <c r="I128" s="2">
        <v>41</v>
      </c>
      <c r="J128" s="2" t="s">
        <v>3544</v>
      </c>
      <c r="P128" s="2">
        <v>1</v>
      </c>
      <c r="Q128" s="2" t="s">
        <v>3545</v>
      </c>
    </row>
    <row r="129" spans="2:17" hidden="1" x14ac:dyDescent="0.25">
      <c r="B129" s="198">
        <v>44606</v>
      </c>
      <c r="C129" s="199" t="s">
        <v>3546</v>
      </c>
      <c r="I129" s="2">
        <v>42</v>
      </c>
      <c r="J129" s="2" t="s">
        <v>3544</v>
      </c>
      <c r="P129" s="2">
        <v>2</v>
      </c>
      <c r="Q129" s="2" t="s">
        <v>3547</v>
      </c>
    </row>
    <row r="130" spans="2:17" hidden="1" x14ac:dyDescent="0.25">
      <c r="B130" s="198">
        <v>44607</v>
      </c>
      <c r="C130" s="199" t="s">
        <v>3548</v>
      </c>
      <c r="I130" s="2">
        <v>43</v>
      </c>
      <c r="J130" s="2" t="s">
        <v>3544</v>
      </c>
      <c r="P130" s="2">
        <v>3</v>
      </c>
      <c r="Q130" s="2" t="s">
        <v>3549</v>
      </c>
    </row>
    <row r="131" spans="2:17" hidden="1" x14ac:dyDescent="0.25">
      <c r="B131" s="198">
        <v>44608</v>
      </c>
      <c r="C131" s="199" t="s">
        <v>3550</v>
      </c>
      <c r="I131" s="2">
        <v>44</v>
      </c>
      <c r="J131" s="2" t="s">
        <v>3551</v>
      </c>
      <c r="P131" s="2">
        <v>4</v>
      </c>
      <c r="Q131" s="2" t="s">
        <v>3552</v>
      </c>
    </row>
    <row r="132" spans="2:17" hidden="1" x14ac:dyDescent="0.25">
      <c r="B132" s="198">
        <v>44609</v>
      </c>
      <c r="C132" s="199" t="s">
        <v>3553</v>
      </c>
      <c r="I132" s="2">
        <v>45</v>
      </c>
      <c r="J132" s="2" t="s">
        <v>3554</v>
      </c>
      <c r="P132" s="2">
        <v>5</v>
      </c>
      <c r="Q132" s="2" t="s">
        <v>3552</v>
      </c>
    </row>
    <row r="133" spans="2:17" hidden="1" x14ac:dyDescent="0.25">
      <c r="B133" s="198">
        <v>44610</v>
      </c>
      <c r="I133" s="2">
        <v>46</v>
      </c>
      <c r="J133" s="2" t="s">
        <v>3555</v>
      </c>
    </row>
    <row r="134" spans="2:17" hidden="1" x14ac:dyDescent="0.25">
      <c r="B134" s="198">
        <v>44611</v>
      </c>
      <c r="I134" s="2">
        <v>47</v>
      </c>
      <c r="J134" s="2" t="s">
        <v>3556</v>
      </c>
    </row>
    <row r="135" spans="2:17" hidden="1" x14ac:dyDescent="0.25">
      <c r="B135" s="198">
        <v>44612</v>
      </c>
      <c r="I135" s="2">
        <v>48</v>
      </c>
      <c r="Q135" s="2" t="s">
        <v>3557</v>
      </c>
    </row>
    <row r="136" spans="2:17" hidden="1" x14ac:dyDescent="0.25">
      <c r="B136" s="198">
        <v>44613</v>
      </c>
      <c r="I136" s="2">
        <v>49</v>
      </c>
      <c r="Q136" s="2" t="s">
        <v>3558</v>
      </c>
    </row>
    <row r="137" spans="2:17" hidden="1" x14ac:dyDescent="0.25">
      <c r="B137" s="198">
        <v>44614</v>
      </c>
      <c r="I137" s="2">
        <v>50</v>
      </c>
      <c r="Q137" s="2" t="s">
        <v>3559</v>
      </c>
    </row>
    <row r="138" spans="2:17" hidden="1" x14ac:dyDescent="0.25">
      <c r="B138" s="198">
        <v>44615</v>
      </c>
      <c r="I138" s="2">
        <v>51</v>
      </c>
      <c r="Q138" s="2" t="s">
        <v>3560</v>
      </c>
    </row>
    <row r="139" spans="2:17" hidden="1" x14ac:dyDescent="0.25">
      <c r="B139" s="198">
        <v>44616</v>
      </c>
      <c r="I139" s="2">
        <v>52</v>
      </c>
      <c r="Q139" s="2" t="s">
        <v>3561</v>
      </c>
    </row>
    <row r="140" spans="2:17" hidden="1" x14ac:dyDescent="0.25">
      <c r="B140" s="198">
        <v>44617</v>
      </c>
      <c r="I140" s="2">
        <v>53</v>
      </c>
    </row>
    <row r="141" spans="2:17" hidden="1" x14ac:dyDescent="0.25">
      <c r="B141" s="198">
        <v>44618</v>
      </c>
      <c r="I141" s="2">
        <v>54</v>
      </c>
    </row>
    <row r="142" spans="2:17" hidden="1" x14ac:dyDescent="0.25">
      <c r="B142" s="198">
        <v>44619</v>
      </c>
      <c r="I142" s="2">
        <v>55</v>
      </c>
    </row>
    <row r="143" spans="2:17" hidden="1" x14ac:dyDescent="0.25">
      <c r="B143" s="198">
        <v>44620</v>
      </c>
      <c r="I143" s="2">
        <v>56</v>
      </c>
    </row>
    <row r="144" spans="2:17" hidden="1" x14ac:dyDescent="0.25">
      <c r="B144" s="198">
        <v>44621</v>
      </c>
      <c r="I144" s="2">
        <v>57</v>
      </c>
    </row>
    <row r="145" spans="2:9" hidden="1" x14ac:dyDescent="0.25">
      <c r="B145" s="198">
        <v>44622</v>
      </c>
      <c r="I145" s="2">
        <v>58</v>
      </c>
    </row>
    <row r="146" spans="2:9" hidden="1" x14ac:dyDescent="0.25">
      <c r="B146" s="198">
        <v>44623</v>
      </c>
      <c r="I146" s="2">
        <v>59</v>
      </c>
    </row>
    <row r="147" spans="2:9" hidden="1" x14ac:dyDescent="0.25">
      <c r="B147" s="198">
        <v>44624</v>
      </c>
      <c r="I147" s="2">
        <v>60</v>
      </c>
    </row>
    <row r="148" spans="2:9" hidden="1" x14ac:dyDescent="0.25">
      <c r="B148" s="198">
        <v>44625</v>
      </c>
      <c r="I148" s="2">
        <v>61</v>
      </c>
    </row>
    <row r="149" spans="2:9" hidden="1" x14ac:dyDescent="0.25">
      <c r="B149" s="198">
        <v>44626</v>
      </c>
      <c r="I149" s="2">
        <v>62</v>
      </c>
    </row>
    <row r="150" spans="2:9" hidden="1" x14ac:dyDescent="0.25">
      <c r="B150" s="198">
        <v>44627</v>
      </c>
      <c r="I150" s="2">
        <v>63</v>
      </c>
    </row>
    <row r="151" spans="2:9" hidden="1" x14ac:dyDescent="0.25">
      <c r="B151" s="198">
        <v>44628</v>
      </c>
      <c r="I151" s="2">
        <v>64</v>
      </c>
    </row>
    <row r="152" spans="2:9" hidden="1" x14ac:dyDescent="0.25">
      <c r="B152" s="198">
        <v>44629</v>
      </c>
      <c r="I152" s="2">
        <v>65</v>
      </c>
    </row>
    <row r="153" spans="2:9" hidden="1" x14ac:dyDescent="0.25">
      <c r="B153" s="198">
        <v>44630</v>
      </c>
      <c r="I153" s="2">
        <v>66</v>
      </c>
    </row>
    <row r="154" spans="2:9" hidden="1" x14ac:dyDescent="0.25">
      <c r="B154" s="198">
        <v>44631</v>
      </c>
      <c r="I154" s="2">
        <v>67</v>
      </c>
    </row>
    <row r="155" spans="2:9" hidden="1" x14ac:dyDescent="0.25">
      <c r="B155" s="198">
        <v>44632</v>
      </c>
      <c r="I155" s="2">
        <v>68</v>
      </c>
    </row>
    <row r="156" spans="2:9" hidden="1" x14ac:dyDescent="0.25">
      <c r="B156" s="198">
        <v>44633</v>
      </c>
      <c r="I156" s="2">
        <v>69</v>
      </c>
    </row>
    <row r="157" spans="2:9" hidden="1" x14ac:dyDescent="0.25">
      <c r="B157" s="198">
        <v>44634</v>
      </c>
      <c r="I157" s="2">
        <v>70</v>
      </c>
    </row>
    <row r="158" spans="2:9" hidden="1" x14ac:dyDescent="0.25">
      <c r="B158" s="198">
        <v>44635</v>
      </c>
      <c r="I158" s="2">
        <v>71</v>
      </c>
    </row>
    <row r="159" spans="2:9" hidden="1" x14ac:dyDescent="0.25">
      <c r="B159" s="198">
        <v>44636</v>
      </c>
      <c r="I159" s="2">
        <v>72</v>
      </c>
    </row>
    <row r="160" spans="2:9" hidden="1" x14ac:dyDescent="0.25">
      <c r="B160" s="198">
        <v>44637</v>
      </c>
      <c r="I160" s="2">
        <v>73</v>
      </c>
    </row>
    <row r="161" spans="2:9" hidden="1" x14ac:dyDescent="0.25">
      <c r="B161" s="198">
        <v>44638</v>
      </c>
      <c r="I161" s="2">
        <v>74</v>
      </c>
    </row>
    <row r="162" spans="2:9" hidden="1" x14ac:dyDescent="0.25">
      <c r="B162" s="198">
        <v>44639</v>
      </c>
      <c r="I162" s="2">
        <v>75</v>
      </c>
    </row>
    <row r="163" spans="2:9" hidden="1" x14ac:dyDescent="0.25">
      <c r="B163" s="198">
        <v>44640</v>
      </c>
      <c r="I163" s="2">
        <v>76</v>
      </c>
    </row>
    <row r="164" spans="2:9" hidden="1" x14ac:dyDescent="0.25">
      <c r="B164" s="198">
        <v>44641</v>
      </c>
      <c r="I164" s="2">
        <v>77</v>
      </c>
    </row>
    <row r="165" spans="2:9" hidden="1" x14ac:dyDescent="0.25">
      <c r="B165" s="198">
        <v>44642</v>
      </c>
      <c r="I165" s="2">
        <v>78</v>
      </c>
    </row>
    <row r="166" spans="2:9" hidden="1" x14ac:dyDescent="0.25">
      <c r="B166" s="198">
        <v>44643</v>
      </c>
      <c r="I166" s="2">
        <v>79</v>
      </c>
    </row>
    <row r="167" spans="2:9" hidden="1" x14ac:dyDescent="0.25">
      <c r="B167" s="198">
        <v>44644</v>
      </c>
      <c r="I167" s="2">
        <v>80</v>
      </c>
    </row>
    <row r="168" spans="2:9" hidden="1" x14ac:dyDescent="0.25">
      <c r="B168" s="198">
        <v>44645</v>
      </c>
      <c r="I168" s="2">
        <v>81</v>
      </c>
    </row>
    <row r="169" spans="2:9" hidden="1" x14ac:dyDescent="0.25">
      <c r="B169" s="198">
        <v>44646</v>
      </c>
      <c r="I169" s="2">
        <v>82</v>
      </c>
    </row>
    <row r="170" spans="2:9" hidden="1" x14ac:dyDescent="0.25">
      <c r="B170" s="198">
        <v>44647</v>
      </c>
      <c r="I170" s="2">
        <v>83</v>
      </c>
    </row>
    <row r="171" spans="2:9" hidden="1" x14ac:dyDescent="0.25">
      <c r="B171" s="198">
        <v>44648</v>
      </c>
      <c r="I171" s="2">
        <v>84</v>
      </c>
    </row>
    <row r="172" spans="2:9" hidden="1" x14ac:dyDescent="0.25">
      <c r="B172" s="198">
        <v>44649</v>
      </c>
      <c r="I172" s="2">
        <v>85</v>
      </c>
    </row>
    <row r="173" spans="2:9" hidden="1" x14ac:dyDescent="0.25">
      <c r="B173" s="198">
        <v>44650</v>
      </c>
      <c r="I173" s="2">
        <v>86</v>
      </c>
    </row>
    <row r="174" spans="2:9" hidden="1" x14ac:dyDescent="0.25">
      <c r="B174" s="198">
        <v>44651</v>
      </c>
      <c r="I174" s="2">
        <v>87</v>
      </c>
    </row>
    <row r="175" spans="2:9" hidden="1" x14ac:dyDescent="0.25">
      <c r="B175" s="198">
        <v>44652</v>
      </c>
      <c r="I175" s="2">
        <v>88</v>
      </c>
    </row>
    <row r="176" spans="2:9" hidden="1" x14ac:dyDescent="0.25">
      <c r="B176" s="198">
        <v>44653</v>
      </c>
      <c r="I176" s="2">
        <v>89</v>
      </c>
    </row>
    <row r="177" spans="2:9" hidden="1" x14ac:dyDescent="0.25">
      <c r="B177" s="198">
        <v>44654</v>
      </c>
      <c r="I177" s="2">
        <v>90</v>
      </c>
    </row>
    <row r="178" spans="2:9" hidden="1" x14ac:dyDescent="0.25">
      <c r="B178" s="198">
        <v>44655</v>
      </c>
      <c r="I178" s="2">
        <v>91</v>
      </c>
    </row>
    <row r="179" spans="2:9" hidden="1" x14ac:dyDescent="0.25">
      <c r="B179" s="198">
        <v>44656</v>
      </c>
      <c r="I179" s="2">
        <v>92</v>
      </c>
    </row>
    <row r="180" spans="2:9" hidden="1" x14ac:dyDescent="0.25">
      <c r="B180" s="198">
        <v>44657</v>
      </c>
      <c r="I180" s="2">
        <v>93</v>
      </c>
    </row>
    <row r="181" spans="2:9" hidden="1" x14ac:dyDescent="0.25">
      <c r="B181" s="198">
        <v>44658</v>
      </c>
      <c r="I181" s="2">
        <v>94</v>
      </c>
    </row>
    <row r="182" spans="2:9" hidden="1" x14ac:dyDescent="0.25">
      <c r="B182" s="198">
        <v>44659</v>
      </c>
      <c r="I182" s="2">
        <v>95</v>
      </c>
    </row>
    <row r="183" spans="2:9" hidden="1" x14ac:dyDescent="0.25">
      <c r="B183" s="198">
        <v>44660</v>
      </c>
      <c r="I183" s="2">
        <v>96</v>
      </c>
    </row>
    <row r="184" spans="2:9" hidden="1" x14ac:dyDescent="0.25">
      <c r="B184" s="198">
        <v>44661</v>
      </c>
      <c r="I184" s="2">
        <v>97</v>
      </c>
    </row>
    <row r="185" spans="2:9" hidden="1" x14ac:dyDescent="0.25">
      <c r="B185" s="198">
        <v>44662</v>
      </c>
      <c r="I185" s="2">
        <v>98</v>
      </c>
    </row>
    <row r="186" spans="2:9" hidden="1" x14ac:dyDescent="0.25">
      <c r="B186" s="198">
        <v>44663</v>
      </c>
      <c r="I186" s="2">
        <v>99</v>
      </c>
    </row>
    <row r="187" spans="2:9" hidden="1" x14ac:dyDescent="0.25">
      <c r="B187" s="198">
        <v>44664</v>
      </c>
      <c r="I187" s="2">
        <v>100</v>
      </c>
    </row>
    <row r="188" spans="2:9" hidden="1" x14ac:dyDescent="0.25">
      <c r="B188" s="198">
        <v>44665</v>
      </c>
    </row>
    <row r="189" spans="2:9" hidden="1" x14ac:dyDescent="0.25">
      <c r="B189" s="198">
        <v>44666</v>
      </c>
    </row>
    <row r="190" spans="2:9" hidden="1" x14ac:dyDescent="0.25">
      <c r="B190" s="198">
        <v>44667</v>
      </c>
    </row>
    <row r="191" spans="2:9" hidden="1" x14ac:dyDescent="0.25">
      <c r="B191" s="198">
        <v>44668</v>
      </c>
    </row>
    <row r="192" spans="2:9" hidden="1" x14ac:dyDescent="0.25">
      <c r="B192" s="198">
        <v>44669</v>
      </c>
    </row>
    <row r="193" spans="2:2" hidden="1" x14ac:dyDescent="0.25">
      <c r="B193" s="198">
        <v>44670</v>
      </c>
    </row>
    <row r="194" spans="2:2" hidden="1" x14ac:dyDescent="0.25">
      <c r="B194" s="198">
        <v>44671</v>
      </c>
    </row>
    <row r="195" spans="2:2" hidden="1" x14ac:dyDescent="0.25">
      <c r="B195" s="198">
        <v>44672</v>
      </c>
    </row>
    <row r="196" spans="2:2" hidden="1" x14ac:dyDescent="0.25">
      <c r="B196" s="198">
        <v>44673</v>
      </c>
    </row>
    <row r="197" spans="2:2" hidden="1" x14ac:dyDescent="0.25">
      <c r="B197" s="198">
        <v>44674</v>
      </c>
    </row>
    <row r="198" spans="2:2" hidden="1" x14ac:dyDescent="0.25">
      <c r="B198" s="198">
        <v>44675</v>
      </c>
    </row>
    <row r="199" spans="2:2" hidden="1" x14ac:dyDescent="0.25">
      <c r="B199" s="198">
        <v>44676</v>
      </c>
    </row>
    <row r="200" spans="2:2" hidden="1" x14ac:dyDescent="0.25">
      <c r="B200" s="198">
        <v>44677</v>
      </c>
    </row>
    <row r="201" spans="2:2" hidden="1" x14ac:dyDescent="0.25">
      <c r="B201" s="198">
        <v>44678</v>
      </c>
    </row>
    <row r="202" spans="2:2" hidden="1" x14ac:dyDescent="0.25">
      <c r="B202" s="198">
        <v>44679</v>
      </c>
    </row>
    <row r="203" spans="2:2" hidden="1" x14ac:dyDescent="0.25">
      <c r="B203" s="198">
        <v>44680</v>
      </c>
    </row>
    <row r="204" spans="2:2" hidden="1" x14ac:dyDescent="0.25">
      <c r="B204" s="198">
        <v>44681</v>
      </c>
    </row>
    <row r="205" spans="2:2" hidden="1" x14ac:dyDescent="0.25">
      <c r="B205" s="198">
        <v>44682</v>
      </c>
    </row>
    <row r="206" spans="2:2" hidden="1" x14ac:dyDescent="0.25">
      <c r="B206" s="198">
        <v>44683</v>
      </c>
    </row>
    <row r="207" spans="2:2" hidden="1" x14ac:dyDescent="0.25">
      <c r="B207" s="198">
        <v>44684</v>
      </c>
    </row>
    <row r="208" spans="2:2" hidden="1" x14ac:dyDescent="0.25">
      <c r="B208" s="198">
        <v>44685</v>
      </c>
    </row>
    <row r="209" spans="2:2" hidden="1" x14ac:dyDescent="0.25">
      <c r="B209" s="198">
        <v>44686</v>
      </c>
    </row>
    <row r="210" spans="2:2" hidden="1" x14ac:dyDescent="0.25">
      <c r="B210" s="198">
        <v>44687</v>
      </c>
    </row>
    <row r="211" spans="2:2" hidden="1" x14ac:dyDescent="0.25">
      <c r="B211" s="198">
        <v>44688</v>
      </c>
    </row>
    <row r="212" spans="2:2" hidden="1" x14ac:dyDescent="0.25">
      <c r="B212" s="198">
        <v>44689</v>
      </c>
    </row>
    <row r="213" spans="2:2" hidden="1" x14ac:dyDescent="0.25">
      <c r="B213" s="198">
        <v>44690</v>
      </c>
    </row>
    <row r="214" spans="2:2" hidden="1" x14ac:dyDescent="0.25">
      <c r="B214" s="198">
        <v>44691</v>
      </c>
    </row>
    <row r="215" spans="2:2" hidden="1" x14ac:dyDescent="0.25">
      <c r="B215" s="198">
        <v>44692</v>
      </c>
    </row>
    <row r="216" spans="2:2" hidden="1" x14ac:dyDescent="0.25">
      <c r="B216" s="198">
        <v>44693</v>
      </c>
    </row>
    <row r="217" spans="2:2" hidden="1" x14ac:dyDescent="0.25">
      <c r="B217" s="198">
        <v>44694</v>
      </c>
    </row>
    <row r="218" spans="2:2" hidden="1" x14ac:dyDescent="0.25">
      <c r="B218" s="198">
        <v>44695</v>
      </c>
    </row>
    <row r="219" spans="2:2" hidden="1" x14ac:dyDescent="0.25">
      <c r="B219" s="198">
        <v>44696</v>
      </c>
    </row>
    <row r="220" spans="2:2" hidden="1" x14ac:dyDescent="0.25">
      <c r="B220" s="198">
        <v>44697</v>
      </c>
    </row>
    <row r="221" spans="2:2" hidden="1" x14ac:dyDescent="0.25">
      <c r="B221" s="198">
        <v>44698</v>
      </c>
    </row>
    <row r="222" spans="2:2" hidden="1" x14ac:dyDescent="0.25">
      <c r="B222" s="198">
        <v>44699</v>
      </c>
    </row>
    <row r="223" spans="2:2" hidden="1" x14ac:dyDescent="0.25">
      <c r="B223" s="198">
        <v>44700</v>
      </c>
    </row>
    <row r="224" spans="2:2" hidden="1" x14ac:dyDescent="0.25">
      <c r="B224" s="198">
        <v>44701</v>
      </c>
    </row>
    <row r="225" spans="2:2" hidden="1" x14ac:dyDescent="0.25">
      <c r="B225" s="198">
        <v>44702</v>
      </c>
    </row>
    <row r="226" spans="2:2" hidden="1" x14ac:dyDescent="0.25">
      <c r="B226" s="198">
        <v>44703</v>
      </c>
    </row>
    <row r="227" spans="2:2" hidden="1" x14ac:dyDescent="0.25">
      <c r="B227" s="198">
        <v>44704</v>
      </c>
    </row>
    <row r="228" spans="2:2" hidden="1" x14ac:dyDescent="0.25">
      <c r="B228" s="198">
        <v>44705</v>
      </c>
    </row>
    <row r="229" spans="2:2" hidden="1" x14ac:dyDescent="0.25">
      <c r="B229" s="198">
        <v>44706</v>
      </c>
    </row>
    <row r="230" spans="2:2" hidden="1" x14ac:dyDescent="0.25">
      <c r="B230" s="198">
        <v>44707</v>
      </c>
    </row>
    <row r="231" spans="2:2" hidden="1" x14ac:dyDescent="0.25">
      <c r="B231" s="198">
        <v>44708</v>
      </c>
    </row>
    <row r="232" spans="2:2" hidden="1" x14ac:dyDescent="0.25">
      <c r="B232" s="198">
        <v>44709</v>
      </c>
    </row>
    <row r="233" spans="2:2" hidden="1" x14ac:dyDescent="0.25">
      <c r="B233" s="198">
        <v>44710</v>
      </c>
    </row>
    <row r="234" spans="2:2" hidden="1" x14ac:dyDescent="0.25">
      <c r="B234" s="198">
        <v>44711</v>
      </c>
    </row>
    <row r="235" spans="2:2" hidden="1" x14ac:dyDescent="0.25">
      <c r="B235" s="198">
        <v>44712</v>
      </c>
    </row>
    <row r="236" spans="2:2" hidden="1" x14ac:dyDescent="0.25">
      <c r="B236" s="198">
        <v>44713</v>
      </c>
    </row>
    <row r="237" spans="2:2" hidden="1" x14ac:dyDescent="0.25">
      <c r="B237" s="198">
        <v>44714</v>
      </c>
    </row>
    <row r="238" spans="2:2" hidden="1" x14ac:dyDescent="0.25">
      <c r="B238" s="198">
        <v>44715</v>
      </c>
    </row>
    <row r="239" spans="2:2" hidden="1" x14ac:dyDescent="0.25">
      <c r="B239" s="198">
        <v>44716</v>
      </c>
    </row>
    <row r="240" spans="2:2" hidden="1" x14ac:dyDescent="0.25">
      <c r="B240" s="198">
        <v>44717</v>
      </c>
    </row>
    <row r="241" spans="2:2" hidden="1" x14ac:dyDescent="0.25">
      <c r="B241" s="198">
        <v>44718</v>
      </c>
    </row>
    <row r="242" spans="2:2" hidden="1" x14ac:dyDescent="0.25">
      <c r="B242" s="198">
        <v>44719</v>
      </c>
    </row>
    <row r="243" spans="2:2" hidden="1" x14ac:dyDescent="0.25">
      <c r="B243" s="198">
        <v>44720</v>
      </c>
    </row>
    <row r="244" spans="2:2" hidden="1" x14ac:dyDescent="0.25">
      <c r="B244" s="198">
        <v>44721</v>
      </c>
    </row>
    <row r="245" spans="2:2" hidden="1" x14ac:dyDescent="0.25">
      <c r="B245" s="198">
        <v>44722</v>
      </c>
    </row>
    <row r="246" spans="2:2" hidden="1" x14ac:dyDescent="0.25">
      <c r="B246" s="198">
        <v>44723</v>
      </c>
    </row>
    <row r="247" spans="2:2" hidden="1" x14ac:dyDescent="0.25">
      <c r="B247" s="198">
        <v>44724</v>
      </c>
    </row>
    <row r="248" spans="2:2" hidden="1" x14ac:dyDescent="0.25">
      <c r="B248" s="198">
        <v>44725</v>
      </c>
    </row>
    <row r="249" spans="2:2" hidden="1" x14ac:dyDescent="0.25">
      <c r="B249" s="198">
        <v>44726</v>
      </c>
    </row>
    <row r="250" spans="2:2" hidden="1" x14ac:dyDescent="0.25">
      <c r="B250" s="198">
        <v>44727</v>
      </c>
    </row>
    <row r="251" spans="2:2" hidden="1" x14ac:dyDescent="0.25">
      <c r="B251" s="198">
        <v>44728</v>
      </c>
    </row>
    <row r="252" spans="2:2" hidden="1" x14ac:dyDescent="0.25">
      <c r="B252" s="198">
        <v>44729</v>
      </c>
    </row>
    <row r="253" spans="2:2" hidden="1" x14ac:dyDescent="0.25">
      <c r="B253" s="198">
        <v>44730</v>
      </c>
    </row>
    <row r="254" spans="2:2" hidden="1" x14ac:dyDescent="0.25">
      <c r="B254" s="198">
        <v>44731</v>
      </c>
    </row>
    <row r="255" spans="2:2" hidden="1" x14ac:dyDescent="0.25">
      <c r="B255" s="198">
        <v>44732</v>
      </c>
    </row>
    <row r="256" spans="2:2" hidden="1" x14ac:dyDescent="0.25">
      <c r="B256" s="198">
        <v>44733</v>
      </c>
    </row>
    <row r="257" spans="2:2" hidden="1" x14ac:dyDescent="0.25">
      <c r="B257" s="198">
        <v>44734</v>
      </c>
    </row>
    <row r="258" spans="2:2" hidden="1" x14ac:dyDescent="0.25">
      <c r="B258" s="198">
        <v>44735</v>
      </c>
    </row>
    <row r="259" spans="2:2" hidden="1" x14ac:dyDescent="0.25">
      <c r="B259" s="198">
        <v>44736</v>
      </c>
    </row>
    <row r="260" spans="2:2" hidden="1" x14ac:dyDescent="0.25">
      <c r="B260" s="198">
        <v>44737</v>
      </c>
    </row>
    <row r="261" spans="2:2" hidden="1" x14ac:dyDescent="0.25">
      <c r="B261" s="198">
        <v>44738</v>
      </c>
    </row>
    <row r="262" spans="2:2" hidden="1" x14ac:dyDescent="0.25">
      <c r="B262" s="198">
        <v>44739</v>
      </c>
    </row>
    <row r="263" spans="2:2" hidden="1" x14ac:dyDescent="0.25">
      <c r="B263" s="198">
        <v>44740</v>
      </c>
    </row>
    <row r="264" spans="2:2" hidden="1" x14ac:dyDescent="0.25">
      <c r="B264" s="198">
        <v>44741</v>
      </c>
    </row>
    <row r="265" spans="2:2" hidden="1" x14ac:dyDescent="0.25">
      <c r="B265" s="198">
        <v>44742</v>
      </c>
    </row>
    <row r="266" spans="2:2" hidden="1" x14ac:dyDescent="0.25">
      <c r="B266" s="198">
        <v>44743</v>
      </c>
    </row>
    <row r="267" spans="2:2" hidden="1" x14ac:dyDescent="0.25">
      <c r="B267" s="198">
        <v>44744</v>
      </c>
    </row>
    <row r="268" spans="2:2" hidden="1" x14ac:dyDescent="0.25">
      <c r="B268" s="198">
        <v>44745</v>
      </c>
    </row>
    <row r="269" spans="2:2" hidden="1" x14ac:dyDescent="0.25">
      <c r="B269" s="198">
        <v>44746</v>
      </c>
    </row>
    <row r="270" spans="2:2" hidden="1" x14ac:dyDescent="0.25">
      <c r="B270" s="198">
        <v>44747</v>
      </c>
    </row>
    <row r="271" spans="2:2" hidden="1" x14ac:dyDescent="0.25">
      <c r="B271" s="198">
        <v>44748</v>
      </c>
    </row>
    <row r="272" spans="2:2" hidden="1" x14ac:dyDescent="0.25">
      <c r="B272" s="198">
        <v>44749</v>
      </c>
    </row>
    <row r="273" spans="2:2" hidden="1" x14ac:dyDescent="0.25">
      <c r="B273" s="198">
        <v>44750</v>
      </c>
    </row>
    <row r="274" spans="2:2" hidden="1" x14ac:dyDescent="0.25">
      <c r="B274" s="198">
        <v>44751</v>
      </c>
    </row>
    <row r="275" spans="2:2" hidden="1" x14ac:dyDescent="0.25">
      <c r="B275" s="198">
        <v>44752</v>
      </c>
    </row>
    <row r="276" spans="2:2" hidden="1" x14ac:dyDescent="0.25">
      <c r="B276" s="198">
        <v>44753</v>
      </c>
    </row>
    <row r="277" spans="2:2" hidden="1" x14ac:dyDescent="0.25">
      <c r="B277" s="198">
        <v>44754</v>
      </c>
    </row>
    <row r="278" spans="2:2" hidden="1" x14ac:dyDescent="0.25">
      <c r="B278" s="198">
        <v>44755</v>
      </c>
    </row>
    <row r="279" spans="2:2" hidden="1" x14ac:dyDescent="0.25">
      <c r="B279" s="198">
        <v>44756</v>
      </c>
    </row>
    <row r="280" spans="2:2" hidden="1" x14ac:dyDescent="0.25">
      <c r="B280" s="198">
        <v>44757</v>
      </c>
    </row>
    <row r="281" spans="2:2" hidden="1" x14ac:dyDescent="0.25">
      <c r="B281" s="198">
        <v>44758</v>
      </c>
    </row>
    <row r="282" spans="2:2" hidden="1" x14ac:dyDescent="0.25">
      <c r="B282" s="198">
        <v>44759</v>
      </c>
    </row>
    <row r="283" spans="2:2" hidden="1" x14ac:dyDescent="0.25">
      <c r="B283" s="198">
        <v>44760</v>
      </c>
    </row>
    <row r="284" spans="2:2" hidden="1" x14ac:dyDescent="0.25">
      <c r="B284" s="198">
        <v>44761</v>
      </c>
    </row>
    <row r="285" spans="2:2" hidden="1" x14ac:dyDescent="0.25">
      <c r="B285" s="198">
        <v>44762</v>
      </c>
    </row>
    <row r="286" spans="2:2" hidden="1" x14ac:dyDescent="0.25">
      <c r="B286" s="198">
        <v>44763</v>
      </c>
    </row>
    <row r="287" spans="2:2" hidden="1" x14ac:dyDescent="0.25">
      <c r="B287" s="198">
        <v>44764</v>
      </c>
    </row>
    <row r="288" spans="2:2" hidden="1" x14ac:dyDescent="0.25">
      <c r="B288" s="198">
        <v>44765</v>
      </c>
    </row>
    <row r="289" spans="2:2" hidden="1" x14ac:dyDescent="0.25">
      <c r="B289" s="198">
        <v>44766</v>
      </c>
    </row>
    <row r="290" spans="2:2" hidden="1" x14ac:dyDescent="0.25">
      <c r="B290" s="198">
        <v>44767</v>
      </c>
    </row>
    <row r="291" spans="2:2" hidden="1" x14ac:dyDescent="0.25">
      <c r="B291" s="198">
        <v>44768</v>
      </c>
    </row>
    <row r="292" spans="2:2" hidden="1" x14ac:dyDescent="0.25">
      <c r="B292" s="198">
        <v>44769</v>
      </c>
    </row>
    <row r="293" spans="2:2" hidden="1" x14ac:dyDescent="0.25">
      <c r="B293" s="198">
        <v>44770</v>
      </c>
    </row>
    <row r="294" spans="2:2" hidden="1" x14ac:dyDescent="0.25">
      <c r="B294" s="198">
        <v>44771</v>
      </c>
    </row>
    <row r="295" spans="2:2" hidden="1" x14ac:dyDescent="0.25">
      <c r="B295" s="198">
        <v>44772</v>
      </c>
    </row>
    <row r="296" spans="2:2" hidden="1" x14ac:dyDescent="0.25">
      <c r="B296" s="198">
        <v>44773</v>
      </c>
    </row>
    <row r="297" spans="2:2" hidden="1" x14ac:dyDescent="0.25">
      <c r="B297" s="198">
        <v>44774</v>
      </c>
    </row>
    <row r="298" spans="2:2" hidden="1" x14ac:dyDescent="0.25">
      <c r="B298" s="198">
        <v>44775</v>
      </c>
    </row>
    <row r="299" spans="2:2" hidden="1" x14ac:dyDescent="0.25">
      <c r="B299" s="198">
        <v>44776</v>
      </c>
    </row>
    <row r="300" spans="2:2" hidden="1" x14ac:dyDescent="0.25">
      <c r="B300" s="198">
        <v>44777</v>
      </c>
    </row>
    <row r="301" spans="2:2" hidden="1" x14ac:dyDescent="0.25">
      <c r="B301" s="198">
        <v>44778</v>
      </c>
    </row>
    <row r="302" spans="2:2" hidden="1" x14ac:dyDescent="0.25">
      <c r="B302" s="198">
        <v>44779</v>
      </c>
    </row>
    <row r="303" spans="2:2" hidden="1" x14ac:dyDescent="0.25">
      <c r="B303" s="198">
        <v>44780</v>
      </c>
    </row>
    <row r="304" spans="2:2" hidden="1" x14ac:dyDescent="0.25">
      <c r="B304" s="198">
        <v>44781</v>
      </c>
    </row>
    <row r="305" spans="2:2" hidden="1" x14ac:dyDescent="0.25">
      <c r="B305" s="198">
        <v>44782</v>
      </c>
    </row>
    <row r="306" spans="2:2" hidden="1" x14ac:dyDescent="0.25">
      <c r="B306" s="198">
        <v>44783</v>
      </c>
    </row>
    <row r="307" spans="2:2" hidden="1" x14ac:dyDescent="0.25">
      <c r="B307" s="198">
        <v>44784</v>
      </c>
    </row>
    <row r="308" spans="2:2" hidden="1" x14ac:dyDescent="0.25">
      <c r="B308" s="198">
        <v>44785</v>
      </c>
    </row>
    <row r="309" spans="2:2" hidden="1" x14ac:dyDescent="0.25">
      <c r="B309" s="198">
        <v>44786</v>
      </c>
    </row>
    <row r="310" spans="2:2" hidden="1" x14ac:dyDescent="0.25">
      <c r="B310" s="198">
        <v>44787</v>
      </c>
    </row>
    <row r="311" spans="2:2" hidden="1" x14ac:dyDescent="0.25">
      <c r="B311" s="198">
        <v>44788</v>
      </c>
    </row>
    <row r="312" spans="2:2" hidden="1" x14ac:dyDescent="0.25">
      <c r="B312" s="198">
        <v>44789</v>
      </c>
    </row>
    <row r="313" spans="2:2" hidden="1" x14ac:dyDescent="0.25">
      <c r="B313" s="198">
        <v>44790</v>
      </c>
    </row>
    <row r="314" spans="2:2" hidden="1" x14ac:dyDescent="0.25">
      <c r="B314" s="198">
        <v>44791</v>
      </c>
    </row>
    <row r="315" spans="2:2" hidden="1" x14ac:dyDescent="0.25">
      <c r="B315" s="198">
        <v>44792</v>
      </c>
    </row>
    <row r="316" spans="2:2" hidden="1" x14ac:dyDescent="0.25">
      <c r="B316" s="198">
        <v>44793</v>
      </c>
    </row>
    <row r="317" spans="2:2" hidden="1" x14ac:dyDescent="0.25">
      <c r="B317" s="198">
        <v>44794</v>
      </c>
    </row>
    <row r="318" spans="2:2" hidden="1" x14ac:dyDescent="0.25">
      <c r="B318" s="198">
        <v>44795</v>
      </c>
    </row>
    <row r="319" spans="2:2" hidden="1" x14ac:dyDescent="0.25">
      <c r="B319" s="198">
        <v>44796</v>
      </c>
    </row>
    <row r="320" spans="2:2" hidden="1" x14ac:dyDescent="0.25">
      <c r="B320" s="198">
        <v>44797</v>
      </c>
    </row>
    <row r="321" spans="2:2" hidden="1" x14ac:dyDescent="0.25">
      <c r="B321" s="198">
        <v>44798</v>
      </c>
    </row>
    <row r="322" spans="2:2" hidden="1" x14ac:dyDescent="0.25">
      <c r="B322" s="198">
        <v>44799</v>
      </c>
    </row>
    <row r="323" spans="2:2" hidden="1" x14ac:dyDescent="0.25">
      <c r="B323" s="198">
        <v>44800</v>
      </c>
    </row>
    <row r="324" spans="2:2" hidden="1" x14ac:dyDescent="0.25">
      <c r="B324" s="198">
        <v>44801</v>
      </c>
    </row>
    <row r="325" spans="2:2" hidden="1" x14ac:dyDescent="0.25">
      <c r="B325" s="198">
        <v>44802</v>
      </c>
    </row>
    <row r="326" spans="2:2" hidden="1" x14ac:dyDescent="0.25">
      <c r="B326" s="198">
        <v>44803</v>
      </c>
    </row>
    <row r="327" spans="2:2" hidden="1" x14ac:dyDescent="0.25">
      <c r="B327" s="198">
        <v>44804</v>
      </c>
    </row>
    <row r="328" spans="2:2" hidden="1" x14ac:dyDescent="0.25">
      <c r="B328" s="198">
        <v>44805</v>
      </c>
    </row>
    <row r="329" spans="2:2" hidden="1" x14ac:dyDescent="0.25">
      <c r="B329" s="198">
        <v>44806</v>
      </c>
    </row>
    <row r="330" spans="2:2" hidden="1" x14ac:dyDescent="0.25">
      <c r="B330" s="198">
        <v>44807</v>
      </c>
    </row>
    <row r="331" spans="2:2" hidden="1" x14ac:dyDescent="0.25">
      <c r="B331" s="198">
        <v>44808</v>
      </c>
    </row>
    <row r="332" spans="2:2" hidden="1" x14ac:dyDescent="0.25">
      <c r="B332" s="198">
        <v>44809</v>
      </c>
    </row>
    <row r="333" spans="2:2" hidden="1" x14ac:dyDescent="0.25">
      <c r="B333" s="198">
        <v>44810</v>
      </c>
    </row>
    <row r="334" spans="2:2" hidden="1" x14ac:dyDescent="0.25">
      <c r="B334" s="198">
        <v>44811</v>
      </c>
    </row>
    <row r="335" spans="2:2" hidden="1" x14ac:dyDescent="0.25">
      <c r="B335" s="198">
        <v>44812</v>
      </c>
    </row>
    <row r="336" spans="2:2" hidden="1" x14ac:dyDescent="0.25">
      <c r="B336" s="198">
        <v>44813</v>
      </c>
    </row>
    <row r="337" spans="2:2" hidden="1" x14ac:dyDescent="0.25">
      <c r="B337" s="198">
        <v>44814</v>
      </c>
    </row>
    <row r="338" spans="2:2" hidden="1" x14ac:dyDescent="0.25">
      <c r="B338" s="198">
        <v>44815</v>
      </c>
    </row>
    <row r="339" spans="2:2" hidden="1" x14ac:dyDescent="0.25">
      <c r="B339" s="198">
        <v>44816</v>
      </c>
    </row>
    <row r="340" spans="2:2" hidden="1" x14ac:dyDescent="0.25">
      <c r="B340" s="198">
        <v>44817</v>
      </c>
    </row>
    <row r="341" spans="2:2" hidden="1" x14ac:dyDescent="0.25">
      <c r="B341" s="198">
        <v>44818</v>
      </c>
    </row>
    <row r="342" spans="2:2" hidden="1" x14ac:dyDescent="0.25">
      <c r="B342" s="198">
        <v>44819</v>
      </c>
    </row>
    <row r="343" spans="2:2" hidden="1" x14ac:dyDescent="0.25">
      <c r="B343" s="198">
        <v>44820</v>
      </c>
    </row>
    <row r="344" spans="2:2" hidden="1" x14ac:dyDescent="0.25">
      <c r="B344" s="198">
        <v>44821</v>
      </c>
    </row>
    <row r="345" spans="2:2" hidden="1" x14ac:dyDescent="0.25">
      <c r="B345" s="198">
        <v>44822</v>
      </c>
    </row>
    <row r="346" spans="2:2" hidden="1" x14ac:dyDescent="0.25">
      <c r="B346" s="198">
        <v>44823</v>
      </c>
    </row>
    <row r="347" spans="2:2" hidden="1" x14ac:dyDescent="0.25">
      <c r="B347" s="198">
        <v>44824</v>
      </c>
    </row>
    <row r="348" spans="2:2" hidden="1" x14ac:dyDescent="0.25">
      <c r="B348" s="198">
        <v>44825</v>
      </c>
    </row>
    <row r="349" spans="2:2" hidden="1" x14ac:dyDescent="0.25">
      <c r="B349" s="198">
        <v>44826</v>
      </c>
    </row>
    <row r="350" spans="2:2" hidden="1" x14ac:dyDescent="0.25">
      <c r="B350" s="198">
        <v>44827</v>
      </c>
    </row>
    <row r="351" spans="2:2" hidden="1" x14ac:dyDescent="0.25">
      <c r="B351" s="198">
        <v>44828</v>
      </c>
    </row>
    <row r="352" spans="2:2" hidden="1" x14ac:dyDescent="0.25">
      <c r="B352" s="198">
        <v>44829</v>
      </c>
    </row>
    <row r="353" spans="2:2" hidden="1" x14ac:dyDescent="0.25">
      <c r="B353" s="198">
        <v>44830</v>
      </c>
    </row>
    <row r="354" spans="2:2" hidden="1" x14ac:dyDescent="0.25">
      <c r="B354" s="198">
        <v>44831</v>
      </c>
    </row>
    <row r="355" spans="2:2" hidden="1" x14ac:dyDescent="0.25">
      <c r="B355" s="198">
        <v>44832</v>
      </c>
    </row>
    <row r="356" spans="2:2" hidden="1" x14ac:dyDescent="0.25">
      <c r="B356" s="198">
        <v>44833</v>
      </c>
    </row>
    <row r="357" spans="2:2" hidden="1" x14ac:dyDescent="0.25">
      <c r="B357" s="198">
        <v>44834</v>
      </c>
    </row>
    <row r="358" spans="2:2" hidden="1" x14ac:dyDescent="0.25">
      <c r="B358" s="198">
        <v>44835</v>
      </c>
    </row>
    <row r="359" spans="2:2" hidden="1" x14ac:dyDescent="0.25">
      <c r="B359" s="198">
        <v>44836</v>
      </c>
    </row>
    <row r="360" spans="2:2" hidden="1" x14ac:dyDescent="0.25">
      <c r="B360" s="198">
        <v>44837</v>
      </c>
    </row>
    <row r="361" spans="2:2" hidden="1" x14ac:dyDescent="0.25">
      <c r="B361" s="198">
        <v>44838</v>
      </c>
    </row>
    <row r="362" spans="2:2" hidden="1" x14ac:dyDescent="0.25">
      <c r="B362" s="198">
        <v>44839</v>
      </c>
    </row>
    <row r="363" spans="2:2" hidden="1" x14ac:dyDescent="0.25">
      <c r="B363" s="198">
        <v>44840</v>
      </c>
    </row>
    <row r="364" spans="2:2" hidden="1" x14ac:dyDescent="0.25">
      <c r="B364" s="198">
        <v>44841</v>
      </c>
    </row>
    <row r="365" spans="2:2" hidden="1" x14ac:dyDescent="0.25">
      <c r="B365" s="198">
        <v>44842</v>
      </c>
    </row>
    <row r="366" spans="2:2" hidden="1" x14ac:dyDescent="0.25">
      <c r="B366" s="198">
        <v>44843</v>
      </c>
    </row>
    <row r="367" spans="2:2" hidden="1" x14ac:dyDescent="0.25">
      <c r="B367" s="198">
        <v>44844</v>
      </c>
    </row>
    <row r="368" spans="2:2" hidden="1" x14ac:dyDescent="0.25">
      <c r="B368" s="198">
        <v>44845</v>
      </c>
    </row>
    <row r="369" spans="2:2" hidden="1" x14ac:dyDescent="0.25">
      <c r="B369" s="198">
        <v>44846</v>
      </c>
    </row>
    <row r="370" spans="2:2" hidden="1" x14ac:dyDescent="0.25">
      <c r="B370" s="198">
        <v>44847</v>
      </c>
    </row>
    <row r="371" spans="2:2" hidden="1" x14ac:dyDescent="0.25">
      <c r="B371" s="198">
        <v>44848</v>
      </c>
    </row>
    <row r="372" spans="2:2" hidden="1" x14ac:dyDescent="0.25">
      <c r="B372" s="198">
        <v>44849</v>
      </c>
    </row>
    <row r="373" spans="2:2" hidden="1" x14ac:dyDescent="0.25">
      <c r="B373" s="198">
        <v>44850</v>
      </c>
    </row>
    <row r="374" spans="2:2" hidden="1" x14ac:dyDescent="0.25">
      <c r="B374" s="198">
        <v>44851</v>
      </c>
    </row>
    <row r="375" spans="2:2" hidden="1" x14ac:dyDescent="0.25">
      <c r="B375" s="198">
        <v>44852</v>
      </c>
    </row>
    <row r="376" spans="2:2" hidden="1" x14ac:dyDescent="0.25">
      <c r="B376" s="198">
        <v>44853</v>
      </c>
    </row>
    <row r="377" spans="2:2" hidden="1" x14ac:dyDescent="0.25">
      <c r="B377" s="198">
        <v>44854</v>
      </c>
    </row>
    <row r="378" spans="2:2" hidden="1" x14ac:dyDescent="0.25">
      <c r="B378" s="198">
        <v>44855</v>
      </c>
    </row>
    <row r="379" spans="2:2" hidden="1" x14ac:dyDescent="0.25">
      <c r="B379" s="198">
        <v>44856</v>
      </c>
    </row>
    <row r="380" spans="2:2" hidden="1" x14ac:dyDescent="0.25">
      <c r="B380" s="198">
        <v>44857</v>
      </c>
    </row>
    <row r="381" spans="2:2" hidden="1" x14ac:dyDescent="0.25">
      <c r="B381" s="198">
        <v>44858</v>
      </c>
    </row>
    <row r="382" spans="2:2" hidden="1" x14ac:dyDescent="0.25">
      <c r="B382" s="198">
        <v>44859</v>
      </c>
    </row>
    <row r="383" spans="2:2" hidden="1" x14ac:dyDescent="0.25">
      <c r="B383" s="198">
        <v>44860</v>
      </c>
    </row>
    <row r="384" spans="2:2" hidden="1" x14ac:dyDescent="0.25">
      <c r="B384" s="198">
        <v>44861</v>
      </c>
    </row>
    <row r="385" spans="2:2" hidden="1" x14ac:dyDescent="0.25">
      <c r="B385" s="198">
        <v>44862</v>
      </c>
    </row>
    <row r="386" spans="2:2" hidden="1" x14ac:dyDescent="0.25">
      <c r="B386" s="198">
        <v>44863</v>
      </c>
    </row>
    <row r="387" spans="2:2" hidden="1" x14ac:dyDescent="0.25">
      <c r="B387" s="198">
        <v>44864</v>
      </c>
    </row>
    <row r="388" spans="2:2" hidden="1" x14ac:dyDescent="0.25">
      <c r="B388" s="198">
        <v>44865</v>
      </c>
    </row>
    <row r="389" spans="2:2" hidden="1" x14ac:dyDescent="0.25">
      <c r="B389" s="198">
        <v>44866</v>
      </c>
    </row>
    <row r="390" spans="2:2" hidden="1" x14ac:dyDescent="0.25">
      <c r="B390" s="198">
        <v>44867</v>
      </c>
    </row>
    <row r="391" spans="2:2" hidden="1" x14ac:dyDescent="0.25">
      <c r="B391" s="198">
        <v>44868</v>
      </c>
    </row>
    <row r="392" spans="2:2" hidden="1" x14ac:dyDescent="0.25">
      <c r="B392" s="198">
        <v>44869</v>
      </c>
    </row>
    <row r="393" spans="2:2" hidden="1" x14ac:dyDescent="0.25">
      <c r="B393" s="198">
        <v>44870</v>
      </c>
    </row>
    <row r="394" spans="2:2" hidden="1" x14ac:dyDescent="0.25">
      <c r="B394" s="198">
        <v>44871</v>
      </c>
    </row>
    <row r="395" spans="2:2" hidden="1" x14ac:dyDescent="0.25">
      <c r="B395" s="198">
        <v>44872</v>
      </c>
    </row>
    <row r="396" spans="2:2" hidden="1" x14ac:dyDescent="0.25">
      <c r="B396" s="198">
        <v>44873</v>
      </c>
    </row>
    <row r="397" spans="2:2" hidden="1" x14ac:dyDescent="0.25">
      <c r="B397" s="198">
        <v>44874</v>
      </c>
    </row>
    <row r="398" spans="2:2" hidden="1" x14ac:dyDescent="0.25">
      <c r="B398" s="198">
        <v>44875</v>
      </c>
    </row>
    <row r="399" spans="2:2" hidden="1" x14ac:dyDescent="0.25">
      <c r="B399" s="198">
        <v>44876</v>
      </c>
    </row>
    <row r="400" spans="2:2" hidden="1" x14ac:dyDescent="0.25">
      <c r="B400" s="198">
        <v>44877</v>
      </c>
    </row>
    <row r="401" spans="2:2" hidden="1" x14ac:dyDescent="0.25">
      <c r="B401" s="198">
        <v>44878</v>
      </c>
    </row>
    <row r="402" spans="2:2" hidden="1" x14ac:dyDescent="0.25">
      <c r="B402" s="198">
        <v>44879</v>
      </c>
    </row>
    <row r="403" spans="2:2" hidden="1" x14ac:dyDescent="0.25">
      <c r="B403" s="198">
        <v>44880</v>
      </c>
    </row>
    <row r="404" spans="2:2" hidden="1" x14ac:dyDescent="0.25">
      <c r="B404" s="198">
        <v>44881</v>
      </c>
    </row>
    <row r="405" spans="2:2" hidden="1" x14ac:dyDescent="0.25">
      <c r="B405" s="198">
        <v>44882</v>
      </c>
    </row>
    <row r="406" spans="2:2" hidden="1" x14ac:dyDescent="0.25">
      <c r="B406" s="198">
        <v>44883</v>
      </c>
    </row>
    <row r="407" spans="2:2" hidden="1" x14ac:dyDescent="0.25">
      <c r="B407" s="198">
        <v>44884</v>
      </c>
    </row>
    <row r="408" spans="2:2" hidden="1" x14ac:dyDescent="0.25">
      <c r="B408" s="198">
        <v>44885</v>
      </c>
    </row>
    <row r="409" spans="2:2" hidden="1" x14ac:dyDescent="0.25">
      <c r="B409" s="198">
        <v>44886</v>
      </c>
    </row>
    <row r="410" spans="2:2" hidden="1" x14ac:dyDescent="0.25">
      <c r="B410" s="198">
        <v>44887</v>
      </c>
    </row>
    <row r="411" spans="2:2" hidden="1" x14ac:dyDescent="0.25">
      <c r="B411" s="198">
        <v>44888</v>
      </c>
    </row>
    <row r="412" spans="2:2" hidden="1" x14ac:dyDescent="0.25">
      <c r="B412" s="198">
        <v>44889</v>
      </c>
    </row>
    <row r="413" spans="2:2" hidden="1" x14ac:dyDescent="0.25">
      <c r="B413" s="198">
        <v>44890</v>
      </c>
    </row>
    <row r="414" spans="2:2" hidden="1" x14ac:dyDescent="0.25">
      <c r="B414" s="198">
        <v>44891</v>
      </c>
    </row>
    <row r="415" spans="2:2" hidden="1" x14ac:dyDescent="0.25">
      <c r="B415" s="198">
        <v>44892</v>
      </c>
    </row>
    <row r="416" spans="2:2" hidden="1" x14ac:dyDescent="0.25">
      <c r="B416" s="198">
        <v>44893</v>
      </c>
    </row>
    <row r="417" spans="2:2" hidden="1" x14ac:dyDescent="0.25">
      <c r="B417" s="198">
        <v>44894</v>
      </c>
    </row>
    <row r="418" spans="2:2" hidden="1" x14ac:dyDescent="0.25">
      <c r="B418" s="198">
        <v>44895</v>
      </c>
    </row>
    <row r="419" spans="2:2" hidden="1" x14ac:dyDescent="0.25">
      <c r="B419" s="198">
        <v>44896</v>
      </c>
    </row>
    <row r="420" spans="2:2" hidden="1" x14ac:dyDescent="0.25">
      <c r="B420" s="198">
        <v>44897</v>
      </c>
    </row>
    <row r="421" spans="2:2" hidden="1" x14ac:dyDescent="0.25">
      <c r="B421" s="198">
        <v>44898</v>
      </c>
    </row>
    <row r="422" spans="2:2" hidden="1" x14ac:dyDescent="0.25">
      <c r="B422" s="198">
        <v>44899</v>
      </c>
    </row>
    <row r="423" spans="2:2" hidden="1" x14ac:dyDescent="0.25">
      <c r="B423" s="198">
        <v>44900</v>
      </c>
    </row>
    <row r="424" spans="2:2" hidden="1" x14ac:dyDescent="0.25">
      <c r="B424" s="198">
        <v>44901</v>
      </c>
    </row>
    <row r="425" spans="2:2" hidden="1" x14ac:dyDescent="0.25">
      <c r="B425" s="198">
        <v>44902</v>
      </c>
    </row>
    <row r="426" spans="2:2" hidden="1" x14ac:dyDescent="0.25">
      <c r="B426" s="198">
        <v>44903</v>
      </c>
    </row>
    <row r="427" spans="2:2" hidden="1" x14ac:dyDescent="0.25">
      <c r="B427" s="198">
        <v>44904</v>
      </c>
    </row>
    <row r="428" spans="2:2" hidden="1" x14ac:dyDescent="0.25">
      <c r="B428" s="198">
        <v>44905</v>
      </c>
    </row>
    <row r="429" spans="2:2" hidden="1" x14ac:dyDescent="0.25">
      <c r="B429" s="198">
        <v>44906</v>
      </c>
    </row>
    <row r="430" spans="2:2" hidden="1" x14ac:dyDescent="0.25">
      <c r="B430" s="198">
        <v>44907</v>
      </c>
    </row>
    <row r="431" spans="2:2" hidden="1" x14ac:dyDescent="0.25">
      <c r="B431" s="198">
        <v>44908</v>
      </c>
    </row>
    <row r="432" spans="2:2" hidden="1" x14ac:dyDescent="0.25">
      <c r="B432" s="198">
        <v>44909</v>
      </c>
    </row>
    <row r="433" spans="2:2" hidden="1" x14ac:dyDescent="0.25">
      <c r="B433" s="198">
        <v>44910</v>
      </c>
    </row>
    <row r="434" spans="2:2" hidden="1" x14ac:dyDescent="0.25">
      <c r="B434" s="198">
        <v>44911</v>
      </c>
    </row>
    <row r="435" spans="2:2" hidden="1" x14ac:dyDescent="0.25">
      <c r="B435" s="198">
        <v>44912</v>
      </c>
    </row>
    <row r="436" spans="2:2" hidden="1" x14ac:dyDescent="0.25">
      <c r="B436" s="198">
        <v>44913</v>
      </c>
    </row>
    <row r="437" spans="2:2" hidden="1" x14ac:dyDescent="0.25">
      <c r="B437" s="198">
        <v>44914</v>
      </c>
    </row>
    <row r="438" spans="2:2" hidden="1" x14ac:dyDescent="0.25">
      <c r="B438" s="198">
        <v>44915</v>
      </c>
    </row>
    <row r="439" spans="2:2" hidden="1" x14ac:dyDescent="0.25">
      <c r="B439" s="198">
        <v>44916</v>
      </c>
    </row>
    <row r="440" spans="2:2" hidden="1" x14ac:dyDescent="0.25">
      <c r="B440" s="198">
        <v>44917</v>
      </c>
    </row>
    <row r="441" spans="2:2" hidden="1" x14ac:dyDescent="0.25">
      <c r="B441" s="198">
        <v>44918</v>
      </c>
    </row>
    <row r="442" spans="2:2" hidden="1" x14ac:dyDescent="0.25">
      <c r="B442" s="198">
        <v>44919</v>
      </c>
    </row>
    <row r="443" spans="2:2" hidden="1" x14ac:dyDescent="0.25">
      <c r="B443" s="198">
        <v>44920</v>
      </c>
    </row>
    <row r="444" spans="2:2" hidden="1" x14ac:dyDescent="0.25">
      <c r="B444" s="198">
        <v>44921</v>
      </c>
    </row>
    <row r="445" spans="2:2" hidden="1" x14ac:dyDescent="0.25">
      <c r="B445" s="198">
        <v>44922</v>
      </c>
    </row>
    <row r="446" spans="2:2" hidden="1" x14ac:dyDescent="0.25">
      <c r="B446" s="198">
        <v>44923</v>
      </c>
    </row>
    <row r="447" spans="2:2" hidden="1" x14ac:dyDescent="0.25">
      <c r="B447" s="198">
        <v>44924</v>
      </c>
    </row>
    <row r="448" spans="2:2" hidden="1" x14ac:dyDescent="0.25">
      <c r="B448" s="198">
        <v>44925</v>
      </c>
    </row>
    <row r="449" spans="2:2" hidden="1" x14ac:dyDescent="0.25">
      <c r="B449" s="198">
        <v>44926</v>
      </c>
    </row>
    <row r="450" spans="2:2" hidden="1" x14ac:dyDescent="0.25">
      <c r="B450" s="198">
        <v>44927</v>
      </c>
    </row>
    <row r="451" spans="2:2" hidden="1" x14ac:dyDescent="0.25"/>
    <row r="452" spans="2:2" hidden="1" x14ac:dyDescent="0.25"/>
    <row r="453" spans="2:2" hidden="1" x14ac:dyDescent="0.25"/>
    <row r="454" spans="2:2" hidden="1" x14ac:dyDescent="0.25"/>
    <row r="455" spans="2:2" hidden="1" x14ac:dyDescent="0.25"/>
    <row r="456" spans="2:2" hidden="1" x14ac:dyDescent="0.25"/>
    <row r="457" spans="2:2" hidden="1" x14ac:dyDescent="0.25"/>
    <row r="458" spans="2:2" hidden="1" x14ac:dyDescent="0.25"/>
    <row r="459" spans="2:2" hidden="1" x14ac:dyDescent="0.25"/>
    <row r="460" spans="2:2" hidden="1" x14ac:dyDescent="0.25"/>
    <row r="461" spans="2:2" hidden="1" x14ac:dyDescent="0.25"/>
    <row r="462" spans="2:2" hidden="1" x14ac:dyDescent="0.25"/>
    <row r="463" spans="2:2" hidden="1" x14ac:dyDescent="0.25"/>
    <row r="464" spans="2:2"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sheetData>
  <sheetProtection algorithmName="SHA-512" hashValue="7zIm2q4UnMRWR/H5i/sOfbLjEf50cEXdc6wri264RdDsFwz4aVVBXibWsYc/lSEyvZw94o/SKdyVkapYsurCQQ==" saltValue="ZRHrFg4OMVuVvGfbzcH5DA==" spinCount="100000" sheet="1" selectLockedCells="1"/>
  <mergeCells count="77">
    <mergeCell ref="A1:AB1"/>
    <mergeCell ref="A3:AB3"/>
    <mergeCell ref="A4:AB4"/>
    <mergeCell ref="A5:AC5"/>
    <mergeCell ref="B22:N22"/>
    <mergeCell ref="O22:T22"/>
    <mergeCell ref="U22:V22"/>
    <mergeCell ref="W22:AA22"/>
    <mergeCell ref="G7:P7"/>
    <mergeCell ref="A9:AB9"/>
    <mergeCell ref="J11:AB11"/>
    <mergeCell ref="G13:N13"/>
    <mergeCell ref="S13:U13"/>
    <mergeCell ref="Z13:AB13"/>
    <mergeCell ref="U21:V21"/>
    <mergeCell ref="W21:AA21"/>
    <mergeCell ref="L54:P54"/>
    <mergeCell ref="X54:AB54"/>
    <mergeCell ref="A16:U16"/>
    <mergeCell ref="B30:M30"/>
    <mergeCell ref="B24:J24"/>
    <mergeCell ref="B20:F20"/>
    <mergeCell ref="Y37:AB37"/>
    <mergeCell ref="U37:X37"/>
    <mergeCell ref="W39:AB39"/>
    <mergeCell ref="E37:J37"/>
    <mergeCell ref="J40:P40"/>
    <mergeCell ref="Y40:AB40"/>
    <mergeCell ref="B42:AA42"/>
    <mergeCell ref="U48:X48"/>
    <mergeCell ref="W50:AB50"/>
    <mergeCell ref="Y48:AB48"/>
    <mergeCell ref="B72:O72"/>
    <mergeCell ref="B57:AA57"/>
    <mergeCell ref="G62:I62"/>
    <mergeCell ref="P63:AB66"/>
    <mergeCell ref="B68:O68"/>
    <mergeCell ref="B71:O71"/>
    <mergeCell ref="Z72:AA72"/>
    <mergeCell ref="Z71:AA71"/>
    <mergeCell ref="B60:AA60"/>
    <mergeCell ref="B70:AB70"/>
    <mergeCell ref="B48:D48"/>
    <mergeCell ref="B52:H52"/>
    <mergeCell ref="R52:X52"/>
    <mergeCell ref="Q50:V50"/>
    <mergeCell ref="Y52:AB52"/>
    <mergeCell ref="A44:AB44"/>
    <mergeCell ref="H46:AB46"/>
    <mergeCell ref="M39:P39"/>
    <mergeCell ref="B25:AB25"/>
    <mergeCell ref="B31:AB31"/>
    <mergeCell ref="B28:L28"/>
    <mergeCell ref="M28:P28"/>
    <mergeCell ref="W15:Y15"/>
    <mergeCell ref="W16:Y16"/>
    <mergeCell ref="A15:U15"/>
    <mergeCell ref="A33:AB33"/>
    <mergeCell ref="H35:AB35"/>
    <mergeCell ref="O21:T21"/>
    <mergeCell ref="B21:N21"/>
    <mergeCell ref="B54:I54"/>
    <mergeCell ref="B56:M56"/>
    <mergeCell ref="J52:P52"/>
    <mergeCell ref="A11:H11"/>
    <mergeCell ref="A13:F13"/>
    <mergeCell ref="P13:R13"/>
    <mergeCell ref="E48:J48"/>
    <mergeCell ref="A18:AB18"/>
    <mergeCell ref="Q39:V39"/>
    <mergeCell ref="W13:Y13"/>
    <mergeCell ref="B46:F46"/>
    <mergeCell ref="B40:H40"/>
    <mergeCell ref="B41:M41"/>
    <mergeCell ref="R40:X40"/>
    <mergeCell ref="B37:D37"/>
    <mergeCell ref="B35:G35"/>
  </mergeCells>
  <conditionalFormatting sqref="B68:O69 B70 B71:O71">
    <cfRule type="cellIs" dxfId="8" priority="9" operator="equal">
      <formula>0</formula>
    </cfRule>
  </conditionalFormatting>
  <conditionalFormatting sqref="B22:AA22">
    <cfRule type="cellIs" dxfId="7" priority="7" operator="equal">
      <formula>""</formula>
    </cfRule>
  </conditionalFormatting>
  <conditionalFormatting sqref="B25:AB25">
    <cfRule type="cellIs" dxfId="6" priority="8" operator="equal">
      <formula>""</formula>
    </cfRule>
  </conditionalFormatting>
  <conditionalFormatting sqref="E37:J37 Y37:AB37">
    <cfRule type="cellIs" dxfId="5" priority="5" operator="equal">
      <formula>""</formula>
    </cfRule>
  </conditionalFormatting>
  <conditionalFormatting sqref="G62:I62">
    <cfRule type="cellIs" dxfId="4" priority="1" operator="equal">
      <formula>""</formula>
    </cfRule>
  </conditionalFormatting>
  <conditionalFormatting sqref="H35:AB35">
    <cfRule type="cellIs" dxfId="3" priority="6" operator="equal">
      <formula>""</formula>
    </cfRule>
  </conditionalFormatting>
  <conditionalFormatting sqref="H46:AB46 E48:J48 Y48:AB48 J52:P52 Y52:AB52">
    <cfRule type="cellIs" dxfId="2" priority="3" operator="equal">
      <formula>""</formula>
    </cfRule>
  </conditionalFormatting>
  <conditionalFormatting sqref="J40:P40 Y40:AB40">
    <cfRule type="cellIs" dxfId="1" priority="4" operator="equal">
      <formula>""</formula>
    </cfRule>
  </conditionalFormatting>
  <conditionalFormatting sqref="L54:P54">
    <cfRule type="cellIs" dxfId="0" priority="2" operator="equal">
      <formula>""</formula>
    </cfRule>
  </conditionalFormatting>
  <dataValidations count="6">
    <dataValidation type="list" allowBlank="1" showInputMessage="1" showErrorMessage="1" sqref="G62:I62 U22:V22" xr:uid="{00000000-0002-0000-0100-000000000000}">
      <formula1>$I$88:$I$188</formula1>
    </dataValidation>
    <dataValidation type="list" allowBlank="1" showInputMessage="1" showErrorMessage="1" sqref="B25:AB25" xr:uid="{00000000-0002-0000-0100-000001000000}">
      <formula1>$C$128:$C$132</formula1>
    </dataValidation>
    <dataValidation type="whole" allowBlank="1" showErrorMessage="1" error="SOLO VALOR NUMÉRICO" sqref="X54:AB54" xr:uid="{00000000-0002-0000-0100-000002000000}">
      <formula1>0</formula1>
      <formula2>100000000000000000000</formula2>
    </dataValidation>
    <dataValidation type="list" allowBlank="1" showInputMessage="1" showErrorMessage="1" sqref="G7:P7" xr:uid="{00000000-0002-0000-0100-000003000000}">
      <formula1>$B$85:$B$450</formula1>
    </dataValidation>
    <dataValidation type="list" allowBlank="1" showInputMessage="1" showErrorMessage="1" sqref="M39:P39" xr:uid="{83A4D964-1EB5-4067-9F91-B1236F6EB8C9}">
      <formula1>$AY$1:$AY$12</formula1>
    </dataValidation>
    <dataValidation type="list" allowBlank="1" showInputMessage="1" showErrorMessage="1" sqref="R37:S37 R48:S48" xr:uid="{F55D032D-78A9-4947-A8E1-6AE5D894B03D}">
      <formula1>$AZ$1:$AZ$7</formula1>
    </dataValidation>
  </dataValidations>
  <printOptions horizontalCentered="1" verticalCentered="1"/>
  <pageMargins left="0.70866141732283472" right="0.70866141732283472" top="0.74803149606299213" bottom="0.74803149606299213" header="0.31496062992125984" footer="0.31496062992125984"/>
  <pageSetup scale="56"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A9FB-149A-4CC2-A9EB-752D51004375}">
  <sheetPr>
    <tabColor rgb="FF00B0F0"/>
  </sheetPr>
  <dimension ref="A1:H32"/>
  <sheetViews>
    <sheetView showGridLines="0" view="pageBreakPreview" zoomScale="130" zoomScaleNormal="100" zoomScaleSheetLayoutView="130" workbookViewId="0">
      <selection activeCell="C35" sqref="C35"/>
    </sheetView>
  </sheetViews>
  <sheetFormatPr baseColWidth="10" defaultColWidth="11.42578125" defaultRowHeight="14.25" x14ac:dyDescent="0.25"/>
  <cols>
    <col min="1" max="1" width="19.5703125" style="244" customWidth="1"/>
    <col min="2" max="2" width="18.140625" style="244" customWidth="1"/>
    <col min="3" max="3" width="20.7109375" style="244" customWidth="1"/>
    <col min="4" max="4" width="3.28515625" style="244" hidden="1" customWidth="1"/>
    <col min="5" max="5" width="2.140625" style="244" customWidth="1"/>
    <col min="6" max="6" width="25.140625" style="244" customWidth="1"/>
    <col min="7" max="7" width="15.7109375" style="244" customWidth="1"/>
    <col min="8" max="8" width="17.5703125" style="244" customWidth="1"/>
    <col min="9" max="16384" width="11.42578125" style="244"/>
  </cols>
  <sheetData>
    <row r="1" spans="1:8" ht="30" customHeight="1" x14ac:dyDescent="0.25"/>
    <row r="2" spans="1:8" ht="32.25" customHeight="1" x14ac:dyDescent="0.25"/>
    <row r="3" spans="1:8" ht="15" customHeight="1" x14ac:dyDescent="0.25">
      <c r="D3" s="504"/>
      <c r="E3" s="504"/>
      <c r="F3" s="504"/>
      <c r="G3" s="504"/>
      <c r="H3" s="504"/>
    </row>
    <row r="4" spans="1:8" ht="15" customHeight="1" x14ac:dyDescent="0.25">
      <c r="D4" s="251"/>
      <c r="E4" s="504"/>
      <c r="F4" s="504"/>
      <c r="G4" s="504"/>
      <c r="H4" s="504"/>
    </row>
    <row r="6" spans="1:8" ht="15" x14ac:dyDescent="0.25">
      <c r="A6" s="245" t="s">
        <v>5642</v>
      </c>
    </row>
    <row r="7" spans="1:8" ht="59.25" customHeight="1" x14ac:dyDescent="0.25">
      <c r="A7" s="434" t="s">
        <v>5649</v>
      </c>
      <c r="B7" s="435"/>
      <c r="C7" s="435"/>
      <c r="D7" s="435"/>
      <c r="E7" s="435"/>
      <c r="F7" s="435"/>
      <c r="G7" s="435"/>
      <c r="H7" s="435"/>
    </row>
    <row r="8" spans="1:8" ht="16.5" customHeight="1" x14ac:dyDescent="0.25">
      <c r="A8" s="246"/>
      <c r="B8" s="247"/>
      <c r="C8" s="247"/>
      <c r="D8" s="247"/>
      <c r="E8" s="247"/>
      <c r="F8" s="247"/>
      <c r="G8" s="247"/>
      <c r="H8" s="247"/>
    </row>
    <row r="9" spans="1:8" ht="17.25" customHeight="1" x14ac:dyDescent="0.25">
      <c r="A9" s="245" t="s">
        <v>5643</v>
      </c>
    </row>
    <row r="10" spans="1:8" ht="73.5" customHeight="1" x14ac:dyDescent="0.25">
      <c r="A10" s="434" t="s">
        <v>5662</v>
      </c>
      <c r="B10" s="435"/>
      <c r="C10" s="435"/>
      <c r="D10" s="435"/>
      <c r="E10" s="435"/>
      <c r="F10" s="435"/>
      <c r="G10" s="435"/>
      <c r="H10" s="435"/>
    </row>
    <row r="12" spans="1:8" ht="15" x14ac:dyDescent="0.25">
      <c r="A12" s="245" t="s">
        <v>5644</v>
      </c>
    </row>
    <row r="13" spans="1:8" ht="15" x14ac:dyDescent="0.25">
      <c r="A13" s="245"/>
    </row>
    <row r="14" spans="1:8" ht="126.75" customHeight="1" x14ac:dyDescent="0.25">
      <c r="A14" s="434" t="s">
        <v>5663</v>
      </c>
      <c r="B14" s="435"/>
      <c r="C14" s="435"/>
      <c r="D14" s="435"/>
      <c r="E14" s="435"/>
      <c r="F14" s="435"/>
      <c r="G14" s="435"/>
      <c r="H14" s="435"/>
    </row>
    <row r="16" spans="1:8" ht="15" x14ac:dyDescent="0.25">
      <c r="A16" s="245" t="s">
        <v>5645</v>
      </c>
    </row>
    <row r="17" spans="1:8" ht="15" x14ac:dyDescent="0.25">
      <c r="A17" s="245"/>
    </row>
    <row r="18" spans="1:8" ht="43.5" customHeight="1" x14ac:dyDescent="0.25">
      <c r="A18" s="434" t="s">
        <v>5673</v>
      </c>
      <c r="B18" s="435"/>
      <c r="C18" s="435"/>
      <c r="D18" s="435"/>
      <c r="E18" s="435"/>
      <c r="F18" s="435"/>
      <c r="G18" s="435"/>
      <c r="H18" s="435"/>
    </row>
    <row r="20" spans="1:8" ht="15" customHeight="1" x14ac:dyDescent="0.25">
      <c r="A20" s="245" t="s">
        <v>5647</v>
      </c>
    </row>
    <row r="21" spans="1:8" ht="91.5" customHeight="1" x14ac:dyDescent="0.25">
      <c r="A21" s="434" t="s">
        <v>5664</v>
      </c>
      <c r="B21" s="435"/>
      <c r="C21" s="435"/>
      <c r="D21" s="435"/>
      <c r="E21" s="435"/>
      <c r="F21" s="435"/>
      <c r="G21" s="435"/>
      <c r="H21" s="435"/>
    </row>
    <row r="22" spans="1:8" ht="11.25" customHeight="1" x14ac:dyDescent="0.25">
      <c r="A22" s="434"/>
      <c r="B22" s="435"/>
      <c r="C22" s="435"/>
      <c r="D22" s="435"/>
      <c r="E22" s="435"/>
      <c r="F22" s="435"/>
      <c r="G22" s="435"/>
      <c r="H22" s="435"/>
    </row>
    <row r="23" spans="1:8" ht="28.5" customHeight="1" x14ac:dyDescent="0.25">
      <c r="A23" s="434" t="s">
        <v>5650</v>
      </c>
      <c r="B23" s="435"/>
      <c r="C23" s="435"/>
      <c r="D23" s="435"/>
      <c r="E23" s="435"/>
      <c r="F23" s="435"/>
      <c r="G23" s="435"/>
      <c r="H23" s="435"/>
    </row>
    <row r="24" spans="1:8" s="247" customFormat="1" ht="12.75" customHeight="1" x14ac:dyDescent="0.25">
      <c r="A24" s="246"/>
    </row>
    <row r="25" spans="1:8" ht="54" customHeight="1" x14ac:dyDescent="0.25">
      <c r="A25" s="434" t="s">
        <v>5674</v>
      </c>
      <c r="B25" s="435"/>
      <c r="C25" s="435"/>
      <c r="D25" s="435"/>
      <c r="E25" s="435"/>
      <c r="F25" s="435"/>
      <c r="G25" s="435"/>
      <c r="H25" s="435"/>
    </row>
    <row r="26" spans="1:8" ht="361.5" customHeight="1" x14ac:dyDescent="0.25">
      <c r="A26" s="434" t="s">
        <v>5677</v>
      </c>
      <c r="B26" s="435"/>
      <c r="C26" s="435"/>
      <c r="D26" s="435"/>
      <c r="E26" s="435"/>
      <c r="F26" s="435"/>
      <c r="G26" s="435"/>
      <c r="H26" s="435"/>
    </row>
    <row r="27" spans="1:8" ht="207" customHeight="1" x14ac:dyDescent="0.25">
      <c r="A27" s="434" t="s">
        <v>5675</v>
      </c>
      <c r="B27" s="435"/>
      <c r="C27" s="435"/>
      <c r="D27" s="435"/>
      <c r="E27" s="435"/>
      <c r="F27" s="435"/>
      <c r="G27" s="435"/>
      <c r="H27" s="435"/>
    </row>
    <row r="28" spans="1:8" ht="201.75" customHeight="1" x14ac:dyDescent="0.25">
      <c r="A28" s="434" t="s">
        <v>5676</v>
      </c>
      <c r="B28" s="435"/>
      <c r="C28" s="435"/>
      <c r="D28" s="435"/>
      <c r="E28" s="435"/>
      <c r="F28" s="435"/>
      <c r="G28" s="435"/>
      <c r="H28" s="435"/>
    </row>
    <row r="30" spans="1:8" ht="15" x14ac:dyDescent="0.25">
      <c r="A30" s="502" t="s">
        <v>5651</v>
      </c>
      <c r="B30" s="503"/>
      <c r="C30" s="503"/>
      <c r="D30" s="503"/>
      <c r="E30" s="503"/>
      <c r="F30" s="503"/>
      <c r="G30" s="503"/>
      <c r="H30" s="503"/>
    </row>
    <row r="32" spans="1:8" ht="65.25" customHeight="1" x14ac:dyDescent="0.25">
      <c r="A32" s="434" t="s">
        <v>5652</v>
      </c>
      <c r="B32" s="435"/>
      <c r="C32" s="435"/>
      <c r="D32" s="435"/>
      <c r="E32" s="435"/>
      <c r="F32" s="435"/>
      <c r="G32" s="435"/>
      <c r="H32" s="435"/>
    </row>
  </sheetData>
  <sheetProtection algorithmName="SHA-512" hashValue="cpZLRlOkPT8vEl9q6DOmisJ6EIlSV2UnMuWFz8s/+x8flITj/Anf21Ay2p2c+dKaBKt5TdHKbAm2R/8diT4z7g==" saltValue="x1XREPj6OtzN3ueyDJfGVg==" spinCount="100000" sheet="1" objects="1" scenarios="1"/>
  <mergeCells count="15">
    <mergeCell ref="A18:H18"/>
    <mergeCell ref="A25:H25"/>
    <mergeCell ref="A26:H26"/>
    <mergeCell ref="A27:H27"/>
    <mergeCell ref="A23:H23"/>
    <mergeCell ref="A7:H7"/>
    <mergeCell ref="A10:H10"/>
    <mergeCell ref="A14:H14"/>
    <mergeCell ref="D3:H3"/>
    <mergeCell ref="E4:H4"/>
    <mergeCell ref="A32:H32"/>
    <mergeCell ref="A22:H22"/>
    <mergeCell ref="A28:H28"/>
    <mergeCell ref="A30:H30"/>
    <mergeCell ref="A21:H21"/>
  </mergeCells>
  <pageMargins left="0.7" right="0.7" top="0.75" bottom="0.75" header="0.3" footer="0.3"/>
  <pageSetup scale="67"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6CFE9-075B-4EF0-8925-E2F5FEDA45F3}">
  <sheetPr codeName="Hoja3">
    <tabColor rgb="FFFF0000"/>
  </sheetPr>
  <dimension ref="A1:BP1671"/>
  <sheetViews>
    <sheetView topLeftCell="A69" zoomScale="80" zoomScaleNormal="80" workbookViewId="0">
      <selection activeCell="D70" sqref="D70"/>
    </sheetView>
  </sheetViews>
  <sheetFormatPr baseColWidth="10" defaultColWidth="11.5703125" defaultRowHeight="15" x14ac:dyDescent="0.25"/>
  <cols>
    <col min="1" max="1" width="4.28515625" style="3" bestFit="1" customWidth="1"/>
    <col min="2" max="2" width="7.140625" style="3" bestFit="1" customWidth="1"/>
    <col min="3" max="3" width="50.42578125" style="65" bestFit="1" customWidth="1"/>
    <col min="4" max="4" width="52.28515625" style="3" bestFit="1" customWidth="1"/>
    <col min="5" max="6" width="3.42578125" style="3" customWidth="1"/>
    <col min="7" max="7" width="17.7109375" style="3" customWidth="1"/>
    <col min="8" max="8" width="10.7109375" style="3" bestFit="1" customWidth="1"/>
    <col min="9" max="9" width="11.7109375" style="3" bestFit="1" customWidth="1"/>
    <col min="10" max="10" width="2.7109375" style="3" bestFit="1" customWidth="1"/>
    <col min="11" max="11" width="85.7109375" style="3" customWidth="1"/>
    <col min="12" max="12" width="21.7109375" style="3" customWidth="1"/>
    <col min="13" max="13" width="10.5703125" style="3" bestFit="1" customWidth="1"/>
    <col min="14" max="14" width="3.85546875" style="3" customWidth="1"/>
    <col min="15" max="15" width="16" style="3" bestFit="1" customWidth="1"/>
    <col min="16" max="16" width="4.85546875" style="3" bestFit="1" customWidth="1"/>
    <col min="17" max="17" width="11.7109375" style="3" bestFit="1" customWidth="1"/>
    <col min="18" max="18" width="5.28515625" style="3" bestFit="1" customWidth="1"/>
    <col min="19" max="19" width="2.28515625" style="3" customWidth="1"/>
    <col min="20" max="20" width="34.28515625" style="65" bestFit="1" customWidth="1"/>
    <col min="21" max="21" width="13.28515625" style="65" bestFit="1" customWidth="1"/>
    <col min="22" max="22" width="2" style="3" customWidth="1"/>
    <col min="23" max="24" width="17.85546875" style="65" bestFit="1" customWidth="1"/>
    <col min="25" max="25" width="1.85546875" style="3" customWidth="1"/>
    <col min="26" max="26" width="13.42578125" style="3" bestFit="1" customWidth="1"/>
    <col min="27" max="27" width="3.28515625" style="3" bestFit="1" customWidth="1"/>
    <col min="28" max="28" width="51.85546875" style="3" bestFit="1" customWidth="1"/>
    <col min="29" max="29" width="13" style="3" bestFit="1" customWidth="1"/>
    <col min="30" max="30" width="11.7109375" style="3" bestFit="1" customWidth="1"/>
    <col min="31" max="31" width="5.85546875" style="3" bestFit="1" customWidth="1"/>
    <col min="32" max="32" width="32" style="3" bestFit="1" customWidth="1"/>
    <col min="33" max="33" width="11.140625" style="3" bestFit="1" customWidth="1"/>
    <col min="34" max="34" width="1.5703125" style="3" customWidth="1"/>
    <col min="35" max="35" width="5.85546875" style="3" bestFit="1" customWidth="1"/>
    <col min="36" max="36" width="7.28515625" style="3" bestFit="1" customWidth="1"/>
    <col min="37" max="37" width="18.5703125" style="3" bestFit="1" customWidth="1"/>
    <col min="38" max="38" width="11.140625" style="3" bestFit="1" customWidth="1"/>
    <col min="39" max="39" width="2.28515625" style="3" customWidth="1"/>
    <col min="40" max="40" width="60.7109375" style="3" bestFit="1" customWidth="1"/>
    <col min="41" max="41" width="51.140625" style="3" bestFit="1" customWidth="1"/>
    <col min="42" max="42" width="11.28515625" style="3" customWidth="1"/>
    <col min="43" max="43" width="7.7109375" style="3" customWidth="1"/>
    <col min="44" max="44" width="2.7109375" style="3" customWidth="1"/>
    <col min="45" max="45" width="18.7109375" style="3" customWidth="1"/>
    <col min="46" max="46" width="12.5703125" style="3" customWidth="1"/>
    <col min="47" max="47" width="65.140625" style="65" customWidth="1"/>
    <col min="48" max="48" width="14.5703125" style="3" customWidth="1"/>
    <col min="49" max="49" width="2.42578125" style="3" customWidth="1"/>
    <col min="50" max="50" width="66.140625" style="3" customWidth="1"/>
    <col min="51" max="51" width="62.28515625" style="65" customWidth="1"/>
    <col min="52" max="52" width="1.5703125" style="3" customWidth="1"/>
    <col min="53" max="53" width="133.5703125" style="3" customWidth="1"/>
    <col min="54" max="54" width="21.140625" style="3" customWidth="1"/>
    <col min="55" max="57" width="11.5703125" style="3"/>
    <col min="58" max="58" width="36.85546875" style="3" customWidth="1"/>
    <col min="59" max="59" width="51.42578125" style="3" customWidth="1"/>
    <col min="60" max="60" width="11.5703125" style="3"/>
    <col min="61" max="61" width="18.42578125" style="3" customWidth="1"/>
    <col min="62" max="62" width="17.85546875" style="3" customWidth="1"/>
    <col min="63" max="63" width="23.5703125" style="3" bestFit="1" customWidth="1"/>
    <col min="64" max="64" width="23" style="3" bestFit="1" customWidth="1"/>
    <col min="65" max="65" width="21.140625" style="3" customWidth="1"/>
    <col min="66" max="66" width="20.28515625" style="3" customWidth="1"/>
    <col min="67" max="67" width="17" style="3" customWidth="1"/>
    <col min="68" max="68" width="15.5703125" style="3" bestFit="1" customWidth="1"/>
    <col min="69" max="16384" width="11.5703125" style="3"/>
  </cols>
  <sheetData>
    <row r="1" spans="1:68" ht="33.75" thickBot="1" x14ac:dyDescent="0.3">
      <c r="A1" s="505" t="s">
        <v>3634</v>
      </c>
      <c r="B1" s="506"/>
      <c r="C1" s="506"/>
      <c r="D1" s="507"/>
      <c r="F1"/>
      <c r="G1"/>
      <c r="H1" s="24" t="s">
        <v>3635</v>
      </c>
      <c r="I1" s="9" t="s">
        <v>3636</v>
      </c>
      <c r="K1" s="11" t="s">
        <v>2</v>
      </c>
      <c r="L1" s="11" t="s">
        <v>1681</v>
      </c>
      <c r="M1" s="11" t="s">
        <v>1682</v>
      </c>
      <c r="O1" s="15" t="s">
        <v>3643</v>
      </c>
      <c r="P1" s="16" t="s">
        <v>1643</v>
      </c>
      <c r="Q1" s="10" t="s">
        <v>3647</v>
      </c>
      <c r="R1" s="10" t="s">
        <v>1667</v>
      </c>
      <c r="T1" s="19" t="s">
        <v>3649</v>
      </c>
      <c r="U1" s="20" t="s">
        <v>15</v>
      </c>
      <c r="W1" s="17" t="s">
        <v>510</v>
      </c>
      <c r="X1" s="18" t="s">
        <v>508</v>
      </c>
      <c r="Z1" s="27" t="s">
        <v>3651</v>
      </c>
      <c r="AA1" s="28" t="str">
        <f>+'FORMATO ACTUALIZACIÓN DATOS'!AI21</f>
        <v/>
      </c>
      <c r="AB1" s="79" t="s">
        <v>510</v>
      </c>
      <c r="AC1" s="80" t="s">
        <v>508</v>
      </c>
      <c r="AD1" s="81" t="s">
        <v>1605</v>
      </c>
      <c r="AE1" s="82" t="s">
        <v>1604</v>
      </c>
      <c r="AF1" s="79" t="s">
        <v>511</v>
      </c>
      <c r="AG1" s="81" t="s">
        <v>509</v>
      </c>
      <c r="AI1" s="29"/>
      <c r="AJ1" s="30"/>
      <c r="AK1" s="69" t="s">
        <v>511</v>
      </c>
      <c r="AL1" s="70" t="s">
        <v>509</v>
      </c>
      <c r="AN1" s="3" t="s">
        <v>1674</v>
      </c>
      <c r="AO1" s="3" t="s">
        <v>1675</v>
      </c>
      <c r="AP1" s="3" t="s">
        <v>1676</v>
      </c>
      <c r="AQ1" s="31" t="s">
        <v>3111</v>
      </c>
      <c r="AS1" s="3" t="s">
        <v>3696</v>
      </c>
      <c r="AT1" s="3" t="s">
        <v>3695</v>
      </c>
      <c r="AU1" s="3" t="s">
        <v>3697</v>
      </c>
      <c r="AV1" s="3" t="s">
        <v>3840</v>
      </c>
      <c r="AX1" s="84" t="s">
        <v>1601</v>
      </c>
      <c r="AY1" s="65" t="s">
        <v>3843</v>
      </c>
      <c r="BA1" s="110" t="s">
        <v>5659</v>
      </c>
      <c r="BB1" s="111" t="s">
        <v>3890</v>
      </c>
      <c r="BC1" s="248" t="s">
        <v>5660</v>
      </c>
      <c r="BE1" s="510" t="s">
        <v>3915</v>
      </c>
      <c r="BF1" s="511"/>
      <c r="BG1" s="512"/>
      <c r="BI1" s="144" t="s">
        <v>3494</v>
      </c>
      <c r="BJ1" s="145" t="s">
        <v>3495</v>
      </c>
      <c r="BK1" s="145" t="s">
        <v>3935</v>
      </c>
      <c r="BL1" s="145" t="s">
        <v>3936</v>
      </c>
      <c r="BM1" s="145" t="s">
        <v>3937</v>
      </c>
      <c r="BN1" s="145" t="s">
        <v>3938</v>
      </c>
      <c r="BO1" s="145" t="s">
        <v>3939</v>
      </c>
    </row>
    <row r="2" spans="1:68" ht="15.75" thickBot="1" x14ac:dyDescent="0.3">
      <c r="A2" s="12" t="s">
        <v>3637</v>
      </c>
      <c r="B2" s="13" t="s">
        <v>3638</v>
      </c>
      <c r="C2" s="93" t="s">
        <v>3639</v>
      </c>
      <c r="D2" s="14" t="s">
        <v>3640</v>
      </c>
      <c r="F2"/>
      <c r="G2"/>
      <c r="H2" s="32" t="s">
        <v>1644</v>
      </c>
      <c r="I2" s="33">
        <v>0</v>
      </c>
      <c r="K2" s="34" t="s">
        <v>3572</v>
      </c>
      <c r="L2" s="35">
        <v>11</v>
      </c>
      <c r="M2" s="34" t="s">
        <v>1685</v>
      </c>
      <c r="O2" s="36" t="s">
        <v>1611</v>
      </c>
      <c r="P2" s="37" t="s">
        <v>1612</v>
      </c>
      <c r="Q2" s="38" t="s">
        <v>1637</v>
      </c>
      <c r="R2" s="38" t="s">
        <v>1667</v>
      </c>
      <c r="T2" s="21" t="s">
        <v>111</v>
      </c>
      <c r="U2" s="22" t="s">
        <v>110</v>
      </c>
      <c r="W2" s="39" t="s">
        <v>660</v>
      </c>
      <c r="X2" s="40" t="s">
        <v>659</v>
      </c>
      <c r="AB2" s="71" t="s">
        <v>513</v>
      </c>
      <c r="AC2" s="72" t="s">
        <v>512</v>
      </c>
      <c r="AD2" s="73" t="str">
        <f>CONCATENATE(AC2,"-",AE2)</f>
        <v>05-1</v>
      </c>
      <c r="AE2" s="74">
        <v>1</v>
      </c>
      <c r="AF2" s="71" t="s">
        <v>514</v>
      </c>
      <c r="AG2" s="73" t="s">
        <v>334</v>
      </c>
      <c r="AI2" s="41">
        <v>1</v>
      </c>
      <c r="AJ2" s="42" t="str">
        <f>CONCATENATE($AA$1,"-",AI2)</f>
        <v>-1</v>
      </c>
      <c r="AK2" s="42" t="str">
        <f t="shared" ref="AK2:AK33" si="0">IFERROR(VLOOKUP(AJ2,$AD$2:$AG$1120,3,0),"")</f>
        <v/>
      </c>
      <c r="AL2" s="43" t="str">
        <f t="shared" ref="AL2:AL33" si="1">IFERROR(VLOOKUP(AJ2,$AD$2:$AG$1120,4,0),"")</f>
        <v/>
      </c>
      <c r="AN2" s="235" t="s">
        <v>5607</v>
      </c>
      <c r="AO2" s="235" t="s">
        <v>5607</v>
      </c>
      <c r="AP2" s="83"/>
      <c r="AQ2" s="235">
        <v>2</v>
      </c>
      <c r="AS2" s="3">
        <v>111</v>
      </c>
      <c r="AU2" s="65" t="s">
        <v>3138</v>
      </c>
      <c r="AV2" s="3">
        <v>0</v>
      </c>
      <c r="AX2" s="3" t="s">
        <v>3101</v>
      </c>
      <c r="AY2" s="65" t="s">
        <v>3102</v>
      </c>
      <c r="BA2" s="108" t="s">
        <v>3943</v>
      </c>
      <c r="BB2" s="182">
        <v>114001</v>
      </c>
      <c r="BE2" s="147" t="str">
        <f>IF('FORMATO ACTUALIZACIÓN DATOS'!AU39="RESPONSABLE IVA","C",IF('FORMATO ACTUALIZACIÓN DATOS'!AU39="NO RESPONSABLE IVA","S","ERROR"))</f>
        <v>ERROR</v>
      </c>
      <c r="BF2" s="148" t="s">
        <v>3916</v>
      </c>
      <c r="BG2" s="149" t="s">
        <v>3917</v>
      </c>
      <c r="BI2" s="3">
        <v>2026</v>
      </c>
      <c r="BJ2" s="100">
        <v>52374</v>
      </c>
      <c r="BK2" s="3">
        <v>4000</v>
      </c>
      <c r="BL2" s="100">
        <f>BK2*BJ2</f>
        <v>209496000</v>
      </c>
      <c r="BM2" s="100">
        <f>'FORMATO ACTUALIZACIÓN DATOS'!K46</f>
        <v>0</v>
      </c>
      <c r="BN2" s="100">
        <f>ROUND(BM2/1.19,)</f>
        <v>0</v>
      </c>
      <c r="BO2" s="100">
        <f>ROUND(BN2*0.19,)</f>
        <v>0</v>
      </c>
      <c r="BP2" s="180">
        <f>BN2+BO2</f>
        <v>0</v>
      </c>
    </row>
    <row r="3" spans="1:68" ht="15.75" thickBot="1" x14ac:dyDescent="0.3">
      <c r="A3" s="44">
        <v>1</v>
      </c>
      <c r="B3" s="88">
        <f>IF('FORMATO ACTUALIZACIÓN DATOS'!A13="",0,1)</f>
        <v>0</v>
      </c>
      <c r="C3" s="94" t="s">
        <v>3126</v>
      </c>
      <c r="D3" s="89" t="str">
        <f>IF(B3=0,CONCATENATE(" - ",C3,""),"")</f>
        <v xml:space="preserve"> - Número de Identificación Tributaria (NIT)</v>
      </c>
      <c r="F3"/>
      <c r="G3"/>
      <c r="H3" s="46" t="s">
        <v>1645</v>
      </c>
      <c r="I3" s="47">
        <v>1</v>
      </c>
      <c r="K3" s="48" t="s">
        <v>3</v>
      </c>
      <c r="L3" s="49">
        <v>12</v>
      </c>
      <c r="M3" s="48" t="s">
        <v>1684</v>
      </c>
      <c r="O3" s="50" t="s">
        <v>1613</v>
      </c>
      <c r="P3" s="51" t="s">
        <v>1614</v>
      </c>
      <c r="Q3" s="52" t="s">
        <v>1628</v>
      </c>
      <c r="R3" s="52" t="s">
        <v>3648</v>
      </c>
      <c r="T3" s="21" t="s">
        <v>17</v>
      </c>
      <c r="U3" s="22" t="s">
        <v>16</v>
      </c>
      <c r="W3" s="39" t="s">
        <v>1563</v>
      </c>
      <c r="X3" s="40" t="s">
        <v>1562</v>
      </c>
      <c r="AB3" s="71" t="s">
        <v>513</v>
      </c>
      <c r="AC3" s="72" t="s">
        <v>512</v>
      </c>
      <c r="AD3" s="73" t="str">
        <f t="shared" ref="AD3:AD66" si="2">CONCATENATE(AC3,"-",AE3)</f>
        <v>05-2</v>
      </c>
      <c r="AE3" s="74">
        <f t="shared" ref="AE3:AE66" si="3">IF(AB3=AB2,1+AE2,1)</f>
        <v>2</v>
      </c>
      <c r="AF3" s="71" t="s">
        <v>515</v>
      </c>
      <c r="AG3" s="73" t="s">
        <v>1687</v>
      </c>
      <c r="AI3" s="41">
        <v>2</v>
      </c>
      <c r="AJ3" s="42" t="str">
        <f t="shared" ref="AJ3:AJ66" si="4">CONCATENATE($AA$1,"-",AI3)</f>
        <v>-2</v>
      </c>
      <c r="AK3" s="42" t="str">
        <f t="shared" si="0"/>
        <v/>
      </c>
      <c r="AL3" s="43" t="str">
        <f t="shared" si="1"/>
        <v/>
      </c>
      <c r="AN3" s="235" t="s">
        <v>5608</v>
      </c>
      <c r="AO3" s="235" t="s">
        <v>5608</v>
      </c>
      <c r="AP3" s="83"/>
      <c r="AQ3" s="235">
        <v>13</v>
      </c>
      <c r="AS3" s="3">
        <v>112</v>
      </c>
      <c r="AU3" s="65" t="s">
        <v>3139</v>
      </c>
      <c r="AV3" s="3">
        <v>0</v>
      </c>
      <c r="AX3" s="3" t="s">
        <v>3103</v>
      </c>
      <c r="AY3" s="65" t="s">
        <v>3104</v>
      </c>
      <c r="BA3" s="109" t="s">
        <v>3944</v>
      </c>
      <c r="BB3" s="183">
        <v>1131201</v>
      </c>
      <c r="BE3" s="146" t="str">
        <f>IF(OR('FORMATO ACTUALIZACIÓN DATOS'!BA61="X",'FORMATO ACTUALIZACIÓN DATOS'!BA64="X")=TRUE,"VERDADERO","FALSO")</f>
        <v>FALSO</v>
      </c>
      <c r="BF3" s="508" t="s">
        <v>5600</v>
      </c>
      <c r="BG3" s="509"/>
    </row>
    <row r="4" spans="1:68" ht="15.75" thickBot="1" x14ac:dyDescent="0.3">
      <c r="A4" s="53">
        <v>2</v>
      </c>
      <c r="B4" s="90">
        <f>IF('FORMATO ACTUALIZACIÓN DATOS'!P11="",0,1)</f>
        <v>0</v>
      </c>
      <c r="C4" s="95" t="s">
        <v>0</v>
      </c>
      <c r="D4" s="54" t="str">
        <f t="shared" ref="D4:D27" si="5">IF(B4=0,CONCATENATE(" - ",C4,""),"")</f>
        <v xml:space="preserve"> - DV</v>
      </c>
      <c r="F4"/>
      <c r="G4"/>
      <c r="H4" s="46" t="s">
        <v>1617</v>
      </c>
      <c r="I4" s="47">
        <v>2</v>
      </c>
      <c r="K4" s="48" t="s">
        <v>4</v>
      </c>
      <c r="L4" s="49">
        <v>13</v>
      </c>
      <c r="M4" s="48" t="s">
        <v>1618</v>
      </c>
      <c r="O4" s="50" t="s">
        <v>3568</v>
      </c>
      <c r="P4" s="55" t="s">
        <v>1609</v>
      </c>
      <c r="T4" s="21" t="s">
        <v>19</v>
      </c>
      <c r="U4" s="22" t="s">
        <v>18</v>
      </c>
      <c r="W4" s="39" t="s">
        <v>513</v>
      </c>
      <c r="X4" s="40" t="s">
        <v>512</v>
      </c>
      <c r="AB4" s="71" t="s">
        <v>513</v>
      </c>
      <c r="AC4" s="72" t="s">
        <v>512</v>
      </c>
      <c r="AD4" s="73" t="str">
        <f t="shared" si="2"/>
        <v>05-3</v>
      </c>
      <c r="AE4" s="74">
        <f t="shared" si="3"/>
        <v>3</v>
      </c>
      <c r="AF4" s="71" t="s">
        <v>516</v>
      </c>
      <c r="AG4" s="73" t="s">
        <v>1688</v>
      </c>
      <c r="AI4" s="41">
        <v>3</v>
      </c>
      <c r="AJ4" s="42" t="str">
        <f t="shared" si="4"/>
        <v>-3</v>
      </c>
      <c r="AK4" s="42" t="str">
        <f t="shared" si="0"/>
        <v/>
      </c>
      <c r="AL4" s="43" t="str">
        <f t="shared" si="1"/>
        <v/>
      </c>
      <c r="AN4" s="235" t="s">
        <v>3656</v>
      </c>
      <c r="AO4" s="235" t="s">
        <v>3656</v>
      </c>
      <c r="AP4" s="83"/>
      <c r="AQ4" s="235">
        <v>51</v>
      </c>
      <c r="AS4" s="3">
        <v>113</v>
      </c>
      <c r="AU4" s="65" t="s">
        <v>3140</v>
      </c>
      <c r="AV4" s="3">
        <v>0</v>
      </c>
      <c r="AX4" s="3" t="s">
        <v>3105</v>
      </c>
      <c r="AY4" s="65" t="s">
        <v>3106</v>
      </c>
      <c r="BA4" s="108" t="s">
        <v>3945</v>
      </c>
      <c r="BB4" s="182">
        <v>1131202</v>
      </c>
      <c r="BE4" s="146" t="str">
        <f>IF(OR('FORMATO ACTUALIZACIÓN DATOS'!BA61="X",'FORMATO ACTUALIZACIÓN DATOS'!BA64="X")=TRUE,"SI","NO")</f>
        <v>NO</v>
      </c>
      <c r="BF4" s="508" t="s">
        <v>5601</v>
      </c>
      <c r="BG4" s="509"/>
    </row>
    <row r="5" spans="1:68" ht="15.75" thickBot="1" x14ac:dyDescent="0.3">
      <c r="A5" s="53">
        <v>3</v>
      </c>
      <c r="B5" s="90">
        <f>IF('FORMATO ACTUALIZACIÓN DATOS'!R11="",0,1)</f>
        <v>1</v>
      </c>
      <c r="C5" s="95" t="s">
        <v>1679</v>
      </c>
      <c r="D5" s="54" t="str">
        <f t="shared" si="5"/>
        <v/>
      </c>
      <c r="F5"/>
      <c r="G5"/>
      <c r="H5" s="46" t="s">
        <v>1646</v>
      </c>
      <c r="I5" s="47">
        <v>3</v>
      </c>
      <c r="K5" s="48" t="s">
        <v>5</v>
      </c>
      <c r="L5" s="49">
        <v>14</v>
      </c>
      <c r="M5" s="48" t="s">
        <v>1685</v>
      </c>
      <c r="O5" s="50" t="s">
        <v>3569</v>
      </c>
      <c r="P5" s="55" t="s">
        <v>1610</v>
      </c>
      <c r="T5" s="21" t="s">
        <v>21</v>
      </c>
      <c r="U5" s="22" t="s">
        <v>20</v>
      </c>
      <c r="W5" s="39" t="s">
        <v>1522</v>
      </c>
      <c r="X5" s="40" t="s">
        <v>1521</v>
      </c>
      <c r="AB5" s="71" t="s">
        <v>513</v>
      </c>
      <c r="AC5" s="72" t="s">
        <v>512</v>
      </c>
      <c r="AD5" s="73" t="str">
        <f t="shared" si="2"/>
        <v>05-4</v>
      </c>
      <c r="AE5" s="74">
        <f t="shared" si="3"/>
        <v>4</v>
      </c>
      <c r="AF5" s="71" t="s">
        <v>517</v>
      </c>
      <c r="AG5" s="73" t="s">
        <v>1689</v>
      </c>
      <c r="AI5" s="41">
        <v>4</v>
      </c>
      <c r="AJ5" s="42" t="str">
        <f t="shared" si="4"/>
        <v>-4</v>
      </c>
      <c r="AK5" s="42" t="str">
        <f t="shared" si="0"/>
        <v/>
      </c>
      <c r="AL5" s="43" t="str">
        <f t="shared" si="1"/>
        <v/>
      </c>
      <c r="AN5" s="235" t="s">
        <v>3672</v>
      </c>
      <c r="AO5" s="235" t="s">
        <v>3672</v>
      </c>
      <c r="AP5" s="83"/>
      <c r="AQ5" s="235">
        <v>1</v>
      </c>
      <c r="AS5" s="3">
        <v>114</v>
      </c>
      <c r="AU5" s="65" t="s">
        <v>3141</v>
      </c>
      <c r="AV5" s="3">
        <v>0</v>
      </c>
      <c r="AX5" s="3" t="s">
        <v>3107</v>
      </c>
      <c r="AY5" s="65" t="s">
        <v>3108</v>
      </c>
      <c r="BA5" s="109" t="s">
        <v>3946</v>
      </c>
      <c r="BB5" s="183">
        <v>1139301</v>
      </c>
      <c r="BE5" s="146" t="str">
        <f>IF(OR('FORMATO ACTUALIZACIÓN DATOS'!BC61="X",'FORMATO ACTUALIZACIÓN DATOS'!BC64="X")=TRUE,"SI","NO")</f>
        <v>NO</v>
      </c>
      <c r="BF5" s="508" t="s">
        <v>5602</v>
      </c>
      <c r="BG5" s="509"/>
    </row>
    <row r="6" spans="1:68" ht="30.75" thickBot="1" x14ac:dyDescent="0.3">
      <c r="A6" s="53">
        <v>4</v>
      </c>
      <c r="B6" s="90">
        <f>IF('FORMATO ACTUALIZACIÓN DATOS'!AC11="",0,1)</f>
        <v>0</v>
      </c>
      <c r="C6" s="95" t="s">
        <v>1680</v>
      </c>
      <c r="D6" s="54" t="str">
        <f t="shared" si="5"/>
        <v xml:space="preserve"> - Tipo de Documento</v>
      </c>
      <c r="F6"/>
      <c r="G6"/>
      <c r="H6" s="46" t="s">
        <v>1647</v>
      </c>
      <c r="I6" s="47">
        <v>4</v>
      </c>
      <c r="K6" s="48" t="s">
        <v>6</v>
      </c>
      <c r="L6" s="49">
        <v>15</v>
      </c>
      <c r="M6" s="48" t="s">
        <v>1685</v>
      </c>
      <c r="O6" s="50" t="s">
        <v>1616</v>
      </c>
      <c r="P6" s="55" t="s">
        <v>1615</v>
      </c>
      <c r="T6" s="21" t="s">
        <v>23</v>
      </c>
      <c r="U6" s="22" t="s">
        <v>22</v>
      </c>
      <c r="W6" s="39" t="s">
        <v>3650</v>
      </c>
      <c r="X6" s="40" t="s">
        <v>1560</v>
      </c>
      <c r="AB6" s="71" t="s">
        <v>513</v>
      </c>
      <c r="AC6" s="72" t="s">
        <v>512</v>
      </c>
      <c r="AD6" s="73" t="str">
        <f t="shared" si="2"/>
        <v>05-5</v>
      </c>
      <c r="AE6" s="74">
        <f t="shared" si="3"/>
        <v>5</v>
      </c>
      <c r="AF6" s="71" t="s">
        <v>518</v>
      </c>
      <c r="AG6" s="73" t="s">
        <v>1690</v>
      </c>
      <c r="AI6" s="41">
        <v>5</v>
      </c>
      <c r="AJ6" s="42" t="str">
        <f t="shared" si="4"/>
        <v>-5</v>
      </c>
      <c r="AK6" s="42" t="str">
        <f t="shared" si="0"/>
        <v/>
      </c>
      <c r="AL6" s="43" t="str">
        <f t="shared" si="1"/>
        <v/>
      </c>
      <c r="AN6" s="235" t="s">
        <v>3667</v>
      </c>
      <c r="AO6" s="235" t="s">
        <v>3667</v>
      </c>
      <c r="AP6" s="83"/>
      <c r="AQ6" s="235">
        <v>7</v>
      </c>
      <c r="AS6" s="3">
        <v>115</v>
      </c>
      <c r="AU6" s="65" t="s">
        <v>3142</v>
      </c>
      <c r="AV6" s="3">
        <v>0</v>
      </c>
      <c r="AX6" s="3" t="s">
        <v>2117</v>
      </c>
      <c r="AY6" s="65" t="s">
        <v>2118</v>
      </c>
      <c r="BA6" s="108" t="s">
        <v>3947</v>
      </c>
      <c r="BB6" s="182">
        <v>1141001</v>
      </c>
      <c r="BE6" s="146" t="str">
        <f>IF(AND('FORMATO ACTUALIZACIÓN DATOS'!BA61="X",'FORMATO ACTUALIZACIÓN DATOS'!BC61="X",'FORMATO ACTUALIZACIÓN DATOS'!BA64="X",'FORMATO ACTUALIZACIÓN DATOS'!BC64="x")=TRUE,"SI","NO")</f>
        <v>NO</v>
      </c>
      <c r="BF6" s="508" t="s">
        <v>3918</v>
      </c>
      <c r="BG6" s="509"/>
      <c r="BI6" s="3" t="s">
        <v>3843</v>
      </c>
      <c r="BJ6" s="3" t="s">
        <v>3581</v>
      </c>
      <c r="BK6" s="3" t="s">
        <v>3625</v>
      </c>
      <c r="BL6" s="3" t="s">
        <v>3624</v>
      </c>
      <c r="BM6" s="3" t="s">
        <v>3940</v>
      </c>
      <c r="BN6" s="3" t="s">
        <v>3941</v>
      </c>
      <c r="BO6" s="3" t="s">
        <v>3626</v>
      </c>
    </row>
    <row r="7" spans="1:68" ht="15.75" thickBot="1" x14ac:dyDescent="0.3">
      <c r="A7" s="53">
        <v>5</v>
      </c>
      <c r="B7" s="90">
        <f>IF(E7=1,1,IF('FORMATO ACTUALIZACIÓN DATOS'!AP13="",0,1))</f>
        <v>0</v>
      </c>
      <c r="C7" s="95" t="s">
        <v>3128</v>
      </c>
      <c r="D7" s="54" t="str">
        <f t="shared" si="5"/>
        <v xml:space="preserve"> - Número de Identificación</v>
      </c>
      <c r="E7" s="56">
        <f>'FORMATO ACTUALIZACIÓN DATOS'!AA11</f>
        <v>2</v>
      </c>
      <c r="F7"/>
      <c r="G7"/>
      <c r="H7" s="46" t="s">
        <v>1648</v>
      </c>
      <c r="I7" s="47">
        <v>5</v>
      </c>
      <c r="K7" s="48" t="s">
        <v>7</v>
      </c>
      <c r="L7" s="49">
        <v>21</v>
      </c>
      <c r="M7" s="48" t="s">
        <v>1685</v>
      </c>
      <c r="O7" s="50" t="s">
        <v>1619</v>
      </c>
      <c r="P7" s="55" t="s">
        <v>1607</v>
      </c>
      <c r="T7" s="21" t="s">
        <v>25</v>
      </c>
      <c r="U7" s="22" t="s">
        <v>24</v>
      </c>
      <c r="W7" s="39" t="s">
        <v>636</v>
      </c>
      <c r="X7" s="40" t="s">
        <v>635</v>
      </c>
      <c r="AB7" s="71" t="s">
        <v>513</v>
      </c>
      <c r="AC7" s="72" t="s">
        <v>512</v>
      </c>
      <c r="AD7" s="73" t="str">
        <f t="shared" si="2"/>
        <v>05-6</v>
      </c>
      <c r="AE7" s="74">
        <f t="shared" si="3"/>
        <v>6</v>
      </c>
      <c r="AF7" s="71" t="s">
        <v>519</v>
      </c>
      <c r="AG7" s="73" t="s">
        <v>80</v>
      </c>
      <c r="AI7" s="41">
        <v>6</v>
      </c>
      <c r="AJ7" s="42" t="str">
        <f t="shared" si="4"/>
        <v>-6</v>
      </c>
      <c r="AK7" s="42" t="str">
        <f t="shared" si="0"/>
        <v/>
      </c>
      <c r="AL7" s="43" t="str">
        <f t="shared" si="1"/>
        <v/>
      </c>
      <c r="AN7" s="235" t="s">
        <v>3652</v>
      </c>
      <c r="AO7" s="235" t="s">
        <v>3652</v>
      </c>
      <c r="AP7" s="83"/>
      <c r="AQ7" s="235">
        <v>23</v>
      </c>
      <c r="AS7" s="3">
        <v>119</v>
      </c>
      <c r="AU7" s="65" t="s">
        <v>2128</v>
      </c>
      <c r="AV7" s="3">
        <v>0</v>
      </c>
      <c r="AX7" s="3" t="s">
        <v>2119</v>
      </c>
      <c r="AY7" s="65" t="s">
        <v>2120</v>
      </c>
      <c r="BA7" s="109" t="s">
        <v>3948</v>
      </c>
      <c r="BB7" s="183">
        <v>1172001</v>
      </c>
      <c r="BE7" s="146" t="str">
        <f>IF(AND('FORMATO ACTUALIZACIÓN DATOS'!BA61="",,'FORMATO ACTUALIZACIÓN DATOS'!BA64="")=TRUE,"SI","NO")</f>
        <v>NO</v>
      </c>
      <c r="BF7" s="42"/>
      <c r="BG7" s="43"/>
      <c r="BI7" s="3" t="s">
        <v>3496</v>
      </c>
      <c r="BJ7" s="100">
        <f>'FORMATO ACTUALIZACIÓN DATOS'!A50</f>
        <v>0</v>
      </c>
      <c r="BK7" s="180">
        <f>BJ7*0.1</f>
        <v>0</v>
      </c>
      <c r="BL7" s="100" cm="1">
        <f t="array" ref="BL7">Valor_con_IVA[UVT]*32</f>
        <v>1675968</v>
      </c>
      <c r="BM7" s="180">
        <f>MIN(BK7,BL7)</f>
        <v>0</v>
      </c>
      <c r="BN7" s="100" cm="1">
        <f t="array" ref="BN7">384*Valor_con_IVA[UVT]</f>
        <v>20111616</v>
      </c>
    </row>
    <row r="8" spans="1:68" ht="15.75" thickBot="1" x14ac:dyDescent="0.3">
      <c r="A8" s="53" t="s">
        <v>3641</v>
      </c>
      <c r="B8" s="90">
        <f>'FORMATO ACTUALIZACIÓN DATOS'!R13</f>
        <v>0</v>
      </c>
      <c r="C8" s="95" t="s">
        <v>3484</v>
      </c>
      <c r="D8" s="54" t="str">
        <f t="shared" si="5"/>
        <v xml:space="preserve"> - Verificar el Número  de Identificación</v>
      </c>
      <c r="F8"/>
      <c r="G8"/>
      <c r="H8" s="46" t="s">
        <v>1649</v>
      </c>
      <c r="I8" s="47">
        <v>6</v>
      </c>
      <c r="K8" s="48" t="s">
        <v>8</v>
      </c>
      <c r="L8" s="49">
        <v>22</v>
      </c>
      <c r="M8" s="48" t="s">
        <v>1683</v>
      </c>
      <c r="O8" s="50" t="s">
        <v>1620</v>
      </c>
      <c r="P8" s="55" t="s">
        <v>1621</v>
      </c>
      <c r="T8" s="21" t="s">
        <v>27</v>
      </c>
      <c r="U8" s="22" t="s">
        <v>26</v>
      </c>
      <c r="W8" s="39" t="s">
        <v>660</v>
      </c>
      <c r="X8" s="40" t="s">
        <v>659</v>
      </c>
      <c r="AB8" s="71" t="s">
        <v>513</v>
      </c>
      <c r="AC8" s="72" t="s">
        <v>512</v>
      </c>
      <c r="AD8" s="73" t="str">
        <f t="shared" si="2"/>
        <v>05-7</v>
      </c>
      <c r="AE8" s="74">
        <f t="shared" si="3"/>
        <v>7</v>
      </c>
      <c r="AF8" s="71" t="s">
        <v>520</v>
      </c>
      <c r="AG8" s="73" t="s">
        <v>1691</v>
      </c>
      <c r="AI8" s="41">
        <v>7</v>
      </c>
      <c r="AJ8" s="42" t="str">
        <f t="shared" si="4"/>
        <v>-7</v>
      </c>
      <c r="AK8" s="42" t="str">
        <f t="shared" si="0"/>
        <v/>
      </c>
      <c r="AL8" s="43" t="str">
        <f t="shared" si="1"/>
        <v/>
      </c>
      <c r="AN8" s="235" t="s">
        <v>5609</v>
      </c>
      <c r="AO8" s="235" t="s">
        <v>5609</v>
      </c>
      <c r="AP8" s="83"/>
      <c r="AQ8" s="235">
        <v>40</v>
      </c>
      <c r="AS8" s="3">
        <v>121</v>
      </c>
      <c r="AU8" s="65" t="s">
        <v>3143</v>
      </c>
      <c r="AV8" s="3">
        <v>0</v>
      </c>
      <c r="AX8" s="3" t="s">
        <v>2121</v>
      </c>
      <c r="AY8" s="65" t="s">
        <v>2122</v>
      </c>
      <c r="BA8" s="108" t="s">
        <v>3949</v>
      </c>
      <c r="BB8" s="182">
        <v>1174201</v>
      </c>
      <c r="BE8" s="146" t="str">
        <f>IF(AND('FORMATO ACTUALIZACIÓN DATOS'!BC61="",'FORMATO ACTUALIZACIÓN DATOS'!BC64="")=TRUE,"SI","NO")</f>
        <v>SI</v>
      </c>
      <c r="BF8" s="508" t="s">
        <v>3919</v>
      </c>
      <c r="BG8" s="509"/>
      <c r="BI8" s="3" t="s">
        <v>3942</v>
      </c>
      <c r="BJ8" s="181">
        <f>BJ7</f>
        <v>0</v>
      </c>
      <c r="BK8" s="100" cm="1">
        <f t="array" ref="BK8">16*12*Valor_con_IVA[UVT]</f>
        <v>10055808</v>
      </c>
      <c r="BL8" s="180">
        <f>BK8/12</f>
        <v>837984</v>
      </c>
      <c r="BM8" s="100">
        <f>MIN(BL8,'FORMATO DEDUCCIONES'!Y37/12)</f>
        <v>0</v>
      </c>
      <c r="BO8" s="100">
        <f>BL9/12</f>
        <v>436450</v>
      </c>
    </row>
    <row r="9" spans="1:68" ht="15.75" thickBot="1" x14ac:dyDescent="0.3">
      <c r="A9" s="53">
        <v>6</v>
      </c>
      <c r="B9" s="90">
        <f>IF(E7=1,1,IF('FORMATO ACTUALIZACIÓN DATOS'!A16="",0,1))</f>
        <v>0</v>
      </c>
      <c r="C9" s="95" t="s">
        <v>3117</v>
      </c>
      <c r="D9" s="54" t="str">
        <f t="shared" si="5"/>
        <v xml:space="preserve"> - Primer Apellido</v>
      </c>
      <c r="F9"/>
      <c r="G9"/>
      <c r="H9" s="46" t="s">
        <v>1650</v>
      </c>
      <c r="I9" s="47">
        <v>7</v>
      </c>
      <c r="K9" s="48" t="s">
        <v>9</v>
      </c>
      <c r="L9" s="49">
        <v>33</v>
      </c>
      <c r="M9" s="48" t="s">
        <v>1685</v>
      </c>
      <c r="O9" s="50" t="s">
        <v>1622</v>
      </c>
      <c r="P9" s="55" t="s">
        <v>1623</v>
      </c>
      <c r="T9" s="21" t="s">
        <v>29</v>
      </c>
      <c r="U9" s="22" t="s">
        <v>28</v>
      </c>
      <c r="W9" s="39" t="s">
        <v>663</v>
      </c>
      <c r="X9" s="40" t="s">
        <v>662</v>
      </c>
      <c r="AB9" s="71" t="s">
        <v>513</v>
      </c>
      <c r="AC9" s="72" t="s">
        <v>512</v>
      </c>
      <c r="AD9" s="73" t="str">
        <f t="shared" si="2"/>
        <v>05-8</v>
      </c>
      <c r="AE9" s="74">
        <f t="shared" si="3"/>
        <v>8</v>
      </c>
      <c r="AF9" s="71" t="s">
        <v>521</v>
      </c>
      <c r="AG9" s="73" t="s">
        <v>1692</v>
      </c>
      <c r="AI9" s="41">
        <v>8</v>
      </c>
      <c r="AJ9" s="42" t="str">
        <f t="shared" si="4"/>
        <v>-8</v>
      </c>
      <c r="AK9" s="42" t="str">
        <f t="shared" si="0"/>
        <v/>
      </c>
      <c r="AL9" s="43" t="str">
        <f t="shared" si="1"/>
        <v/>
      </c>
      <c r="AN9" s="235" t="s">
        <v>5610</v>
      </c>
      <c r="AO9" s="235" t="s">
        <v>5610</v>
      </c>
      <c r="AP9" s="83"/>
      <c r="AQ9" s="235">
        <v>19</v>
      </c>
      <c r="AS9" s="3">
        <v>122</v>
      </c>
      <c r="AU9" s="65" t="s">
        <v>3144</v>
      </c>
      <c r="AV9" s="3">
        <v>0</v>
      </c>
      <c r="AX9" s="3" t="s">
        <v>2123</v>
      </c>
      <c r="AY9" s="65" t="s">
        <v>2124</v>
      </c>
      <c r="BA9" s="109" t="s">
        <v>3950</v>
      </c>
      <c r="BB9" s="183">
        <v>1181001</v>
      </c>
      <c r="BE9" s="146" t="str">
        <f>CONCATENATE('FORMATO ACTUALIZACIÓN DATOS'!BA61,'FORMATO ACTUALIZACIÓN DATOS'!BC61)</f>
        <v/>
      </c>
      <c r="BF9" s="508" t="s">
        <v>3920</v>
      </c>
      <c r="BG9" s="509"/>
      <c r="BI9" s="3" t="s">
        <v>3627</v>
      </c>
      <c r="BJ9" s="181">
        <f>BJ8</f>
        <v>0</v>
      </c>
      <c r="BK9" s="100">
        <f>'FORMATO DEDUCCIONES'!Y48/12</f>
        <v>0</v>
      </c>
      <c r="BL9" s="180" cm="1">
        <f t="array" ref="BL9">100*Valor_con_IVA[UVT]</f>
        <v>5237400</v>
      </c>
      <c r="BM9" s="181">
        <f>MIN(BK9,BL9)</f>
        <v>0</v>
      </c>
    </row>
    <row r="10" spans="1:68" ht="15.75" thickBot="1" x14ac:dyDescent="0.3">
      <c r="A10" s="53">
        <v>7</v>
      </c>
      <c r="B10" s="90">
        <f>IF(E7=1,1,IF('FORMATO ACTUALIZACIÓN DATOS'!Q16="",0,1))</f>
        <v>0</v>
      </c>
      <c r="C10" s="95" t="s">
        <v>3119</v>
      </c>
      <c r="D10" s="54" t="str">
        <f t="shared" si="5"/>
        <v xml:space="preserve"> - Primer Nombre</v>
      </c>
      <c r="F10"/>
      <c r="G10"/>
      <c r="H10" s="46" t="s">
        <v>1651</v>
      </c>
      <c r="I10" s="47">
        <v>8</v>
      </c>
      <c r="K10" s="48" t="s">
        <v>10</v>
      </c>
      <c r="L10" s="49">
        <v>41</v>
      </c>
      <c r="M10" s="48" t="s">
        <v>1685</v>
      </c>
      <c r="O10" s="50" t="s">
        <v>1624</v>
      </c>
      <c r="P10" s="55" t="s">
        <v>3644</v>
      </c>
      <c r="T10" s="21" t="s">
        <v>31</v>
      </c>
      <c r="U10" s="22" t="s">
        <v>30</v>
      </c>
      <c r="W10" s="39" t="s">
        <v>710</v>
      </c>
      <c r="X10" s="40" t="s">
        <v>709</v>
      </c>
      <c r="AB10" s="71" t="s">
        <v>513</v>
      </c>
      <c r="AC10" s="72" t="s">
        <v>512</v>
      </c>
      <c r="AD10" s="73" t="str">
        <f t="shared" si="2"/>
        <v>05-9</v>
      </c>
      <c r="AE10" s="74">
        <f t="shared" si="3"/>
        <v>9</v>
      </c>
      <c r="AF10" s="71" t="s">
        <v>522</v>
      </c>
      <c r="AG10" s="73" t="s">
        <v>1693</v>
      </c>
      <c r="AI10" s="41">
        <v>9</v>
      </c>
      <c r="AJ10" s="42" t="str">
        <f t="shared" si="4"/>
        <v>-9</v>
      </c>
      <c r="AK10" s="42" t="str">
        <f t="shared" si="0"/>
        <v/>
      </c>
      <c r="AL10" s="43" t="str">
        <f t="shared" si="1"/>
        <v/>
      </c>
      <c r="AN10" s="235" t="s">
        <v>5611</v>
      </c>
      <c r="AO10" s="235" t="s">
        <v>5611</v>
      </c>
      <c r="AP10" s="83"/>
      <c r="AQ10" s="235">
        <v>32</v>
      </c>
      <c r="AS10" s="3">
        <v>123</v>
      </c>
      <c r="AU10" s="65" t="s">
        <v>3145</v>
      </c>
      <c r="AV10" s="3">
        <v>0</v>
      </c>
      <c r="AX10" s="3" t="s">
        <v>2125</v>
      </c>
      <c r="AY10" s="65" t="s">
        <v>2126</v>
      </c>
      <c r="BA10" s="108" t="s">
        <v>3951</v>
      </c>
      <c r="BB10" s="182">
        <v>1454101</v>
      </c>
      <c r="BE10" s="146">
        <f>LEN(BE9)</f>
        <v>0</v>
      </c>
      <c r="BF10" s="42"/>
      <c r="BG10" s="43"/>
    </row>
    <row r="11" spans="1:68" ht="15.75" thickBot="1" x14ac:dyDescent="0.3">
      <c r="A11" s="53">
        <v>8</v>
      </c>
      <c r="B11" s="90">
        <f>IF(AND('FORMATO ACTUALIZACIÓN DATOS'!Q18="x",'FORMATO ACTUALIZACIÓN DATOS'!S18="x"),0,IF(OR('FORMATO ACTUALIZACIÓN DATOS'!Q18="x",'FORMATO ACTUALIZACIÓN DATOS'!S18="x"),1,0))</f>
        <v>0</v>
      </c>
      <c r="C11" s="95" t="s">
        <v>3498</v>
      </c>
      <c r="D11" s="54" t="str">
        <f t="shared" si="5"/>
        <v xml:space="preserve"> - Indicar SI es o NO pensionado</v>
      </c>
      <c r="F11"/>
      <c r="G11"/>
      <c r="H11" s="46" t="s">
        <v>1652</v>
      </c>
      <c r="I11" s="57">
        <v>9</v>
      </c>
      <c r="K11" s="48" t="s">
        <v>11</v>
      </c>
      <c r="L11" s="49">
        <v>42</v>
      </c>
      <c r="M11" s="48" t="s">
        <v>1685</v>
      </c>
      <c r="O11" s="50" t="s">
        <v>3570</v>
      </c>
      <c r="P11" s="55" t="s">
        <v>3644</v>
      </c>
      <c r="T11" s="21" t="s">
        <v>33</v>
      </c>
      <c r="U11" s="22" t="s">
        <v>32</v>
      </c>
      <c r="W11" s="39" t="s">
        <v>832</v>
      </c>
      <c r="X11" s="40" t="s">
        <v>831</v>
      </c>
      <c r="AB11" s="71" t="s">
        <v>513</v>
      </c>
      <c r="AC11" s="72" t="s">
        <v>512</v>
      </c>
      <c r="AD11" s="73" t="str">
        <f t="shared" si="2"/>
        <v>05-10</v>
      </c>
      <c r="AE11" s="74">
        <f t="shared" si="3"/>
        <v>10</v>
      </c>
      <c r="AF11" s="71" t="s">
        <v>523</v>
      </c>
      <c r="AG11" s="73" t="s">
        <v>24</v>
      </c>
      <c r="AI11" s="41">
        <v>10</v>
      </c>
      <c r="AJ11" s="42" t="str">
        <f t="shared" si="4"/>
        <v>-10</v>
      </c>
      <c r="AK11" s="42" t="str">
        <f t="shared" si="0"/>
        <v/>
      </c>
      <c r="AL11" s="43" t="str">
        <f t="shared" si="1"/>
        <v/>
      </c>
      <c r="AN11" s="235" t="s">
        <v>3681</v>
      </c>
      <c r="AO11" s="235" t="s">
        <v>3681</v>
      </c>
      <c r="AP11" s="83"/>
      <c r="AQ11" s="235">
        <v>12</v>
      </c>
      <c r="AS11" s="3">
        <v>124</v>
      </c>
      <c r="AU11" s="65" t="s">
        <v>3146</v>
      </c>
      <c r="AV11" s="3">
        <v>0</v>
      </c>
      <c r="AX11" s="3" t="s">
        <v>2127</v>
      </c>
      <c r="AY11" s="65" t="s">
        <v>2128</v>
      </c>
      <c r="BA11" s="109" t="s">
        <v>3952</v>
      </c>
      <c r="BB11" s="183">
        <v>1454201</v>
      </c>
      <c r="BE11" s="146" t="str">
        <f>CONCATENATE('FORMATO ACTUALIZACIÓN DATOS'!BA64,'FORMATO ACTUALIZACIÓN DATOS'!BC64)</f>
        <v/>
      </c>
      <c r="BF11" s="508" t="s">
        <v>3920</v>
      </c>
      <c r="BG11" s="509"/>
    </row>
    <row r="12" spans="1:68" ht="15.75" thickBot="1" x14ac:dyDescent="0.3">
      <c r="A12" s="53">
        <v>9</v>
      </c>
      <c r="B12" s="90">
        <f>IF('FORMATO ACTUALIZACIÓN DATOS'!AC18="",0,1)</f>
        <v>0</v>
      </c>
      <c r="C12" s="95" t="s">
        <v>3516</v>
      </c>
      <c r="D12" s="54" t="str">
        <f t="shared" si="5"/>
        <v xml:space="preserve"> - Indique la Dirección tal y como aparece en el RUT</v>
      </c>
      <c r="F12"/>
      <c r="G12"/>
      <c r="H12" s="47" t="s">
        <v>1653</v>
      </c>
      <c r="K12" s="48" t="s">
        <v>12</v>
      </c>
      <c r="L12" s="49">
        <v>43</v>
      </c>
      <c r="M12" s="48" t="s">
        <v>1685</v>
      </c>
      <c r="O12" s="50" t="s">
        <v>1625</v>
      </c>
      <c r="P12" s="55" t="s">
        <v>1626</v>
      </c>
      <c r="T12" s="21" t="s">
        <v>35</v>
      </c>
      <c r="U12" s="22" t="s">
        <v>34</v>
      </c>
      <c r="W12" s="39" t="s">
        <v>860</v>
      </c>
      <c r="X12" s="40" t="s">
        <v>859</v>
      </c>
      <c r="AB12" s="71" t="s">
        <v>513</v>
      </c>
      <c r="AC12" s="72" t="s">
        <v>512</v>
      </c>
      <c r="AD12" s="73" t="str">
        <f t="shared" si="2"/>
        <v>05-11</v>
      </c>
      <c r="AE12" s="74">
        <f t="shared" si="3"/>
        <v>11</v>
      </c>
      <c r="AF12" s="71" t="s">
        <v>524</v>
      </c>
      <c r="AG12" s="73" t="s">
        <v>1694</v>
      </c>
      <c r="AI12" s="41">
        <v>11</v>
      </c>
      <c r="AJ12" s="42" t="str">
        <f t="shared" si="4"/>
        <v>-11</v>
      </c>
      <c r="AK12" s="42" t="str">
        <f t="shared" si="0"/>
        <v/>
      </c>
      <c r="AL12" s="43" t="str">
        <f t="shared" si="1"/>
        <v/>
      </c>
      <c r="AN12" s="235" t="s">
        <v>3673</v>
      </c>
      <c r="AO12" s="235" t="s">
        <v>3673</v>
      </c>
      <c r="AP12" s="83"/>
      <c r="AQ12" s="235">
        <v>9</v>
      </c>
      <c r="AS12" s="3">
        <v>125</v>
      </c>
      <c r="AU12" s="65" t="s">
        <v>3147</v>
      </c>
      <c r="AV12" s="3">
        <v>0</v>
      </c>
      <c r="AX12" s="3" t="s">
        <v>2129</v>
      </c>
      <c r="AY12" s="65" t="s">
        <v>2130</v>
      </c>
      <c r="BA12" s="108" t="s">
        <v>3953</v>
      </c>
      <c r="BB12" s="182">
        <v>1461001</v>
      </c>
      <c r="BE12" s="146">
        <f>LEN(BE11)</f>
        <v>0</v>
      </c>
      <c r="BF12" s="42"/>
      <c r="BG12" s="43"/>
      <c r="BI12" s="160">
        <f ca="1">'FORMATO DEDUCCIONES'!W15</f>
        <v>46204</v>
      </c>
      <c r="BJ12" s="3">
        <f ca="1">IF(BI13&lt;BI12,BJ13,IF(BI12&lt;BI13,2021,2022))</f>
        <v>2025</v>
      </c>
      <c r="BK12" s="3">
        <f ca="1">MIN(BJ12:BJ16)</f>
        <v>2025</v>
      </c>
    </row>
    <row r="13" spans="1:68" ht="30.75" thickBot="1" x14ac:dyDescent="0.3">
      <c r="A13" s="53">
        <v>10</v>
      </c>
      <c r="B13" s="90">
        <f>IF('FORMATO ACTUALIZACIÓN DATOS'!AI21="",0,1)</f>
        <v>0</v>
      </c>
      <c r="C13" s="95" t="s">
        <v>3129</v>
      </c>
      <c r="D13" s="54" t="str">
        <f t="shared" si="5"/>
        <v xml:space="preserve"> - País</v>
      </c>
      <c r="F13"/>
      <c r="G13"/>
      <c r="H13" s="47" t="s">
        <v>1654</v>
      </c>
      <c r="K13" s="48" t="s">
        <v>13</v>
      </c>
      <c r="L13" s="49">
        <v>44</v>
      </c>
      <c r="M13" s="48" t="s">
        <v>1685</v>
      </c>
      <c r="O13" s="50" t="s">
        <v>1629</v>
      </c>
      <c r="P13" s="55" t="s">
        <v>1630</v>
      </c>
      <c r="T13" s="21" t="s">
        <v>37</v>
      </c>
      <c r="U13" s="22" t="s">
        <v>36</v>
      </c>
      <c r="W13" s="39" t="s">
        <v>1531</v>
      </c>
      <c r="X13" s="40" t="s">
        <v>1530</v>
      </c>
      <c r="AB13" s="71" t="s">
        <v>513</v>
      </c>
      <c r="AC13" s="72" t="s">
        <v>512</v>
      </c>
      <c r="AD13" s="73" t="str">
        <f t="shared" si="2"/>
        <v>05-12</v>
      </c>
      <c r="AE13" s="74">
        <f t="shared" si="3"/>
        <v>12</v>
      </c>
      <c r="AF13" s="71" t="s">
        <v>525</v>
      </c>
      <c r="AG13" s="73" t="s">
        <v>1695</v>
      </c>
      <c r="AI13" s="41">
        <v>12</v>
      </c>
      <c r="AJ13" s="42" t="str">
        <f t="shared" si="4"/>
        <v>-12</v>
      </c>
      <c r="AK13" s="42" t="str">
        <f t="shared" si="0"/>
        <v/>
      </c>
      <c r="AL13" s="43" t="str">
        <f t="shared" si="1"/>
        <v/>
      </c>
      <c r="AN13" s="235" t="s">
        <v>3660</v>
      </c>
      <c r="AO13" s="235" t="s">
        <v>3660</v>
      </c>
      <c r="AP13" s="83"/>
      <c r="AQ13" s="235">
        <v>65</v>
      </c>
      <c r="AS13" s="3">
        <v>126</v>
      </c>
      <c r="AU13" s="65" t="s">
        <v>3148</v>
      </c>
      <c r="AV13" s="3">
        <v>0</v>
      </c>
      <c r="AX13" s="3" t="s">
        <v>2131</v>
      </c>
      <c r="AY13" s="65" t="s">
        <v>2132</v>
      </c>
      <c r="BA13" s="109" t="s">
        <v>3954</v>
      </c>
      <c r="BB13" s="183">
        <v>1461002</v>
      </c>
      <c r="BE13" s="150">
        <f>BE12+BE10</f>
        <v>0</v>
      </c>
      <c r="BF13" s="151"/>
      <c r="BG13" s="152"/>
      <c r="BI13" s="160">
        <v>45017</v>
      </c>
      <c r="BJ13" s="3">
        <f ca="1">IF(BI14&lt;BI12,BJ14,IF(BI12&lt;BI14,2022,2023))</f>
        <v>2025</v>
      </c>
    </row>
    <row r="14" spans="1:68" ht="15.75" thickBot="1" x14ac:dyDescent="0.3">
      <c r="A14" s="53">
        <v>11</v>
      </c>
      <c r="B14" s="90">
        <f>IF(OR('FORMATO ACTUALIZACIÓN DATOS'!P21="169",'FORMATO ACTUALIZACIÓN DATOS'!P21=""),IF('FORMATO ACTUALIZACIÓN DATOS'!T21="",0,1),1)</f>
        <v>0</v>
      </c>
      <c r="C14" s="95" t="s">
        <v>1627</v>
      </c>
      <c r="D14" s="54" t="str">
        <f t="shared" si="5"/>
        <v xml:space="preserve"> - Departamento</v>
      </c>
      <c r="F14"/>
      <c r="G14"/>
      <c r="H14" s="47" t="s">
        <v>1655</v>
      </c>
      <c r="K14" s="52" t="s">
        <v>14</v>
      </c>
      <c r="L14" s="58">
        <v>46</v>
      </c>
      <c r="M14" s="52" t="s">
        <v>1685</v>
      </c>
      <c r="O14" s="50" t="s">
        <v>1633</v>
      </c>
      <c r="P14" s="55" t="s">
        <v>1634</v>
      </c>
      <c r="T14" s="21" t="s">
        <v>39</v>
      </c>
      <c r="U14" s="22" t="s">
        <v>38</v>
      </c>
      <c r="W14" s="39" t="s">
        <v>875</v>
      </c>
      <c r="X14" s="40" t="s">
        <v>874</v>
      </c>
      <c r="AB14" s="71" t="s">
        <v>513</v>
      </c>
      <c r="AC14" s="72" t="s">
        <v>512</v>
      </c>
      <c r="AD14" s="73" t="str">
        <f t="shared" si="2"/>
        <v>05-13</v>
      </c>
      <c r="AE14" s="74">
        <f t="shared" si="3"/>
        <v>13</v>
      </c>
      <c r="AF14" s="71" t="s">
        <v>526</v>
      </c>
      <c r="AG14" s="73" t="s">
        <v>1696</v>
      </c>
      <c r="AI14" s="41">
        <v>13</v>
      </c>
      <c r="AJ14" s="42" t="str">
        <f t="shared" si="4"/>
        <v>-13</v>
      </c>
      <c r="AK14" s="42" t="str">
        <f t="shared" si="0"/>
        <v/>
      </c>
      <c r="AL14" s="43" t="str">
        <f t="shared" si="1"/>
        <v/>
      </c>
      <c r="AN14" s="235" t="s">
        <v>3674</v>
      </c>
      <c r="AO14" s="235" t="s">
        <v>3674</v>
      </c>
      <c r="AP14" s="83"/>
      <c r="AQ14" s="235">
        <v>52</v>
      </c>
      <c r="AS14" s="3">
        <v>127</v>
      </c>
      <c r="AU14" s="65" t="s">
        <v>3149</v>
      </c>
      <c r="AV14" s="3">
        <v>0</v>
      </c>
      <c r="AX14" s="3" t="s">
        <v>2133</v>
      </c>
      <c r="AY14" s="65" t="s">
        <v>2134</v>
      </c>
      <c r="BA14" s="108" t="s">
        <v>3955</v>
      </c>
      <c r="BB14" s="182">
        <v>1462001</v>
      </c>
      <c r="BE14" s="156" t="str">
        <f>IF(BE13=2,IF(AND(BE6="NO",BE7="NO")=TRUE,IF(BE3="VERDADERO","D",IF(OR('FORMATO ACTUALIZACIÓN DATOS'!BC61="X",'FORMATO ACTUALIZACIÓN DATOS'!BC64="X")=TRUE,"N","ERROR 3")),"ERROR 1"),"ERROR 4")</f>
        <v>ERROR 4</v>
      </c>
      <c r="BF14" s="154"/>
      <c r="BG14" s="155"/>
      <c r="BI14" s="160">
        <v>45383</v>
      </c>
      <c r="BJ14" s="3">
        <f ca="1">IF(BI15&lt;BI12,BJ15,IF(BI12&lt;BI15,2023,2024))</f>
        <v>2025</v>
      </c>
    </row>
    <row r="15" spans="1:68" ht="15.75" thickBot="1" x14ac:dyDescent="0.3">
      <c r="A15" s="53">
        <v>12</v>
      </c>
      <c r="B15" s="90">
        <f>IF(OR('FORMATO ACTUALIZACIÓN DATOS'!P21="169",'FORMATO ACTUALIZACIÓN DATOS'!P21=""),IF('FORMATO ACTUALIZACIÓN DATOS'!AM21="",0,1),1)</f>
        <v>0</v>
      </c>
      <c r="C15" s="95" t="s">
        <v>3499</v>
      </c>
      <c r="D15" s="54" t="str">
        <f t="shared" si="5"/>
        <v xml:space="preserve"> - Municipio</v>
      </c>
      <c r="F15"/>
      <c r="G15"/>
      <c r="H15" s="47" t="s">
        <v>1656</v>
      </c>
      <c r="O15" s="50" t="s">
        <v>1635</v>
      </c>
      <c r="P15" s="55" t="s">
        <v>1636</v>
      </c>
      <c r="T15" s="21" t="s">
        <v>41</v>
      </c>
      <c r="U15" s="22" t="s">
        <v>40</v>
      </c>
      <c r="W15" s="39" t="s">
        <v>914</v>
      </c>
      <c r="X15" s="40" t="s">
        <v>913</v>
      </c>
      <c r="AB15" s="71" t="s">
        <v>513</v>
      </c>
      <c r="AC15" s="72" t="s">
        <v>512</v>
      </c>
      <c r="AD15" s="73" t="str">
        <f t="shared" si="2"/>
        <v>05-14</v>
      </c>
      <c r="AE15" s="74">
        <f t="shared" si="3"/>
        <v>14</v>
      </c>
      <c r="AF15" s="71" t="s">
        <v>527</v>
      </c>
      <c r="AG15" s="73" t="s">
        <v>1697</v>
      </c>
      <c r="AI15" s="41">
        <v>14</v>
      </c>
      <c r="AJ15" s="42" t="str">
        <f t="shared" si="4"/>
        <v>-14</v>
      </c>
      <c r="AK15" s="42" t="str">
        <f t="shared" si="0"/>
        <v/>
      </c>
      <c r="AL15" s="43" t="str">
        <f t="shared" si="1"/>
        <v/>
      </c>
      <c r="AN15" s="235" t="s">
        <v>3682</v>
      </c>
      <c r="AO15" s="235" t="s">
        <v>3682</v>
      </c>
      <c r="AP15" s="83"/>
      <c r="AQ15" s="235">
        <v>998</v>
      </c>
      <c r="AS15" s="3">
        <v>128</v>
      </c>
      <c r="AU15" s="65" t="s">
        <v>3150</v>
      </c>
      <c r="AV15" s="3">
        <v>0</v>
      </c>
      <c r="AX15" s="3" t="s">
        <v>2135</v>
      </c>
      <c r="AY15" s="65" t="s">
        <v>2136</v>
      </c>
      <c r="BA15" s="109" t="s">
        <v>3956</v>
      </c>
      <c r="BB15" s="183">
        <v>1462002</v>
      </c>
      <c r="BE15" s="157" t="b">
        <f>IF(AND('FORMATO ACTUALIZACIÓN DATOS'!BA67="X",'FORMATO ACTUALIZACIÓN DATOS'!BC67="X")=TRUE,"ERROR",IF('FORMATO ACTUALIZACIÓN DATOS'!BA67="X","SY",IF('FORMATO ACTUALIZACIÓN DATOS'!BC67="X","")))</f>
        <v>0</v>
      </c>
      <c r="BF15" s="516" t="s">
        <v>3921</v>
      </c>
      <c r="BG15" s="517"/>
      <c r="BI15" s="160">
        <v>45748</v>
      </c>
      <c r="BJ15" s="3">
        <f ca="1">IF(BI16&lt;BI12,BJ16,IF(BI12&lt;BI16,2024,2025))</f>
        <v>2025</v>
      </c>
    </row>
    <row r="16" spans="1:68" ht="19.5" thickBot="1" x14ac:dyDescent="0.3">
      <c r="A16" s="53">
        <v>13</v>
      </c>
      <c r="B16" s="90">
        <f>IF('FORMATO ACTUALIZACIÓN DATOS'!A24="",0,1)</f>
        <v>1</v>
      </c>
      <c r="C16" s="95" t="s">
        <v>3487</v>
      </c>
      <c r="D16" s="54" t="str">
        <f t="shared" si="5"/>
        <v/>
      </c>
      <c r="F16"/>
      <c r="G16"/>
      <c r="H16" s="47" t="s">
        <v>1657</v>
      </c>
      <c r="K16" s="11" t="s">
        <v>1</v>
      </c>
      <c r="L16" s="11" t="s">
        <v>1643</v>
      </c>
      <c r="O16" s="50" t="s">
        <v>1638</v>
      </c>
      <c r="P16" s="55" t="s">
        <v>1639</v>
      </c>
      <c r="T16" s="21" t="s">
        <v>43</v>
      </c>
      <c r="U16" s="22" t="s">
        <v>42</v>
      </c>
      <c r="W16" s="39" t="s">
        <v>1081</v>
      </c>
      <c r="X16" s="40" t="s">
        <v>1080</v>
      </c>
      <c r="AB16" s="71" t="s">
        <v>513</v>
      </c>
      <c r="AC16" s="72" t="s">
        <v>512</v>
      </c>
      <c r="AD16" s="73" t="str">
        <f t="shared" si="2"/>
        <v>05-15</v>
      </c>
      <c r="AE16" s="74">
        <f t="shared" si="3"/>
        <v>15</v>
      </c>
      <c r="AF16" s="71" t="s">
        <v>35</v>
      </c>
      <c r="AG16" s="73" t="s">
        <v>1698</v>
      </c>
      <c r="AI16" s="41">
        <v>15</v>
      </c>
      <c r="AJ16" s="42" t="str">
        <f t="shared" si="4"/>
        <v>-15</v>
      </c>
      <c r="AK16" s="42" t="str">
        <f t="shared" si="0"/>
        <v/>
      </c>
      <c r="AL16" s="43" t="str">
        <f t="shared" si="1"/>
        <v/>
      </c>
      <c r="AN16" s="235" t="s">
        <v>5612</v>
      </c>
      <c r="AO16" s="235" t="s">
        <v>5612</v>
      </c>
      <c r="AP16" s="83"/>
      <c r="AQ16" s="235">
        <v>999</v>
      </c>
      <c r="AS16" s="3">
        <v>129</v>
      </c>
      <c r="AU16" s="65" t="s">
        <v>2146</v>
      </c>
      <c r="AV16" s="3">
        <v>0</v>
      </c>
      <c r="AX16" s="3" t="s">
        <v>2137</v>
      </c>
      <c r="AY16" s="65" t="s">
        <v>2138</v>
      </c>
      <c r="BA16" s="108" t="s">
        <v>3891</v>
      </c>
      <c r="BB16" s="182">
        <v>1462003</v>
      </c>
      <c r="BE16" s="153" t="s">
        <v>1660</v>
      </c>
      <c r="BF16" s="154" t="s">
        <v>3922</v>
      </c>
      <c r="BG16" s="155" t="s">
        <v>3923</v>
      </c>
      <c r="BI16" s="160">
        <v>46113</v>
      </c>
      <c r="BJ16" s="3">
        <f ca="1">IF(BI17&lt;BI12,BJ17,IF(BI12&lt;BI17,2025,2026))</f>
        <v>2025</v>
      </c>
    </row>
    <row r="17" spans="1:61" ht="30.75" thickBot="1" x14ac:dyDescent="0.3">
      <c r="A17" s="53">
        <v>14</v>
      </c>
      <c r="B17" s="90">
        <f>IF('FORMATO ACTUALIZACIÓN DATOS'!AG26="",0,1)</f>
        <v>0</v>
      </c>
      <c r="C17" s="95" t="s">
        <v>3132</v>
      </c>
      <c r="D17" s="54" t="str">
        <f t="shared" si="5"/>
        <v xml:space="preserve"> - Teléfono 1</v>
      </c>
      <c r="F17"/>
      <c r="G17"/>
      <c r="H17" s="47" t="s">
        <v>1631</v>
      </c>
      <c r="K17" s="59" t="s">
        <v>3642</v>
      </c>
      <c r="L17" s="60">
        <v>1</v>
      </c>
      <c r="O17" s="50" t="s">
        <v>3571</v>
      </c>
      <c r="P17" s="55" t="s">
        <v>3645</v>
      </c>
      <c r="T17" s="21" t="s">
        <v>45</v>
      </c>
      <c r="U17" s="22" t="s">
        <v>44</v>
      </c>
      <c r="W17" s="39" t="s">
        <v>941</v>
      </c>
      <c r="X17" s="40" t="s">
        <v>940</v>
      </c>
      <c r="AB17" s="71" t="s">
        <v>513</v>
      </c>
      <c r="AC17" s="72" t="s">
        <v>512</v>
      </c>
      <c r="AD17" s="73" t="str">
        <f t="shared" si="2"/>
        <v>05-16</v>
      </c>
      <c r="AE17" s="74">
        <f t="shared" si="3"/>
        <v>16</v>
      </c>
      <c r="AF17" s="71" t="s">
        <v>39</v>
      </c>
      <c r="AG17" s="73" t="s">
        <v>34</v>
      </c>
      <c r="AI17" s="41">
        <v>16</v>
      </c>
      <c r="AJ17" s="42" t="str">
        <f t="shared" si="4"/>
        <v>-16</v>
      </c>
      <c r="AK17" s="42" t="str">
        <f t="shared" si="0"/>
        <v/>
      </c>
      <c r="AL17" s="43" t="str">
        <f t="shared" si="1"/>
        <v/>
      </c>
      <c r="AN17" s="235" t="s">
        <v>5613</v>
      </c>
      <c r="AO17" s="235" t="s">
        <v>5613</v>
      </c>
      <c r="AP17" s="83"/>
      <c r="AQ17" s="235">
        <v>997</v>
      </c>
      <c r="AS17" s="3">
        <v>130</v>
      </c>
      <c r="AU17" s="65" t="s">
        <v>3841</v>
      </c>
      <c r="AV17" s="3">
        <v>0</v>
      </c>
      <c r="AX17" s="3" t="s">
        <v>2139</v>
      </c>
      <c r="AY17" s="65" t="s">
        <v>2140</v>
      </c>
      <c r="BA17" s="109" t="s">
        <v>3957</v>
      </c>
      <c r="BB17" s="183">
        <v>1463101</v>
      </c>
      <c r="BE17" s="214" t="str">
        <f>IF(AND('FORMATO ACTUALIZACIÓN DATOS'!BA70="X",'FORMATO ACTUALIZACIÓN DATOS'!BC70="X")=TRUE,"ERROR",IF(AND('FORMATO ACTUALIZACIÓN DATOS'!BA70="",'FORMATO ACTUALIZACIÓN DATOS'!BC70="")=TRUE,"ERROR",""))</f>
        <v>ERROR</v>
      </c>
      <c r="BF17" s="516" t="s">
        <v>5594</v>
      </c>
      <c r="BG17" s="517"/>
      <c r="BI17" s="160">
        <v>46478</v>
      </c>
    </row>
    <row r="18" spans="1:61" ht="15.75" thickBot="1" x14ac:dyDescent="0.3">
      <c r="A18" s="53">
        <v>15</v>
      </c>
      <c r="B18" s="91">
        <f>IF('FORMATO ACTUALIZACIÓN DATOS'!AQ26="",0,1)</f>
        <v>0</v>
      </c>
      <c r="C18" s="96" t="s">
        <v>3133</v>
      </c>
      <c r="D18" s="92" t="str">
        <f t="shared" si="5"/>
        <v xml:space="preserve"> - Teléfono 2</v>
      </c>
      <c r="E18"/>
      <c r="F18"/>
      <c r="G18"/>
      <c r="H18" s="47" t="s">
        <v>1632</v>
      </c>
      <c r="K18" s="61" t="s">
        <v>3485</v>
      </c>
      <c r="L18" s="62">
        <v>2</v>
      </c>
      <c r="O18" s="50" t="s">
        <v>1642</v>
      </c>
      <c r="P18" s="55" t="s">
        <v>3646</v>
      </c>
      <c r="T18" s="21" t="s">
        <v>47</v>
      </c>
      <c r="U18" s="22" t="s">
        <v>46</v>
      </c>
      <c r="W18" s="39" t="s">
        <v>969</v>
      </c>
      <c r="X18" s="40" t="s">
        <v>968</v>
      </c>
      <c r="AB18" s="71" t="s">
        <v>513</v>
      </c>
      <c r="AC18" s="72" t="s">
        <v>512</v>
      </c>
      <c r="AD18" s="73" t="str">
        <f t="shared" si="2"/>
        <v>05-17</v>
      </c>
      <c r="AE18" s="74">
        <f t="shared" si="3"/>
        <v>17</v>
      </c>
      <c r="AF18" s="71" t="s">
        <v>528</v>
      </c>
      <c r="AG18" s="73" t="s">
        <v>1699</v>
      </c>
      <c r="AI18" s="41">
        <v>17</v>
      </c>
      <c r="AJ18" s="42" t="str">
        <f t="shared" si="4"/>
        <v>-17</v>
      </c>
      <c r="AK18" s="42" t="str">
        <f t="shared" si="0"/>
        <v/>
      </c>
      <c r="AL18" s="43" t="str">
        <f t="shared" si="1"/>
        <v/>
      </c>
      <c r="AN18" s="235" t="s">
        <v>3665</v>
      </c>
      <c r="AO18" s="235" t="s">
        <v>3665</v>
      </c>
      <c r="AP18" s="83"/>
      <c r="AQ18" s="235">
        <v>6</v>
      </c>
      <c r="AS18" s="3">
        <v>141</v>
      </c>
      <c r="AU18" s="65" t="s">
        <v>3151</v>
      </c>
      <c r="AV18" s="3">
        <v>0</v>
      </c>
      <c r="AX18" s="3" t="s">
        <v>2141</v>
      </c>
      <c r="AY18" s="65" t="s">
        <v>2142</v>
      </c>
      <c r="BA18" s="108" t="s">
        <v>3958</v>
      </c>
      <c r="BB18" s="182">
        <v>1463102</v>
      </c>
      <c r="BE18" s="214">
        <f>LEN(CONCATENATE('FORMATO ACTUALIZACIÓN DATOS'!BA70,'FORMATO ACTUALIZACIÓN DATOS'!BC70))</f>
        <v>0</v>
      </c>
      <c r="BF18" s="210"/>
      <c r="BG18" s="211"/>
    </row>
    <row r="19" spans="1:61" ht="15.75" thickBot="1" x14ac:dyDescent="0.3">
      <c r="A19" s="53">
        <v>16</v>
      </c>
      <c r="B19" s="88">
        <f>IF('FORMATO ACTUALIZACIÓN DATOS'!M31="",0,1)</f>
        <v>0</v>
      </c>
      <c r="C19" s="94" t="s">
        <v>3110</v>
      </c>
      <c r="D19" s="89" t="str">
        <f t="shared" si="5"/>
        <v xml:space="preserve"> - Banco</v>
      </c>
      <c r="F19"/>
      <c r="G19"/>
      <c r="H19" s="47" t="s">
        <v>1658</v>
      </c>
      <c r="O19" s="61" t="s">
        <v>1640</v>
      </c>
      <c r="P19" s="62" t="s">
        <v>1641</v>
      </c>
      <c r="T19" s="21" t="s">
        <v>49</v>
      </c>
      <c r="U19" s="22" t="s">
        <v>48</v>
      </c>
      <c r="W19" s="39" t="s">
        <v>1574</v>
      </c>
      <c r="X19" s="40" t="s">
        <v>1573</v>
      </c>
      <c r="AB19" s="71" t="s">
        <v>513</v>
      </c>
      <c r="AC19" s="72" t="s">
        <v>512</v>
      </c>
      <c r="AD19" s="73" t="str">
        <f t="shared" si="2"/>
        <v>05-18</v>
      </c>
      <c r="AE19" s="74">
        <f t="shared" si="3"/>
        <v>18</v>
      </c>
      <c r="AF19" s="71" t="s">
        <v>529</v>
      </c>
      <c r="AG19" s="73" t="s">
        <v>1700</v>
      </c>
      <c r="AI19" s="41">
        <v>18</v>
      </c>
      <c r="AJ19" s="42" t="str">
        <f t="shared" si="4"/>
        <v>-18</v>
      </c>
      <c r="AK19" s="42" t="str">
        <f t="shared" si="0"/>
        <v/>
      </c>
      <c r="AL19" s="43" t="str">
        <f t="shared" si="1"/>
        <v/>
      </c>
      <c r="AN19" s="235" t="s">
        <v>3675</v>
      </c>
      <c r="AO19" s="235" t="s">
        <v>3675</v>
      </c>
      <c r="AP19" s="83"/>
      <c r="AQ19" s="235">
        <v>990</v>
      </c>
      <c r="AS19" s="3">
        <v>142</v>
      </c>
      <c r="AU19" s="65" t="s">
        <v>3152</v>
      </c>
      <c r="AV19" s="3">
        <v>0</v>
      </c>
      <c r="AX19" s="3" t="s">
        <v>2143</v>
      </c>
      <c r="AY19" s="65" t="s">
        <v>2144</v>
      </c>
      <c r="BA19" s="109" t="s">
        <v>3959</v>
      </c>
      <c r="BB19" s="183">
        <v>1464101</v>
      </c>
      <c r="BE19" s="513" t="str">
        <f>IF(AND('FORMATO ACTUALIZACIÓN DATOS'!BA70="X",'FORMATO ACTUALIZACIÓN DATOS'!BC70="X")=TRUE,"ERROR",CONCATENATE("N",BE16,BE14,BE2))</f>
        <v>NTERROR 4ERROR</v>
      </c>
      <c r="BF19" s="514"/>
      <c r="BG19" s="515"/>
    </row>
    <row r="20" spans="1:61" ht="15.75" thickBot="1" x14ac:dyDescent="0.3">
      <c r="A20" s="53">
        <v>17</v>
      </c>
      <c r="B20" s="90">
        <f>IF('FORMATO ACTUALIZACIÓN DATOS'!Q31="",0,1)</f>
        <v>0</v>
      </c>
      <c r="C20" s="95" t="s">
        <v>3112</v>
      </c>
      <c r="D20" s="54" t="str">
        <f t="shared" si="5"/>
        <v xml:space="preserve"> - Sucursal</v>
      </c>
      <c r="F20"/>
      <c r="G20"/>
      <c r="H20" s="47" t="s">
        <v>1608</v>
      </c>
      <c r="T20" s="21" t="s">
        <v>51</v>
      </c>
      <c r="U20" s="22" t="s">
        <v>50</v>
      </c>
      <c r="W20" s="39" t="s">
        <v>1584</v>
      </c>
      <c r="X20" s="40" t="s">
        <v>1583</v>
      </c>
      <c r="AB20" s="71" t="s">
        <v>513</v>
      </c>
      <c r="AC20" s="72" t="s">
        <v>512</v>
      </c>
      <c r="AD20" s="73" t="str">
        <f t="shared" si="2"/>
        <v>05-19</v>
      </c>
      <c r="AE20" s="74">
        <f t="shared" si="3"/>
        <v>19</v>
      </c>
      <c r="AF20" s="71" t="s">
        <v>530</v>
      </c>
      <c r="AG20" s="73" t="s">
        <v>58</v>
      </c>
      <c r="AI20" s="41">
        <v>19</v>
      </c>
      <c r="AJ20" s="42" t="str">
        <f t="shared" si="4"/>
        <v>-19</v>
      </c>
      <c r="AK20" s="42" t="str">
        <f t="shared" si="0"/>
        <v/>
      </c>
      <c r="AL20" s="43" t="str">
        <f t="shared" si="1"/>
        <v/>
      </c>
      <c r="AN20" s="235" t="s">
        <v>3683</v>
      </c>
      <c r="AO20" s="235" t="s">
        <v>3683</v>
      </c>
      <c r="AP20" s="83"/>
      <c r="AQ20" s="235">
        <v>800</v>
      </c>
      <c r="AS20" s="3">
        <v>143</v>
      </c>
      <c r="AU20" s="65" t="s">
        <v>3153</v>
      </c>
      <c r="AV20" s="3">
        <v>0</v>
      </c>
      <c r="AX20" s="3" t="s">
        <v>2145</v>
      </c>
      <c r="AY20" s="65" t="s">
        <v>2146</v>
      </c>
      <c r="BA20" s="108" t="s">
        <v>3960</v>
      </c>
      <c r="BB20" s="182">
        <v>1464201</v>
      </c>
    </row>
    <row r="21" spans="1:61" ht="30.75" thickBot="1" x14ac:dyDescent="0.3">
      <c r="A21" s="53">
        <v>18</v>
      </c>
      <c r="B21" s="90">
        <f>IF('FORMATO ACTUALIZACIÓN DATOS'!AE31="",0,1)</f>
        <v>0</v>
      </c>
      <c r="C21" s="95" t="s">
        <v>3113</v>
      </c>
      <c r="D21" s="54" t="str">
        <f t="shared" si="5"/>
        <v xml:space="preserve"> - Tipo Cuenta</v>
      </c>
      <c r="F21"/>
      <c r="G21"/>
      <c r="H21" s="47" t="s">
        <v>1659</v>
      </c>
      <c r="K21" s="1" t="s">
        <v>1668</v>
      </c>
      <c r="L21" t="s">
        <v>3844</v>
      </c>
      <c r="T21" s="21" t="s">
        <v>53</v>
      </c>
      <c r="U21" s="22" t="s">
        <v>52</v>
      </c>
      <c r="W21" s="39" t="s">
        <v>1113</v>
      </c>
      <c r="X21" s="40" t="s">
        <v>1112</v>
      </c>
      <c r="AB21" s="71" t="s">
        <v>513</v>
      </c>
      <c r="AC21" s="72" t="s">
        <v>512</v>
      </c>
      <c r="AD21" s="73" t="str">
        <f t="shared" si="2"/>
        <v>05-20</v>
      </c>
      <c r="AE21" s="74">
        <f t="shared" si="3"/>
        <v>20</v>
      </c>
      <c r="AF21" s="71" t="s">
        <v>531</v>
      </c>
      <c r="AG21" s="73" t="s">
        <v>60</v>
      </c>
      <c r="AI21" s="41">
        <v>20</v>
      </c>
      <c r="AJ21" s="42" t="str">
        <f t="shared" si="4"/>
        <v>-20</v>
      </c>
      <c r="AK21" s="42" t="str">
        <f t="shared" si="0"/>
        <v/>
      </c>
      <c r="AL21" s="43" t="str">
        <f t="shared" si="1"/>
        <v/>
      </c>
      <c r="AN21" s="235" t="s">
        <v>3657</v>
      </c>
      <c r="AO21" s="235" t="s">
        <v>3657</v>
      </c>
      <c r="AP21" s="83"/>
      <c r="AQ21" s="235" t="s">
        <v>3658</v>
      </c>
      <c r="AS21" s="3">
        <v>144</v>
      </c>
      <c r="AU21" s="65" t="s">
        <v>3154</v>
      </c>
      <c r="AV21" s="3">
        <v>0</v>
      </c>
      <c r="AX21" s="3" t="s">
        <v>2147</v>
      </c>
      <c r="AY21" s="65" t="s">
        <v>2148</v>
      </c>
      <c r="BA21" s="109" t="s">
        <v>3892</v>
      </c>
      <c r="BB21" s="183">
        <v>1464301</v>
      </c>
      <c r="BE21" s="101" t="str">
        <f>IF(OR(BE18=2,BE18=0),"REVISE SU INFORMACIÓN TRIBUTARIA",IF(BE15="SY",CONCATENATE("N",BE15,BG23),CONCATENATE("N",BE15,BE2)))</f>
        <v>REVISE SU INFORMACIÓN TRIBUTARIA</v>
      </c>
    </row>
    <row r="22" spans="1:61" ht="15.75" thickBot="1" x14ac:dyDescent="0.3">
      <c r="A22" s="116">
        <v>19</v>
      </c>
      <c r="B22" s="113">
        <f>IF('FORMATO ACTUALIZACIÓN DATOS'!AN32="",0,1)</f>
        <v>0</v>
      </c>
      <c r="C22" s="114" t="s">
        <v>3123</v>
      </c>
      <c r="D22" s="115" t="str">
        <f t="shared" si="5"/>
        <v xml:space="preserve"> - No Cuenta Bancaria</v>
      </c>
      <c r="F22"/>
      <c r="G22"/>
      <c r="H22" s="47" t="s">
        <v>1660</v>
      </c>
      <c r="K22" t="s">
        <v>3582</v>
      </c>
      <c r="L22" t="s">
        <v>1686</v>
      </c>
      <c r="O22" s="3" t="s">
        <v>3515</v>
      </c>
      <c r="T22" s="21" t="s">
        <v>55</v>
      </c>
      <c r="U22" s="22" t="s">
        <v>54</v>
      </c>
      <c r="W22" s="39" t="s">
        <v>1148</v>
      </c>
      <c r="X22" s="40" t="s">
        <v>1147</v>
      </c>
      <c r="AB22" s="71" t="s">
        <v>513</v>
      </c>
      <c r="AC22" s="72" t="s">
        <v>512</v>
      </c>
      <c r="AD22" s="73" t="str">
        <f t="shared" si="2"/>
        <v>05-21</v>
      </c>
      <c r="AE22" s="74">
        <f t="shared" si="3"/>
        <v>21</v>
      </c>
      <c r="AF22" s="71" t="s">
        <v>532</v>
      </c>
      <c r="AG22" s="73" t="s">
        <v>66</v>
      </c>
      <c r="AI22" s="41">
        <v>21</v>
      </c>
      <c r="AJ22" s="42" t="str">
        <f t="shared" si="4"/>
        <v>-21</v>
      </c>
      <c r="AK22" s="42" t="str">
        <f t="shared" si="0"/>
        <v/>
      </c>
      <c r="AL22" s="43" t="str">
        <f t="shared" si="1"/>
        <v/>
      </c>
      <c r="AN22" s="235" t="s">
        <v>3661</v>
      </c>
      <c r="AO22" s="235" t="s">
        <v>3661</v>
      </c>
      <c r="AP22" s="83"/>
      <c r="AQ22" s="235">
        <v>53</v>
      </c>
      <c r="AS22" s="3">
        <v>145</v>
      </c>
      <c r="AU22" s="65" t="s">
        <v>3155</v>
      </c>
      <c r="AV22" s="3">
        <v>0</v>
      </c>
      <c r="AX22" s="3" t="s">
        <v>2149</v>
      </c>
      <c r="AY22" s="65" t="s">
        <v>2150</v>
      </c>
      <c r="BA22" s="108" t="s">
        <v>3961</v>
      </c>
      <c r="BB22" s="182">
        <v>1464401</v>
      </c>
      <c r="BE22" s="158" t="str">
        <f>IF(AND(BE15="",BE17=""),BE19,BE21)</f>
        <v>REVISE SU INFORMACIÓN TRIBUTARIA</v>
      </c>
    </row>
    <row r="23" spans="1:61" ht="15.75" thickBot="1" x14ac:dyDescent="0.3">
      <c r="A23" s="119">
        <v>20</v>
      </c>
      <c r="B23" s="88">
        <f>IF('FORMATO ACTUALIZACIÓN DATOS'!A40="",0,1)</f>
        <v>0</v>
      </c>
      <c r="C23" s="94" t="s">
        <v>3135</v>
      </c>
      <c r="D23" s="89" t="str">
        <f t="shared" si="5"/>
        <v xml:space="preserve"> - Actividad Económica RUT</v>
      </c>
      <c r="F23"/>
      <c r="G23"/>
      <c r="H23" s="47" t="s">
        <v>1661</v>
      </c>
      <c r="K23" t="s">
        <v>3583</v>
      </c>
      <c r="L23" t="s">
        <v>1678</v>
      </c>
      <c r="T23" s="21" t="s">
        <v>57</v>
      </c>
      <c r="U23" s="22" t="s">
        <v>56</v>
      </c>
      <c r="W23" s="39" t="s">
        <v>1162</v>
      </c>
      <c r="X23" s="40" t="s">
        <v>1161</v>
      </c>
      <c r="AB23" s="71" t="s">
        <v>513</v>
      </c>
      <c r="AC23" s="72" t="s">
        <v>512</v>
      </c>
      <c r="AD23" s="73" t="str">
        <f t="shared" si="2"/>
        <v>05-22</v>
      </c>
      <c r="AE23" s="74">
        <f t="shared" si="3"/>
        <v>22</v>
      </c>
      <c r="AF23" s="71" t="s">
        <v>533</v>
      </c>
      <c r="AG23" s="73" t="s">
        <v>72</v>
      </c>
      <c r="AI23" s="41">
        <v>22</v>
      </c>
      <c r="AJ23" s="42" t="str">
        <f t="shared" si="4"/>
        <v>-22</v>
      </c>
      <c r="AK23" s="42" t="str">
        <f t="shared" si="0"/>
        <v/>
      </c>
      <c r="AL23" s="43" t="str">
        <f t="shared" si="1"/>
        <v/>
      </c>
      <c r="AN23" s="235" t="s">
        <v>3676</v>
      </c>
      <c r="AO23" s="235" t="s">
        <v>3676</v>
      </c>
      <c r="AP23" s="83"/>
      <c r="AQ23" s="235">
        <v>59</v>
      </c>
      <c r="AS23" s="3">
        <v>149</v>
      </c>
      <c r="AU23" s="65" t="s">
        <v>2160</v>
      </c>
      <c r="AV23" s="3">
        <v>0</v>
      </c>
      <c r="AX23" s="3" t="s">
        <v>2151</v>
      </c>
      <c r="AY23" s="65" t="s">
        <v>2152</v>
      </c>
      <c r="BA23" s="109" t="s">
        <v>3962</v>
      </c>
      <c r="BB23" s="183">
        <v>1464402</v>
      </c>
      <c r="BE23" s="159" t="str">
        <f>_xlfn.CONCAT(IF(LEN(BE22)&gt;4,"REVISE SU INFORMACIÓN TRIBUTARIA",BE22),BE25)</f>
        <v>REVISE SU INFORMACIÓN TRIBUTARIA</v>
      </c>
      <c r="BG23" s="3" t="str">
        <f>IF('FORMATO ACTUALIZACIÓN DATOS'!AU39="RESPONSABLE IVA","M",IF('FORMATO ACTUALIZACIÓN DATOS'!AU39="NO RESPONSABLE IVA","S","ERROR"))</f>
        <v>ERROR</v>
      </c>
    </row>
    <row r="24" spans="1:61" ht="30.75" thickBot="1" x14ac:dyDescent="0.3">
      <c r="A24" s="98">
        <v>21</v>
      </c>
      <c r="B24" s="90">
        <f>IF('FORMATO ACTUALIZACIÓN DATOS'!A40="",0,IF('FORMATO ACTUALIZACIÓN DATOS'!F39="Actividad economica no existe - por favor verificar",0,1))</f>
        <v>0</v>
      </c>
      <c r="C24" s="95" t="s">
        <v>3508</v>
      </c>
      <c r="D24" s="54" t="str">
        <f t="shared" si="5"/>
        <v xml:space="preserve"> - Actividad económica RUT NO existe - por favor verificar</v>
      </c>
      <c r="F24"/>
      <c r="G24"/>
      <c r="H24" s="47" t="s">
        <v>1662</v>
      </c>
      <c r="T24" s="21" t="s">
        <v>59</v>
      </c>
      <c r="U24" s="22" t="s">
        <v>58</v>
      </c>
      <c r="W24" s="39" t="s">
        <v>1192</v>
      </c>
      <c r="X24" s="40" t="s">
        <v>1191</v>
      </c>
      <c r="AB24" s="71" t="s">
        <v>513</v>
      </c>
      <c r="AC24" s="72" t="s">
        <v>512</v>
      </c>
      <c r="AD24" s="73" t="str">
        <f t="shared" si="2"/>
        <v>05-23</v>
      </c>
      <c r="AE24" s="74">
        <f t="shared" si="3"/>
        <v>23</v>
      </c>
      <c r="AF24" s="71" t="s">
        <v>534</v>
      </c>
      <c r="AG24" s="73" t="s">
        <v>1701</v>
      </c>
      <c r="AI24" s="41">
        <v>23</v>
      </c>
      <c r="AJ24" s="42" t="str">
        <f t="shared" si="4"/>
        <v>-23</v>
      </c>
      <c r="AK24" s="42" t="str">
        <f t="shared" si="0"/>
        <v/>
      </c>
      <c r="AL24" s="43" t="str">
        <f t="shared" si="1"/>
        <v/>
      </c>
      <c r="AN24" s="235" t="s">
        <v>3677</v>
      </c>
      <c r="AO24" s="235" t="s">
        <v>3677</v>
      </c>
      <c r="AP24" s="83"/>
      <c r="AQ24" s="235">
        <v>60</v>
      </c>
      <c r="AS24" s="3">
        <v>150</v>
      </c>
      <c r="AU24" s="65" t="s">
        <v>3156</v>
      </c>
      <c r="AV24" s="3">
        <v>0</v>
      </c>
      <c r="AX24" s="3" t="s">
        <v>2153</v>
      </c>
      <c r="AY24" s="65" t="s">
        <v>2154</v>
      </c>
      <c r="BA24" s="108" t="s">
        <v>3963</v>
      </c>
      <c r="BB24" s="182">
        <v>1464501</v>
      </c>
    </row>
    <row r="25" spans="1:61" ht="15.75" thickBot="1" x14ac:dyDescent="0.3">
      <c r="A25" s="98">
        <v>22</v>
      </c>
      <c r="B25" s="99">
        <f>IF('FORMATO ACTUALIZACIÓN DATOS'!X40="",0,1)</f>
        <v>0</v>
      </c>
      <c r="C25" s="97" t="s">
        <v>3598</v>
      </c>
      <c r="D25" s="45" t="str">
        <f t="shared" si="5"/>
        <v xml:space="preserve"> - Actividad Económica RIT</v>
      </c>
      <c r="F25"/>
      <c r="G25"/>
      <c r="H25" s="47" t="s">
        <v>1666</v>
      </c>
      <c r="K25" s="3" t="s">
        <v>3925</v>
      </c>
      <c r="L25" s="3" t="s">
        <v>3562</v>
      </c>
      <c r="T25" s="21" t="s">
        <v>61</v>
      </c>
      <c r="U25" s="22" t="s">
        <v>60</v>
      </c>
      <c r="W25" s="39" t="s">
        <v>1219</v>
      </c>
      <c r="X25" s="40" t="s">
        <v>1218</v>
      </c>
      <c r="AB25" s="71" t="s">
        <v>513</v>
      </c>
      <c r="AC25" s="72" t="s">
        <v>512</v>
      </c>
      <c r="AD25" s="73" t="str">
        <f t="shared" si="2"/>
        <v>05-24</v>
      </c>
      <c r="AE25" s="74">
        <f t="shared" si="3"/>
        <v>24</v>
      </c>
      <c r="AF25" s="71" t="s">
        <v>535</v>
      </c>
      <c r="AG25" s="73" t="s">
        <v>1702</v>
      </c>
      <c r="AI25" s="41">
        <v>24</v>
      </c>
      <c r="AJ25" s="42" t="str">
        <f t="shared" si="4"/>
        <v>-24</v>
      </c>
      <c r="AK25" s="42" t="str">
        <f t="shared" si="0"/>
        <v/>
      </c>
      <c r="AL25" s="43" t="str">
        <f t="shared" si="1"/>
        <v/>
      </c>
      <c r="AN25" s="235" t="s">
        <v>5614</v>
      </c>
      <c r="AO25" s="235" t="s">
        <v>5614</v>
      </c>
      <c r="AP25" s="83"/>
      <c r="AQ25" s="235">
        <v>61</v>
      </c>
      <c r="AS25" s="3">
        <v>161</v>
      </c>
      <c r="AT25" s="3">
        <v>304</v>
      </c>
      <c r="AU25" s="3" t="s">
        <v>3384</v>
      </c>
      <c r="AV25" s="3">
        <v>9.66</v>
      </c>
      <c r="AX25" s="3" t="s">
        <v>2155</v>
      </c>
      <c r="AY25" s="65" t="s">
        <v>2156</v>
      </c>
      <c r="BA25" s="109" t="s">
        <v>3964</v>
      </c>
      <c r="BB25" s="183">
        <v>1464502</v>
      </c>
      <c r="BE25" s="3" t="str">
        <f>IF('FORMATO ACTUALIZACIÓN DATOS'!Q18="X"," /PENSIONADO","")</f>
        <v/>
      </c>
    </row>
    <row r="26" spans="1:61" ht="30.75" thickBot="1" x14ac:dyDescent="0.3">
      <c r="A26" s="98">
        <v>23</v>
      </c>
      <c r="B26" s="90">
        <f>IF('FORMATO ACTUALIZACIÓN DATOS'!X40="",0,IF('FORMATO ACTUALIZACIÓN DATOS'!AD39="Actividad economica no existe - por favor verificar",0,1))</f>
        <v>0</v>
      </c>
      <c r="C26" s="95" t="s">
        <v>3845</v>
      </c>
      <c r="D26" s="54" t="str">
        <f t="shared" si="5"/>
        <v xml:space="preserve"> - Actividad economica RIT NO existe - por favor verificar</v>
      </c>
      <c r="F26"/>
      <c r="G26"/>
      <c r="H26" s="47" t="s">
        <v>1663</v>
      </c>
      <c r="K26" s="3" t="s">
        <v>3846</v>
      </c>
      <c r="L26" s="100">
        <f>'FORMATO ACTUALIZACIÓN DATOS'!K46</f>
        <v>0</v>
      </c>
      <c r="T26" s="21" t="s">
        <v>63</v>
      </c>
      <c r="U26" s="22" t="s">
        <v>62</v>
      </c>
      <c r="W26" s="39" t="s">
        <v>1274</v>
      </c>
      <c r="X26" s="40" t="s">
        <v>1273</v>
      </c>
      <c r="AB26" s="71" t="s">
        <v>513</v>
      </c>
      <c r="AC26" s="72" t="s">
        <v>512</v>
      </c>
      <c r="AD26" s="73" t="str">
        <f t="shared" si="2"/>
        <v>05-25</v>
      </c>
      <c r="AE26" s="74">
        <f t="shared" si="3"/>
        <v>25</v>
      </c>
      <c r="AF26" s="71" t="s">
        <v>536</v>
      </c>
      <c r="AG26" s="73" t="s">
        <v>1703</v>
      </c>
      <c r="AI26" s="41">
        <v>25</v>
      </c>
      <c r="AJ26" s="42" t="str">
        <f t="shared" si="4"/>
        <v>-25</v>
      </c>
      <c r="AK26" s="42" t="str">
        <f t="shared" si="0"/>
        <v/>
      </c>
      <c r="AL26" s="43" t="str">
        <f t="shared" si="1"/>
        <v/>
      </c>
      <c r="AN26" s="235" t="s">
        <v>3678</v>
      </c>
      <c r="AO26" s="235" t="s">
        <v>3678</v>
      </c>
      <c r="AP26" s="83"/>
      <c r="AQ26" s="235">
        <v>292</v>
      </c>
      <c r="AS26" s="3">
        <v>162</v>
      </c>
      <c r="AT26" s="3">
        <v>304</v>
      </c>
      <c r="AU26" s="3" t="s">
        <v>3385</v>
      </c>
      <c r="AV26" s="3">
        <v>9.66</v>
      </c>
      <c r="AX26" s="3" t="s">
        <v>2157</v>
      </c>
      <c r="AY26" s="65" t="s">
        <v>2158</v>
      </c>
      <c r="BA26" s="108" t="s">
        <v>3965</v>
      </c>
      <c r="BB26" s="182">
        <v>1464901</v>
      </c>
    </row>
    <row r="27" spans="1:61" ht="15.75" thickBot="1" x14ac:dyDescent="0.3">
      <c r="A27" s="120">
        <v>24</v>
      </c>
      <c r="B27" s="91">
        <f>IF('FORMATO ACTUALIZACIÓN DATOS'!AU39="",0,1)</f>
        <v>0</v>
      </c>
      <c r="C27" s="96" t="s">
        <v>3134</v>
      </c>
      <c r="D27" s="92" t="str">
        <f t="shared" si="5"/>
        <v xml:space="preserve"> - Régimen</v>
      </c>
      <c r="E27"/>
      <c r="F27"/>
      <c r="G27"/>
      <c r="H27" s="47" t="s">
        <v>1664</v>
      </c>
      <c r="K27" s="3" t="s">
        <v>3581</v>
      </c>
      <c r="L27" s="100">
        <f>'FORMATO ACTUALIZACIÓN DATOS'!A50</f>
        <v>0</v>
      </c>
      <c r="T27" s="21" t="s">
        <v>65</v>
      </c>
      <c r="U27" s="22" t="s">
        <v>64</v>
      </c>
      <c r="W27" s="39" t="s">
        <v>1550</v>
      </c>
      <c r="X27" s="40" t="s">
        <v>1549</v>
      </c>
      <c r="AB27" s="71" t="s">
        <v>513</v>
      </c>
      <c r="AC27" s="72" t="s">
        <v>512</v>
      </c>
      <c r="AD27" s="73" t="str">
        <f t="shared" si="2"/>
        <v>05-26</v>
      </c>
      <c r="AE27" s="74">
        <f t="shared" si="3"/>
        <v>26</v>
      </c>
      <c r="AF27" s="71" t="s">
        <v>537</v>
      </c>
      <c r="AG27" s="73" t="s">
        <v>1704</v>
      </c>
      <c r="AI27" s="41">
        <v>26</v>
      </c>
      <c r="AJ27" s="42" t="str">
        <f t="shared" si="4"/>
        <v>-26</v>
      </c>
      <c r="AK27" s="42" t="str">
        <f t="shared" si="0"/>
        <v/>
      </c>
      <c r="AL27" s="43" t="str">
        <f t="shared" si="1"/>
        <v/>
      </c>
      <c r="AN27" s="235" t="s">
        <v>3653</v>
      </c>
      <c r="AO27" s="235" t="s">
        <v>3653</v>
      </c>
      <c r="AP27" s="83"/>
      <c r="AQ27" s="235">
        <v>67</v>
      </c>
      <c r="AS27" s="3">
        <v>163</v>
      </c>
      <c r="AU27" s="65" t="s">
        <v>3157</v>
      </c>
      <c r="AV27" s="3">
        <v>0</v>
      </c>
      <c r="AX27" s="3" t="s">
        <v>2159</v>
      </c>
      <c r="AY27" s="65" t="s">
        <v>2160</v>
      </c>
      <c r="BA27" s="109" t="s">
        <v>3966</v>
      </c>
      <c r="BB27" s="183">
        <v>1465101</v>
      </c>
    </row>
    <row r="28" spans="1:61" ht="15.75" thickBot="1" x14ac:dyDescent="0.3">
      <c r="A28" s="117">
        <v>25</v>
      </c>
      <c r="B28" s="88">
        <f>IF('FORMATO ACTUALIZACIÓN DATOS'!A46="",0,1)</f>
        <v>0</v>
      </c>
      <c r="C28" s="94" t="s">
        <v>3124</v>
      </c>
      <c r="D28" s="89" t="str">
        <f t="shared" ref="D28:D53" si="6">IF(B28=0,CONCATENATE(" - ",C28,""),"")</f>
        <v xml:space="preserve"> - No Contrato</v>
      </c>
      <c r="F28"/>
      <c r="G28"/>
      <c r="H28" s="57" t="s">
        <v>1665</v>
      </c>
      <c r="K28" s="3" t="s">
        <v>3847</v>
      </c>
      <c r="L28" s="3" t="str">
        <f>IFERROR(((L26*30)/L27)," ")</f>
        <v xml:space="preserve"> </v>
      </c>
      <c r="T28" s="21" t="s">
        <v>67</v>
      </c>
      <c r="U28" s="22" t="s">
        <v>66</v>
      </c>
      <c r="W28" s="39" t="s">
        <v>1314</v>
      </c>
      <c r="X28" s="40" t="s">
        <v>1313</v>
      </c>
      <c r="AB28" s="71" t="s">
        <v>513</v>
      </c>
      <c r="AC28" s="72" t="s">
        <v>512</v>
      </c>
      <c r="AD28" s="73" t="str">
        <f t="shared" si="2"/>
        <v>05-27</v>
      </c>
      <c r="AE28" s="74">
        <f t="shared" si="3"/>
        <v>27</v>
      </c>
      <c r="AF28" s="71" t="s">
        <v>538</v>
      </c>
      <c r="AG28" s="73" t="s">
        <v>1705</v>
      </c>
      <c r="AI28" s="41">
        <v>27</v>
      </c>
      <c r="AJ28" s="42" t="str">
        <f t="shared" si="4"/>
        <v>-27</v>
      </c>
      <c r="AK28" s="42" t="str">
        <f t="shared" si="0"/>
        <v/>
      </c>
      <c r="AL28" s="43" t="str">
        <f t="shared" si="1"/>
        <v/>
      </c>
      <c r="AN28" s="235" t="s">
        <v>3668</v>
      </c>
      <c r="AO28" s="235" t="s">
        <v>3668</v>
      </c>
      <c r="AP28" s="83"/>
      <c r="AQ28" s="235">
        <v>66</v>
      </c>
      <c r="AS28" s="3">
        <v>164</v>
      </c>
      <c r="AT28" s="3">
        <v>304</v>
      </c>
      <c r="AU28" s="3" t="s">
        <v>3386</v>
      </c>
      <c r="AV28" s="3">
        <v>9.66</v>
      </c>
      <c r="AX28" s="3" t="s">
        <v>2161</v>
      </c>
      <c r="AY28" s="65" t="s">
        <v>2162</v>
      </c>
      <c r="BA28" s="108" t="s">
        <v>3967</v>
      </c>
      <c r="BB28" s="182">
        <v>1465901</v>
      </c>
    </row>
    <row r="29" spans="1:61" ht="15.75" thickBot="1" x14ac:dyDescent="0.3">
      <c r="A29" s="118">
        <v>26</v>
      </c>
      <c r="B29" s="90">
        <f>IF('FORMATO ACTUALIZACIÓN DATOS'!F47="",0,1)</f>
        <v>0</v>
      </c>
      <c r="C29" s="95" t="s">
        <v>3116</v>
      </c>
      <c r="D29" s="54" t="str">
        <f t="shared" si="6"/>
        <v xml:space="preserve"> - Año Contrato</v>
      </c>
      <c r="F29"/>
      <c r="G29"/>
      <c r="T29" s="21" t="s">
        <v>69</v>
      </c>
      <c r="U29" s="22" t="s">
        <v>68</v>
      </c>
      <c r="W29" s="39" t="s">
        <v>1324</v>
      </c>
      <c r="X29" s="40" t="s">
        <v>1323</v>
      </c>
      <c r="AB29" s="71" t="s">
        <v>513</v>
      </c>
      <c r="AC29" s="72" t="s">
        <v>512</v>
      </c>
      <c r="AD29" s="73" t="str">
        <f t="shared" si="2"/>
        <v>05-28</v>
      </c>
      <c r="AE29" s="74">
        <f t="shared" si="3"/>
        <v>28</v>
      </c>
      <c r="AF29" s="71" t="s">
        <v>539</v>
      </c>
      <c r="AG29" s="73" t="s">
        <v>1706</v>
      </c>
      <c r="AI29" s="41">
        <v>28</v>
      </c>
      <c r="AJ29" s="42" t="str">
        <f t="shared" si="4"/>
        <v>-28</v>
      </c>
      <c r="AK29" s="42" t="str">
        <f t="shared" si="0"/>
        <v/>
      </c>
      <c r="AL29" s="43" t="str">
        <f t="shared" si="1"/>
        <v/>
      </c>
      <c r="AN29" s="235" t="s">
        <v>3684</v>
      </c>
      <c r="AO29" s="235" t="s">
        <v>3684</v>
      </c>
      <c r="AP29" s="83"/>
      <c r="AQ29" s="235">
        <v>63</v>
      </c>
      <c r="AS29" s="3">
        <v>170</v>
      </c>
      <c r="AU29" s="65" t="s">
        <v>3158</v>
      </c>
      <c r="AV29" s="3">
        <v>0</v>
      </c>
      <c r="AX29" s="3" t="s">
        <v>2163</v>
      </c>
      <c r="AY29" s="65" t="s">
        <v>2164</v>
      </c>
      <c r="BA29" s="109" t="s">
        <v>3968</v>
      </c>
      <c r="BB29" s="183">
        <v>1466101</v>
      </c>
    </row>
    <row r="30" spans="1:61" ht="15.75" thickBot="1" x14ac:dyDescent="0.3">
      <c r="A30" s="118">
        <v>27</v>
      </c>
      <c r="B30" s="90">
        <f>IF('FORMATO ACTUALIZACIÓN DATOS'!K46="",0,1)</f>
        <v>0</v>
      </c>
      <c r="C30" s="95" t="s">
        <v>3500</v>
      </c>
      <c r="D30" s="54" t="str">
        <f t="shared" si="6"/>
        <v xml:space="preserve"> - Valor Total del Contrato</v>
      </c>
      <c r="F30"/>
      <c r="G30"/>
      <c r="T30" s="21" t="s">
        <v>71</v>
      </c>
      <c r="U30" s="22" t="s">
        <v>70</v>
      </c>
      <c r="W30" s="39" t="s">
        <v>1339</v>
      </c>
      <c r="X30" s="40" t="s">
        <v>1338</v>
      </c>
      <c r="AB30" s="71" t="s">
        <v>513</v>
      </c>
      <c r="AC30" s="72" t="s">
        <v>512</v>
      </c>
      <c r="AD30" s="73" t="str">
        <f t="shared" si="2"/>
        <v>05-29</v>
      </c>
      <c r="AE30" s="74">
        <f t="shared" si="3"/>
        <v>29</v>
      </c>
      <c r="AF30" s="71" t="s">
        <v>540</v>
      </c>
      <c r="AG30" s="73" t="s">
        <v>1707</v>
      </c>
      <c r="AI30" s="41">
        <v>29</v>
      </c>
      <c r="AJ30" s="42" t="str">
        <f t="shared" si="4"/>
        <v>-29</v>
      </c>
      <c r="AK30" s="42" t="str">
        <f t="shared" si="0"/>
        <v/>
      </c>
      <c r="AL30" s="43" t="str">
        <f t="shared" si="1"/>
        <v/>
      </c>
      <c r="AN30" s="235" t="s">
        <v>3685</v>
      </c>
      <c r="AO30" s="235" t="s">
        <v>3685</v>
      </c>
      <c r="AP30" s="83"/>
      <c r="AQ30" s="235">
        <v>62</v>
      </c>
      <c r="AS30" s="3">
        <v>210</v>
      </c>
      <c r="AU30" s="65" t="s">
        <v>3159</v>
      </c>
      <c r="AV30" s="3">
        <v>0</v>
      </c>
      <c r="AX30" s="3" t="s">
        <v>2165</v>
      </c>
      <c r="AY30" s="65" t="s">
        <v>2166</v>
      </c>
      <c r="BA30" s="108" t="s">
        <v>3969</v>
      </c>
      <c r="BB30" s="182">
        <v>1466301</v>
      </c>
    </row>
    <row r="31" spans="1:61" ht="15.75" thickBot="1" x14ac:dyDescent="0.3">
      <c r="A31" s="118">
        <v>28</v>
      </c>
      <c r="B31" s="90">
        <f>IF('FORMATO ACTUALIZACIÓN DATOS'!A50="",0,1)</f>
        <v>0</v>
      </c>
      <c r="C31" s="95" t="s">
        <v>3574</v>
      </c>
      <c r="D31" s="54" t="str">
        <f t="shared" si="6"/>
        <v xml:space="preserve"> - Valor Pago Mensual según Contrato</v>
      </c>
      <c r="F31"/>
      <c r="G31"/>
      <c r="K31" s="101" t="s">
        <v>1670</v>
      </c>
      <c r="T31" s="21" t="s">
        <v>73</v>
      </c>
      <c r="U31" s="22" t="s">
        <v>72</v>
      </c>
      <c r="W31" s="39" t="s">
        <v>1414</v>
      </c>
      <c r="X31" s="40" t="s">
        <v>1413</v>
      </c>
      <c r="AB31" s="71" t="s">
        <v>513</v>
      </c>
      <c r="AC31" s="72" t="s">
        <v>512</v>
      </c>
      <c r="AD31" s="73" t="str">
        <f t="shared" si="2"/>
        <v>05-30</v>
      </c>
      <c r="AE31" s="74">
        <f t="shared" si="3"/>
        <v>30</v>
      </c>
      <c r="AF31" s="71" t="s">
        <v>541</v>
      </c>
      <c r="AG31" s="73" t="s">
        <v>1708</v>
      </c>
      <c r="AI31" s="41">
        <v>30</v>
      </c>
      <c r="AJ31" s="42" t="str">
        <f t="shared" si="4"/>
        <v>-30</v>
      </c>
      <c r="AK31" s="42" t="str">
        <f t="shared" si="0"/>
        <v/>
      </c>
      <c r="AL31" s="43" t="str">
        <f t="shared" si="1"/>
        <v/>
      </c>
      <c r="AN31" s="235" t="s">
        <v>3686</v>
      </c>
      <c r="AO31" s="235" t="s">
        <v>3686</v>
      </c>
      <c r="AP31" s="83"/>
      <c r="AQ31" s="235">
        <v>370</v>
      </c>
      <c r="AS31" s="3">
        <v>220</v>
      </c>
      <c r="AU31" s="65" t="s">
        <v>3160</v>
      </c>
      <c r="AV31" s="3">
        <v>0</v>
      </c>
      <c r="AX31" s="3" t="s">
        <v>2167</v>
      </c>
      <c r="AY31" s="65" t="s">
        <v>2168</v>
      </c>
      <c r="BA31" s="109" t="s">
        <v>3970</v>
      </c>
      <c r="BB31" s="183">
        <v>1466401</v>
      </c>
    </row>
    <row r="32" spans="1:61" ht="15.75" thickBot="1" x14ac:dyDescent="0.3">
      <c r="A32" s="118">
        <v>29</v>
      </c>
      <c r="B32" s="90">
        <f>IF('FORMATO ACTUALIZACIÓN DATOS'!AC46="",0,1)</f>
        <v>0</v>
      </c>
      <c r="C32" s="95" t="s">
        <v>3488</v>
      </c>
      <c r="D32" s="54" t="str">
        <f t="shared" si="6"/>
        <v xml:space="preserve"> - Fecha Acta de Inicio</v>
      </c>
      <c r="F32"/>
      <c r="G32"/>
      <c r="K32" s="102" t="s">
        <v>1671</v>
      </c>
      <c r="T32" s="21" t="s">
        <v>75</v>
      </c>
      <c r="U32" s="22" t="s">
        <v>74</v>
      </c>
      <c r="W32" s="39" t="s">
        <v>1438</v>
      </c>
      <c r="X32" s="40" t="s">
        <v>1437</v>
      </c>
      <c r="AB32" s="71" t="s">
        <v>513</v>
      </c>
      <c r="AC32" s="72" t="s">
        <v>512</v>
      </c>
      <c r="AD32" s="73" t="str">
        <f t="shared" si="2"/>
        <v>05-31</v>
      </c>
      <c r="AE32" s="74">
        <f t="shared" si="3"/>
        <v>31</v>
      </c>
      <c r="AF32" s="71" t="s">
        <v>542</v>
      </c>
      <c r="AG32" s="73" t="s">
        <v>90</v>
      </c>
      <c r="AI32" s="41">
        <v>31</v>
      </c>
      <c r="AJ32" s="42" t="str">
        <f t="shared" si="4"/>
        <v>-31</v>
      </c>
      <c r="AK32" s="42" t="str">
        <f t="shared" si="0"/>
        <v/>
      </c>
      <c r="AL32" s="43" t="str">
        <f t="shared" si="1"/>
        <v/>
      </c>
      <c r="AN32" s="235" t="s">
        <v>5615</v>
      </c>
      <c r="AO32" s="235" t="s">
        <v>5615</v>
      </c>
      <c r="AP32" s="83"/>
      <c r="AQ32" s="235">
        <v>283</v>
      </c>
      <c r="AS32" s="3">
        <v>230</v>
      </c>
      <c r="AU32" s="65" t="s">
        <v>3161</v>
      </c>
      <c r="AV32" s="3">
        <v>0</v>
      </c>
      <c r="AX32" s="3" t="s">
        <v>2169</v>
      </c>
      <c r="AY32" s="65" t="s">
        <v>2170</v>
      </c>
      <c r="BA32" s="108" t="s">
        <v>3893</v>
      </c>
      <c r="BB32" s="182">
        <v>1466901</v>
      </c>
    </row>
    <row r="33" spans="1:54" ht="30.75" thickBot="1" x14ac:dyDescent="0.3">
      <c r="A33" s="118">
        <v>30</v>
      </c>
      <c r="B33" s="90">
        <f>IF('FORMATO ACTUALIZACIÓN DATOS'!AN46="",0,1)</f>
        <v>0</v>
      </c>
      <c r="C33" s="95" t="s">
        <v>3489</v>
      </c>
      <c r="D33" s="54" t="str">
        <f t="shared" si="6"/>
        <v xml:space="preserve"> - Fecha terminación Contrato</v>
      </c>
      <c r="F33"/>
      <c r="G33"/>
      <c r="K33"/>
      <c r="T33" s="21" t="s">
        <v>77</v>
      </c>
      <c r="U33" s="22" t="s">
        <v>76</v>
      </c>
      <c r="W33" s="39" t="s">
        <v>1485</v>
      </c>
      <c r="X33" s="40" t="s">
        <v>1484</v>
      </c>
      <c r="AB33" s="71" t="s">
        <v>513</v>
      </c>
      <c r="AC33" s="72" t="s">
        <v>512</v>
      </c>
      <c r="AD33" s="73" t="str">
        <f t="shared" si="2"/>
        <v>05-32</v>
      </c>
      <c r="AE33" s="74">
        <f t="shared" si="3"/>
        <v>32</v>
      </c>
      <c r="AF33" s="71" t="s">
        <v>543</v>
      </c>
      <c r="AG33" s="73" t="s">
        <v>1709</v>
      </c>
      <c r="AI33" s="41">
        <v>32</v>
      </c>
      <c r="AJ33" s="42" t="str">
        <f t="shared" si="4"/>
        <v>-32</v>
      </c>
      <c r="AK33" s="42" t="str">
        <f t="shared" si="0"/>
        <v/>
      </c>
      <c r="AL33" s="43" t="str">
        <f t="shared" si="1"/>
        <v/>
      </c>
      <c r="AN33" s="235" t="s">
        <v>3687</v>
      </c>
      <c r="AO33" s="235" t="s">
        <v>3687</v>
      </c>
      <c r="AP33" s="83"/>
      <c r="AQ33" s="235">
        <v>289</v>
      </c>
      <c r="AS33" s="3">
        <v>240</v>
      </c>
      <c r="AT33" s="3">
        <v>304</v>
      </c>
      <c r="AU33" s="3" t="s">
        <v>3387</v>
      </c>
      <c r="AV33" s="3">
        <v>9.66</v>
      </c>
      <c r="AX33" s="3" t="s">
        <v>2171</v>
      </c>
      <c r="AY33" s="65" t="s">
        <v>2172</v>
      </c>
      <c r="BA33" s="109" t="s">
        <v>3971</v>
      </c>
      <c r="BB33" s="183">
        <v>1469001</v>
      </c>
    </row>
    <row r="34" spans="1:54" ht="15.75" thickBot="1" x14ac:dyDescent="0.3">
      <c r="A34" s="118" t="s">
        <v>5598</v>
      </c>
      <c r="B34" s="90">
        <f>IF('FORMATO ACTUALIZACIÓN DATOS'!V50="",0,1)</f>
        <v>0</v>
      </c>
      <c r="C34" s="164" t="s">
        <v>5599</v>
      </c>
      <c r="D34" s="54" t="str">
        <f t="shared" si="6"/>
        <v xml:space="preserve"> - VIGENCIA FUTURA</v>
      </c>
      <c r="F34"/>
      <c r="G34"/>
      <c r="T34" s="21" t="s">
        <v>79</v>
      </c>
      <c r="U34" s="22" t="s">
        <v>78</v>
      </c>
      <c r="W34" s="39" t="s">
        <v>1588</v>
      </c>
      <c r="X34" s="40" t="s">
        <v>1587</v>
      </c>
      <c r="AB34" s="71" t="s">
        <v>513</v>
      </c>
      <c r="AC34" s="72" t="s">
        <v>512</v>
      </c>
      <c r="AD34" s="73" t="str">
        <f t="shared" si="2"/>
        <v>05-33</v>
      </c>
      <c r="AE34" s="74">
        <f t="shared" si="3"/>
        <v>33</v>
      </c>
      <c r="AF34" s="71" t="s">
        <v>544</v>
      </c>
      <c r="AG34" s="73" t="s">
        <v>1710</v>
      </c>
      <c r="AI34" s="41">
        <v>33</v>
      </c>
      <c r="AJ34" s="42" t="str">
        <f t="shared" si="4"/>
        <v>-33</v>
      </c>
      <c r="AK34" s="42" t="str">
        <f t="shared" ref="AK34:AK65" si="7">IFERROR(VLOOKUP(AJ34,$AD$2:$AG$1120,3,0),"")</f>
        <v/>
      </c>
      <c r="AL34" s="43" t="str">
        <f t="shared" ref="AL34:AL65" si="8">IFERROR(VLOOKUP(AJ34,$AD$2:$AG$1120,4,0),"")</f>
        <v/>
      </c>
      <c r="AN34" s="235" t="s">
        <v>3669</v>
      </c>
      <c r="AO34" s="235" t="s">
        <v>3669</v>
      </c>
      <c r="AP34" s="83"/>
      <c r="AQ34" s="235">
        <v>121</v>
      </c>
      <c r="AS34" s="3">
        <v>311</v>
      </c>
      <c r="AU34" s="65" t="s">
        <v>3162</v>
      </c>
      <c r="AV34" s="3">
        <v>0</v>
      </c>
      <c r="AX34" s="3" t="s">
        <v>2173</v>
      </c>
      <c r="AY34" s="65" t="s">
        <v>2174</v>
      </c>
      <c r="BA34" s="108" t="s">
        <v>3972</v>
      </c>
      <c r="BB34" s="182">
        <v>1471101</v>
      </c>
    </row>
    <row r="35" spans="1:54" ht="15.75" thickBot="1" x14ac:dyDescent="0.3">
      <c r="A35" s="118">
        <v>31</v>
      </c>
      <c r="B35" s="90">
        <f>IF('FORMATO ACTUALIZACIÓN DATOS'!AY46="",0,1)</f>
        <v>0</v>
      </c>
      <c r="C35" s="95" t="s">
        <v>3509</v>
      </c>
      <c r="D35" s="54" t="str">
        <f t="shared" si="6"/>
        <v xml:space="preserve"> - Cesión</v>
      </c>
      <c r="F35"/>
      <c r="G35"/>
      <c r="K35" s="3" t="s">
        <v>3137</v>
      </c>
      <c r="L35" s="3" t="s">
        <v>5593</v>
      </c>
      <c r="T35" s="21" t="s">
        <v>81</v>
      </c>
      <c r="U35" s="22" t="s">
        <v>80</v>
      </c>
      <c r="W35" s="39" t="s">
        <v>1596</v>
      </c>
      <c r="X35" s="40" t="s">
        <v>1595</v>
      </c>
      <c r="AB35" s="71" t="s">
        <v>513</v>
      </c>
      <c r="AC35" s="72" t="s">
        <v>512</v>
      </c>
      <c r="AD35" s="73" t="str">
        <f t="shared" si="2"/>
        <v>05-34</v>
      </c>
      <c r="AE35" s="74">
        <f t="shared" si="3"/>
        <v>34</v>
      </c>
      <c r="AF35" s="71" t="s">
        <v>545</v>
      </c>
      <c r="AG35" s="73" t="s">
        <v>1711</v>
      </c>
      <c r="AI35" s="41">
        <v>34</v>
      </c>
      <c r="AJ35" s="42" t="str">
        <f t="shared" si="4"/>
        <v>-34</v>
      </c>
      <c r="AK35" s="42" t="str">
        <f t="shared" si="7"/>
        <v/>
      </c>
      <c r="AL35" s="43" t="str">
        <f t="shared" si="8"/>
        <v/>
      </c>
      <c r="AN35" s="235" t="s">
        <v>5616</v>
      </c>
      <c r="AO35" s="235" t="s">
        <v>5616</v>
      </c>
      <c r="AP35" s="83"/>
      <c r="AQ35" s="235">
        <v>507</v>
      </c>
      <c r="AS35" s="3">
        <v>312</v>
      </c>
      <c r="AU35" s="65" t="s">
        <v>3163</v>
      </c>
      <c r="AV35" s="3">
        <v>0</v>
      </c>
      <c r="AX35" s="3" t="s">
        <v>2175</v>
      </c>
      <c r="AY35" s="65" t="s">
        <v>2176</v>
      </c>
      <c r="BA35" s="109" t="s">
        <v>3973</v>
      </c>
      <c r="BB35" s="183">
        <v>1471102</v>
      </c>
    </row>
    <row r="36" spans="1:54" ht="15.75" thickBot="1" x14ac:dyDescent="0.3">
      <c r="A36" s="118">
        <v>32</v>
      </c>
      <c r="B36" s="90">
        <f>IF('FORMATO ACTUALIZACIÓN DATOS'!A53="",0,1)</f>
        <v>0</v>
      </c>
      <c r="C36" s="95" t="s">
        <v>3137</v>
      </c>
      <c r="D36" s="54" t="str">
        <f t="shared" si="6"/>
        <v xml:space="preserve"> - Área Funcional de la SED</v>
      </c>
      <c r="F36"/>
      <c r="G36"/>
      <c r="K36" s="103" t="s">
        <v>3848</v>
      </c>
      <c r="L36" s="213">
        <v>1000</v>
      </c>
      <c r="T36" s="21" t="s">
        <v>83</v>
      </c>
      <c r="U36" s="22" t="s">
        <v>82</v>
      </c>
      <c r="W36" s="63" t="s">
        <v>1603</v>
      </c>
      <c r="X36" s="64"/>
      <c r="AB36" s="71" t="s">
        <v>513</v>
      </c>
      <c r="AC36" s="72" t="s">
        <v>512</v>
      </c>
      <c r="AD36" s="73" t="str">
        <f t="shared" si="2"/>
        <v>05-35</v>
      </c>
      <c r="AE36" s="74">
        <f t="shared" si="3"/>
        <v>35</v>
      </c>
      <c r="AF36" s="71" t="s">
        <v>546</v>
      </c>
      <c r="AG36" s="73" t="s">
        <v>1712</v>
      </c>
      <c r="AI36" s="41">
        <v>35</v>
      </c>
      <c r="AJ36" s="42" t="str">
        <f t="shared" si="4"/>
        <v>-35</v>
      </c>
      <c r="AK36" s="42" t="str">
        <f t="shared" si="7"/>
        <v/>
      </c>
      <c r="AL36" s="43" t="str">
        <f t="shared" si="8"/>
        <v/>
      </c>
      <c r="AN36" s="235" t="s">
        <v>5617</v>
      </c>
      <c r="AO36" s="235" t="s">
        <v>5617</v>
      </c>
      <c r="AP36" s="83"/>
      <c r="AQ36" s="235">
        <v>64</v>
      </c>
      <c r="AS36" s="3">
        <v>321</v>
      </c>
      <c r="AU36" s="65" t="s">
        <v>3164</v>
      </c>
      <c r="AV36" s="3">
        <v>0</v>
      </c>
      <c r="AX36" s="3" t="s">
        <v>2177</v>
      </c>
      <c r="AY36" s="65" t="s">
        <v>2178</v>
      </c>
      <c r="BA36" s="108" t="s">
        <v>3974</v>
      </c>
      <c r="BB36" s="182">
        <v>1471901</v>
      </c>
    </row>
    <row r="37" spans="1:54" ht="15.75" thickBot="1" x14ac:dyDescent="0.3">
      <c r="A37" s="118">
        <v>33</v>
      </c>
      <c r="B37" s="90">
        <f>IF('FORMATO ACTUALIZACIÓN DATOS'!J53="",0,1)</f>
        <v>0</v>
      </c>
      <c r="C37" s="95" t="s">
        <v>3482</v>
      </c>
      <c r="D37" s="54" t="str">
        <f t="shared" si="6"/>
        <v xml:space="preserve"> - Nombre Interventor Contrato</v>
      </c>
      <c r="F37"/>
      <c r="G37"/>
      <c r="K37" s="104" t="s">
        <v>3849</v>
      </c>
      <c r="L37" s="213">
        <v>1100</v>
      </c>
      <c r="T37" s="21" t="s">
        <v>85</v>
      </c>
      <c r="U37" s="22" t="s">
        <v>84</v>
      </c>
      <c r="AB37" s="71" t="s">
        <v>513</v>
      </c>
      <c r="AC37" s="72" t="s">
        <v>512</v>
      </c>
      <c r="AD37" s="73" t="str">
        <f t="shared" si="2"/>
        <v>05-36</v>
      </c>
      <c r="AE37" s="74">
        <f t="shared" si="3"/>
        <v>36</v>
      </c>
      <c r="AF37" s="71" t="s">
        <v>547</v>
      </c>
      <c r="AG37" s="73" t="s">
        <v>1713</v>
      </c>
      <c r="AI37" s="41">
        <v>36</v>
      </c>
      <c r="AJ37" s="42" t="str">
        <f t="shared" si="4"/>
        <v>-36</v>
      </c>
      <c r="AK37" s="42" t="str">
        <f t="shared" si="7"/>
        <v/>
      </c>
      <c r="AL37" s="43" t="str">
        <f t="shared" si="8"/>
        <v/>
      </c>
      <c r="AN37" s="235" t="s">
        <v>5618</v>
      </c>
      <c r="AO37" s="235" t="s">
        <v>5618</v>
      </c>
      <c r="AP37" s="83"/>
      <c r="AQ37" s="235">
        <v>69</v>
      </c>
      <c r="AS37" s="3">
        <v>322</v>
      </c>
      <c r="AU37" s="65" t="s">
        <v>3165</v>
      </c>
      <c r="AV37" s="3">
        <v>0</v>
      </c>
      <c r="AX37" s="3" t="s">
        <v>2179</v>
      </c>
      <c r="AY37" s="65" t="s">
        <v>2180</v>
      </c>
      <c r="BA37" s="109" t="s">
        <v>3975</v>
      </c>
      <c r="BB37" s="183">
        <v>1472201</v>
      </c>
    </row>
    <row r="38" spans="1:54" ht="15.75" thickBot="1" x14ac:dyDescent="0.3">
      <c r="A38" s="118">
        <v>34</v>
      </c>
      <c r="B38" s="90">
        <f>IF('FORMATO ACTUALIZACIÓN DATOS'!S53="",0,1)</f>
        <v>0</v>
      </c>
      <c r="C38" s="95" t="s">
        <v>3483</v>
      </c>
      <c r="D38" s="54" t="str">
        <f t="shared" si="6"/>
        <v xml:space="preserve"> - Cargo Interventor Contrato</v>
      </c>
      <c r="F38"/>
      <c r="G38"/>
      <c r="K38" s="104" t="s">
        <v>3850</v>
      </c>
      <c r="L38" s="213">
        <v>1200</v>
      </c>
      <c r="T38" s="21" t="s">
        <v>87</v>
      </c>
      <c r="U38" s="22" t="s">
        <v>86</v>
      </c>
      <c r="AB38" s="71" t="s">
        <v>513</v>
      </c>
      <c r="AC38" s="72" t="s">
        <v>512</v>
      </c>
      <c r="AD38" s="73" t="str">
        <f t="shared" si="2"/>
        <v>05-37</v>
      </c>
      <c r="AE38" s="74">
        <f t="shared" si="3"/>
        <v>37</v>
      </c>
      <c r="AF38" s="71" t="s">
        <v>548</v>
      </c>
      <c r="AG38" s="73" t="s">
        <v>122</v>
      </c>
      <c r="AI38" s="41">
        <v>37</v>
      </c>
      <c r="AJ38" s="42" t="str">
        <f t="shared" si="4"/>
        <v>-37</v>
      </c>
      <c r="AK38" s="42" t="str">
        <f t="shared" si="7"/>
        <v/>
      </c>
      <c r="AL38" s="43" t="str">
        <f t="shared" si="8"/>
        <v/>
      </c>
      <c r="AN38" s="235" t="s">
        <v>3662</v>
      </c>
      <c r="AO38" s="235" t="s">
        <v>3662</v>
      </c>
      <c r="AP38" s="83"/>
      <c r="AQ38" s="235">
        <v>995</v>
      </c>
      <c r="AS38" s="3">
        <v>510</v>
      </c>
      <c r="AT38" s="3">
        <v>103</v>
      </c>
      <c r="AU38" s="3" t="s">
        <v>3221</v>
      </c>
      <c r="AV38" s="3">
        <v>11.04</v>
      </c>
      <c r="AX38" s="3" t="s">
        <v>2181</v>
      </c>
      <c r="AY38" s="65" t="s">
        <v>2182</v>
      </c>
      <c r="BA38" s="108" t="s">
        <v>3976</v>
      </c>
      <c r="BB38" s="182">
        <v>1472301</v>
      </c>
    </row>
    <row r="39" spans="1:54" ht="15.75" thickBot="1" x14ac:dyDescent="0.3">
      <c r="A39" s="118">
        <v>35</v>
      </c>
      <c r="B39" s="113">
        <f>IF('FORMATO ACTUALIZACIÓN DATOS'!Z53="",0,1)</f>
        <v>0</v>
      </c>
      <c r="C39" s="114" t="s">
        <v>5592</v>
      </c>
      <c r="D39" s="54" t="str">
        <f t="shared" si="6"/>
        <v xml:space="preserve"> - Nombre Operativo</v>
      </c>
      <c r="F39"/>
      <c r="G39"/>
      <c r="K39" s="104" t="s">
        <v>3851</v>
      </c>
      <c r="L39" s="213">
        <v>1300</v>
      </c>
      <c r="T39" s="21" t="s">
        <v>89</v>
      </c>
      <c r="U39" s="22" t="s">
        <v>88</v>
      </c>
      <c r="AB39" s="71" t="s">
        <v>513</v>
      </c>
      <c r="AC39" s="72" t="s">
        <v>512</v>
      </c>
      <c r="AD39" s="73" t="str">
        <f t="shared" si="2"/>
        <v>05-38</v>
      </c>
      <c r="AE39" s="74">
        <f t="shared" si="3"/>
        <v>38</v>
      </c>
      <c r="AF39" s="71" t="s">
        <v>549</v>
      </c>
      <c r="AG39" s="73" t="s">
        <v>1714</v>
      </c>
      <c r="AI39" s="41">
        <v>38</v>
      </c>
      <c r="AJ39" s="42" t="str">
        <f t="shared" si="4"/>
        <v>-38</v>
      </c>
      <c r="AK39" s="42" t="str">
        <f t="shared" si="7"/>
        <v/>
      </c>
      <c r="AL39" s="43" t="str">
        <f t="shared" si="8"/>
        <v/>
      </c>
      <c r="AN39" s="235" t="s">
        <v>3679</v>
      </c>
      <c r="AO39" s="235" t="s">
        <v>3679</v>
      </c>
      <c r="AP39" s="83"/>
      <c r="AQ39" s="235">
        <v>996</v>
      </c>
      <c r="AS39" s="3">
        <v>520</v>
      </c>
      <c r="AT39" s="3">
        <v>103</v>
      </c>
      <c r="AU39" s="3" t="s">
        <v>3222</v>
      </c>
      <c r="AV39" s="3">
        <v>11.04</v>
      </c>
      <c r="AX39" s="3" t="s">
        <v>2183</v>
      </c>
      <c r="AY39" s="65" t="s">
        <v>2184</v>
      </c>
      <c r="BA39" s="109" t="s">
        <v>3977</v>
      </c>
      <c r="BB39" s="183">
        <v>1472401</v>
      </c>
    </row>
    <row r="40" spans="1:54" ht="15.75" thickBot="1" x14ac:dyDescent="0.3">
      <c r="A40" s="118">
        <v>36</v>
      </c>
      <c r="B40" s="113">
        <f>IF('FORMATO ACTUALIZACIÓN DATOS'!AH53="",0,1)</f>
        <v>0</v>
      </c>
      <c r="C40" s="114" t="s">
        <v>5591</v>
      </c>
      <c r="D40" s="54" t="str">
        <f t="shared" si="6"/>
        <v xml:space="preserve"> - Identificación Operativo</v>
      </c>
      <c r="F40"/>
      <c r="G40"/>
      <c r="K40" s="104" t="s">
        <v>3852</v>
      </c>
      <c r="L40" s="213">
        <v>1400</v>
      </c>
      <c r="T40" s="21" t="s">
        <v>91</v>
      </c>
      <c r="U40" s="22" t="s">
        <v>90</v>
      </c>
      <c r="AB40" s="71" t="s">
        <v>513</v>
      </c>
      <c r="AC40" s="72" t="s">
        <v>512</v>
      </c>
      <c r="AD40" s="73" t="str">
        <f t="shared" si="2"/>
        <v>05-39</v>
      </c>
      <c r="AE40" s="74">
        <f t="shared" si="3"/>
        <v>39</v>
      </c>
      <c r="AF40" s="71" t="s">
        <v>550</v>
      </c>
      <c r="AG40" s="73" t="s">
        <v>1715</v>
      </c>
      <c r="AI40" s="41">
        <v>39</v>
      </c>
      <c r="AJ40" s="42" t="str">
        <f t="shared" si="4"/>
        <v>-39</v>
      </c>
      <c r="AK40" s="42" t="str">
        <f t="shared" si="7"/>
        <v/>
      </c>
      <c r="AL40" s="43" t="str">
        <f t="shared" si="8"/>
        <v/>
      </c>
      <c r="AN40" s="235" t="s">
        <v>3688</v>
      </c>
      <c r="AO40" s="235" t="s">
        <v>3688</v>
      </c>
      <c r="AP40" s="83"/>
      <c r="AQ40" s="235">
        <v>551</v>
      </c>
      <c r="AS40" s="3">
        <v>610</v>
      </c>
      <c r="AT40" s="3">
        <v>103</v>
      </c>
      <c r="AU40" s="3" t="s">
        <v>3223</v>
      </c>
      <c r="AV40" s="3">
        <v>11.04</v>
      </c>
      <c r="AX40" s="3" t="s">
        <v>2185</v>
      </c>
      <c r="AY40" s="65" t="s">
        <v>2186</v>
      </c>
      <c r="BA40" s="108" t="s">
        <v>3978</v>
      </c>
      <c r="BB40" s="182">
        <v>1472402</v>
      </c>
    </row>
    <row r="41" spans="1:54" ht="15.75" thickBot="1" x14ac:dyDescent="0.3">
      <c r="A41" s="118">
        <v>37</v>
      </c>
      <c r="B41" s="91">
        <f>IF('FORMATO ACTUALIZACIÓN DATOS'!AX50="",0,1)</f>
        <v>0</v>
      </c>
      <c r="C41" s="96" t="s">
        <v>3912</v>
      </c>
      <c r="D41" s="92" t="str">
        <f t="shared" si="6"/>
        <v xml:space="preserve"> - Codigo ARL</v>
      </c>
      <c r="E41"/>
      <c r="K41" s="104" t="s">
        <v>3853</v>
      </c>
      <c r="L41" s="213">
        <v>1500</v>
      </c>
      <c r="T41" s="21" t="s">
        <v>93</v>
      </c>
      <c r="U41" s="22" t="s">
        <v>92</v>
      </c>
      <c r="AB41" s="71" t="s">
        <v>513</v>
      </c>
      <c r="AC41" s="72" t="s">
        <v>512</v>
      </c>
      <c r="AD41" s="73" t="str">
        <f t="shared" si="2"/>
        <v>05-40</v>
      </c>
      <c r="AE41" s="74">
        <f t="shared" si="3"/>
        <v>40</v>
      </c>
      <c r="AF41" s="71" t="s">
        <v>551</v>
      </c>
      <c r="AG41" s="73" t="s">
        <v>1716</v>
      </c>
      <c r="AI41" s="41">
        <v>40</v>
      </c>
      <c r="AJ41" s="42" t="str">
        <f t="shared" si="4"/>
        <v>-40</v>
      </c>
      <c r="AK41" s="42" t="str">
        <f t="shared" si="7"/>
        <v/>
      </c>
      <c r="AL41" s="43" t="str">
        <f t="shared" si="8"/>
        <v/>
      </c>
      <c r="AN41" s="235" t="s">
        <v>5619</v>
      </c>
      <c r="AO41" s="235" t="s">
        <v>5619</v>
      </c>
      <c r="AP41" s="83"/>
      <c r="AQ41" s="235">
        <v>151</v>
      </c>
      <c r="AS41" s="3">
        <v>620</v>
      </c>
      <c r="AT41" s="3">
        <v>103</v>
      </c>
      <c r="AU41" s="3" t="s">
        <v>3224</v>
      </c>
      <c r="AV41" s="3">
        <v>11.04</v>
      </c>
      <c r="AX41" s="3" t="s">
        <v>2187</v>
      </c>
      <c r="AY41" s="65" t="s">
        <v>2188</v>
      </c>
      <c r="BA41" s="109" t="s">
        <v>3979</v>
      </c>
      <c r="BB41" s="183">
        <v>1472901</v>
      </c>
    </row>
    <row r="42" spans="1:54" ht="15.75" thickBot="1" x14ac:dyDescent="0.3">
      <c r="A42" s="118">
        <v>38</v>
      </c>
      <c r="B42" s="88">
        <f>IF('FORMATO ACTUALIZACIÓN DATOS'!AA11=1,1,IF(G42=1,1,0))</f>
        <v>0</v>
      </c>
      <c r="C42" s="94" t="s">
        <v>3121</v>
      </c>
      <c r="D42" s="89" t="str">
        <f t="shared" si="6"/>
        <v xml:space="preserve"> - Pregunta C1</v>
      </c>
      <c r="E42" s="121">
        <f>IF('FORMATO ACTUALIZACIÓN DATOS'!BA61="X",1,0)</f>
        <v>0</v>
      </c>
      <c r="F42" s="122">
        <f>IF('FORMATO ACTUALIZACIÓN DATOS'!BC61="X",1,0)</f>
        <v>0</v>
      </c>
      <c r="G42" s="123">
        <f>SUM(E42:F42)</f>
        <v>0</v>
      </c>
      <c r="K42" s="104" t="s">
        <v>3854</v>
      </c>
      <c r="L42" s="213">
        <v>1600</v>
      </c>
      <c r="T42" s="21" t="s">
        <v>95</v>
      </c>
      <c r="U42" s="22" t="s">
        <v>94</v>
      </c>
      <c r="AB42" s="71" t="s">
        <v>513</v>
      </c>
      <c r="AC42" s="72" t="s">
        <v>512</v>
      </c>
      <c r="AD42" s="73" t="str">
        <f t="shared" si="2"/>
        <v>05-41</v>
      </c>
      <c r="AE42" s="74">
        <f t="shared" si="3"/>
        <v>41</v>
      </c>
      <c r="AF42" s="71" t="s">
        <v>552</v>
      </c>
      <c r="AG42" s="73" t="s">
        <v>1717</v>
      </c>
      <c r="AI42" s="41">
        <v>41</v>
      </c>
      <c r="AJ42" s="42" t="str">
        <f t="shared" si="4"/>
        <v>-41</v>
      </c>
      <c r="AK42" s="42" t="str">
        <f t="shared" si="7"/>
        <v/>
      </c>
      <c r="AL42" s="43" t="str">
        <f t="shared" si="8"/>
        <v/>
      </c>
      <c r="AN42" s="235" t="s">
        <v>5620</v>
      </c>
      <c r="AO42" s="235" t="s">
        <v>5620</v>
      </c>
      <c r="AP42" s="83"/>
      <c r="AQ42" s="235">
        <v>994</v>
      </c>
      <c r="AS42" s="3">
        <v>710</v>
      </c>
      <c r="AT42" s="3">
        <v>103</v>
      </c>
      <c r="AU42" s="3" t="s">
        <v>3225</v>
      </c>
      <c r="AV42" s="3">
        <v>11.04</v>
      </c>
      <c r="AX42" s="3" t="s">
        <v>2189</v>
      </c>
      <c r="AY42" s="65" t="s">
        <v>2190</v>
      </c>
      <c r="BA42" s="108" t="s">
        <v>3980</v>
      </c>
      <c r="BB42" s="182">
        <v>1472902</v>
      </c>
    </row>
    <row r="43" spans="1:54" ht="15.75" thickBot="1" x14ac:dyDescent="0.3">
      <c r="A43" s="118">
        <v>39</v>
      </c>
      <c r="B43" s="90">
        <f>IF('FORMATO ACTUALIZACIÓN DATOS'!AA11=1,1,IF(G43=1,1,0))</f>
        <v>0</v>
      </c>
      <c r="C43" s="95" t="s">
        <v>3122</v>
      </c>
      <c r="D43" s="54" t="str">
        <f t="shared" si="6"/>
        <v xml:space="preserve"> - Pregunta C2</v>
      </c>
      <c r="E43" s="121">
        <f>IF('FORMATO ACTUALIZACIÓN DATOS'!BA64="X",1,0)</f>
        <v>0</v>
      </c>
      <c r="F43" s="122">
        <f>IF('FORMATO ACTUALIZACIÓN DATOS'!BC64="X",1,0)</f>
        <v>0</v>
      </c>
      <c r="G43" s="123">
        <f>SUM(E43:F43)</f>
        <v>0</v>
      </c>
      <c r="K43" s="104" t="s">
        <v>3855</v>
      </c>
      <c r="L43" s="213">
        <v>1700</v>
      </c>
      <c r="T43" s="21" t="s">
        <v>97</v>
      </c>
      <c r="U43" s="22" t="s">
        <v>96</v>
      </c>
      <c r="AB43" s="71" t="s">
        <v>513</v>
      </c>
      <c r="AC43" s="72" t="s">
        <v>512</v>
      </c>
      <c r="AD43" s="73" t="str">
        <f t="shared" si="2"/>
        <v>05-42</v>
      </c>
      <c r="AE43" s="74">
        <f t="shared" si="3"/>
        <v>42</v>
      </c>
      <c r="AF43" s="71" t="s">
        <v>553</v>
      </c>
      <c r="AG43" s="73" t="s">
        <v>1718</v>
      </c>
      <c r="AI43" s="41">
        <v>42</v>
      </c>
      <c r="AJ43" s="42" t="str">
        <f t="shared" si="4"/>
        <v>-42</v>
      </c>
      <c r="AK43" s="42" t="str">
        <f t="shared" si="7"/>
        <v/>
      </c>
      <c r="AL43" s="43" t="str">
        <f t="shared" si="8"/>
        <v/>
      </c>
      <c r="AN43" s="235" t="s">
        <v>3689</v>
      </c>
      <c r="AO43" s="235" t="s">
        <v>3689</v>
      </c>
      <c r="AP43" s="83"/>
      <c r="AQ43" s="235">
        <v>993</v>
      </c>
      <c r="AS43" s="3">
        <v>721</v>
      </c>
      <c r="AT43" s="3">
        <v>103</v>
      </c>
      <c r="AU43" s="3" t="s">
        <v>3226</v>
      </c>
      <c r="AV43" s="3">
        <v>11.04</v>
      </c>
      <c r="AX43" s="3" t="s">
        <v>2191</v>
      </c>
      <c r="AY43" s="65" t="s">
        <v>2192</v>
      </c>
      <c r="BA43" s="109" t="s">
        <v>3981</v>
      </c>
      <c r="BB43" s="183">
        <v>1473201</v>
      </c>
    </row>
    <row r="44" spans="1:54" ht="15.75" thickBot="1" x14ac:dyDescent="0.3">
      <c r="A44" s="118">
        <v>40</v>
      </c>
      <c r="B44" s="90">
        <f>IF('FORMATO ACTUALIZACIÓN DATOS'!AA13=1,1,IF(G44=1,1,0))</f>
        <v>0</v>
      </c>
      <c r="C44" s="95" t="s">
        <v>3517</v>
      </c>
      <c r="D44" s="54" t="str">
        <f t="shared" si="6"/>
        <v xml:space="preserve"> - Pregunta C3</v>
      </c>
      <c r="E44" s="121">
        <f>IF('FORMATO ACTUALIZACIÓN DATOS'!BA67="X",1,0)</f>
        <v>0</v>
      </c>
      <c r="F44" s="122">
        <f>IF('FORMATO ACTUALIZACIÓN DATOS'!BC67="X",1,0)</f>
        <v>0</v>
      </c>
      <c r="G44" s="123">
        <f>SUM(E44:F44)</f>
        <v>0</v>
      </c>
      <c r="K44" s="104" t="s">
        <v>3856</v>
      </c>
      <c r="L44" s="213">
        <v>1800</v>
      </c>
      <c r="T44" s="21" t="s">
        <v>99</v>
      </c>
      <c r="U44" s="22" t="s">
        <v>98</v>
      </c>
      <c r="AB44" s="71" t="s">
        <v>513</v>
      </c>
      <c r="AC44" s="72" t="s">
        <v>512</v>
      </c>
      <c r="AD44" s="73" t="str">
        <f t="shared" si="2"/>
        <v>05-43</v>
      </c>
      <c r="AE44" s="74">
        <f t="shared" si="3"/>
        <v>43</v>
      </c>
      <c r="AF44" s="71" t="s">
        <v>554</v>
      </c>
      <c r="AG44" s="73" t="s">
        <v>1719</v>
      </c>
      <c r="AI44" s="41">
        <v>43</v>
      </c>
      <c r="AJ44" s="42" t="str">
        <f t="shared" si="4"/>
        <v>-43</v>
      </c>
      <c r="AK44" s="42" t="str">
        <f t="shared" si="7"/>
        <v/>
      </c>
      <c r="AL44" s="43" t="str">
        <f t="shared" si="8"/>
        <v/>
      </c>
      <c r="AN44" s="235" t="s">
        <v>5621</v>
      </c>
      <c r="AO44" s="235" t="s">
        <v>5621</v>
      </c>
      <c r="AP44" s="83"/>
      <c r="AQ44" s="235">
        <v>992</v>
      </c>
      <c r="AS44" s="3">
        <v>722</v>
      </c>
      <c r="AT44" s="3">
        <v>103</v>
      </c>
      <c r="AU44" s="3" t="s">
        <v>3227</v>
      </c>
      <c r="AV44" s="3">
        <v>11.04</v>
      </c>
      <c r="AX44" s="3" t="s">
        <v>2193</v>
      </c>
      <c r="AY44" s="65" t="s">
        <v>2194</v>
      </c>
      <c r="BA44" s="108" t="s">
        <v>3982</v>
      </c>
      <c r="BB44" s="182">
        <v>1474101</v>
      </c>
    </row>
    <row r="45" spans="1:54" ht="15.75" thickBot="1" x14ac:dyDescent="0.3">
      <c r="A45" s="118">
        <v>41</v>
      </c>
      <c r="B45" s="91">
        <f>IF('FORMATO ACTUALIZACIÓN DATOS'!AA11=1,1,IF(G45=1,1,0))</f>
        <v>0</v>
      </c>
      <c r="C45" s="96" t="s">
        <v>3518</v>
      </c>
      <c r="D45" s="92" t="str">
        <f t="shared" si="6"/>
        <v xml:space="preserve"> - Pregunta C4</v>
      </c>
      <c r="E45" s="121">
        <f>IF('FORMATO ACTUALIZACIÓN DATOS'!BA70="X",1,0)</f>
        <v>0</v>
      </c>
      <c r="F45" s="122">
        <f>IF('FORMATO ACTUALIZACIÓN DATOS'!BC70="X",1,0)</f>
        <v>0</v>
      </c>
      <c r="G45" s="123">
        <f>SUM(E45:F45)</f>
        <v>0</v>
      </c>
      <c r="K45" s="103" t="s">
        <v>3857</v>
      </c>
      <c r="L45" s="213">
        <v>2000</v>
      </c>
      <c r="T45" s="21" t="s">
        <v>101</v>
      </c>
      <c r="U45" s="22" t="s">
        <v>100</v>
      </c>
      <c r="AB45" s="71" t="s">
        <v>513</v>
      </c>
      <c r="AC45" s="72" t="s">
        <v>512</v>
      </c>
      <c r="AD45" s="73" t="str">
        <f t="shared" si="2"/>
        <v>05-44</v>
      </c>
      <c r="AE45" s="74">
        <f t="shared" si="3"/>
        <v>44</v>
      </c>
      <c r="AF45" s="71" t="s">
        <v>555</v>
      </c>
      <c r="AG45" s="73" t="s">
        <v>142</v>
      </c>
      <c r="AI45" s="41">
        <v>44</v>
      </c>
      <c r="AJ45" s="42" t="str">
        <f t="shared" si="4"/>
        <v>-44</v>
      </c>
      <c r="AK45" s="42" t="str">
        <f t="shared" si="7"/>
        <v/>
      </c>
      <c r="AL45" s="43" t="str">
        <f t="shared" si="8"/>
        <v/>
      </c>
      <c r="AN45" s="235" t="s">
        <v>5622</v>
      </c>
      <c r="AO45" s="235" t="s">
        <v>5622</v>
      </c>
      <c r="AP45" s="83"/>
      <c r="AQ45" s="235">
        <v>47</v>
      </c>
      <c r="AS45" s="3">
        <v>723</v>
      </c>
      <c r="AT45" s="3">
        <v>103</v>
      </c>
      <c r="AU45" s="3" t="s">
        <v>3228</v>
      </c>
      <c r="AV45" s="3">
        <v>11.04</v>
      </c>
      <c r="AX45" s="3" t="s">
        <v>2195</v>
      </c>
      <c r="AY45" s="65" t="s">
        <v>2196</v>
      </c>
      <c r="BA45" s="109" t="s">
        <v>3983</v>
      </c>
      <c r="BB45" s="183">
        <v>1474201</v>
      </c>
    </row>
    <row r="46" spans="1:54" ht="15.75" thickBot="1" x14ac:dyDescent="0.3">
      <c r="A46" s="118">
        <v>42</v>
      </c>
      <c r="B46" s="88">
        <f>IF(G46=0,0,IF('FORMATO ACTUALIZACIÓN DATOS'!AA11=1,1,IF(E46=0,1,IF('FORMATO ACTUALIZACIÓN DATOS'!I83="",0,1))))</f>
        <v>0</v>
      </c>
      <c r="C46" s="94" t="s">
        <v>3501</v>
      </c>
      <c r="D46" s="89" t="str">
        <f t="shared" si="6"/>
        <v xml:space="preserve"> - Entidad (AFC)</v>
      </c>
      <c r="E46" s="121">
        <f>IF('FORMATO ACTUALIZACIÓN DATOS'!S82="X",1,0)</f>
        <v>0</v>
      </c>
      <c r="F46" s="122">
        <f>IF('FORMATO ACTUALIZACIÓN DATOS'!V82="X",1,0)</f>
        <v>0</v>
      </c>
      <c r="G46" s="123">
        <f>SUM(E46:F46)</f>
        <v>0</v>
      </c>
      <c r="K46" s="104" t="s">
        <v>3858</v>
      </c>
      <c r="L46" s="213">
        <v>2100</v>
      </c>
      <c r="T46" s="21" t="s">
        <v>103</v>
      </c>
      <c r="U46" s="22" t="s">
        <v>102</v>
      </c>
      <c r="AB46" s="71" t="s">
        <v>513</v>
      </c>
      <c r="AC46" s="72" t="s">
        <v>512</v>
      </c>
      <c r="AD46" s="73" t="str">
        <f t="shared" si="2"/>
        <v>05-45</v>
      </c>
      <c r="AE46" s="74">
        <f t="shared" si="3"/>
        <v>45</v>
      </c>
      <c r="AF46" s="71" t="s">
        <v>556</v>
      </c>
      <c r="AG46" s="73" t="s">
        <v>1720</v>
      </c>
      <c r="AI46" s="41">
        <v>45</v>
      </c>
      <c r="AJ46" s="42" t="str">
        <f t="shared" si="4"/>
        <v>-45</v>
      </c>
      <c r="AK46" s="42" t="str">
        <f t="shared" si="7"/>
        <v/>
      </c>
      <c r="AL46" s="43" t="str">
        <f t="shared" si="8"/>
        <v/>
      </c>
      <c r="AN46" s="235" t="s">
        <v>5623</v>
      </c>
      <c r="AO46" s="235" t="s">
        <v>5623</v>
      </c>
      <c r="AP46" s="83"/>
      <c r="AQ46" s="235">
        <v>989</v>
      </c>
      <c r="AS46" s="3">
        <v>729</v>
      </c>
      <c r="AT46" s="3">
        <v>103</v>
      </c>
      <c r="AU46" s="3" t="s">
        <v>2206</v>
      </c>
      <c r="AV46" s="3">
        <v>11.04</v>
      </c>
      <c r="AX46" s="3" t="s">
        <v>2197</v>
      </c>
      <c r="AY46" s="65" t="s">
        <v>2198</v>
      </c>
      <c r="BA46" s="108" t="s">
        <v>3984</v>
      </c>
      <c r="BB46" s="182">
        <v>1475101</v>
      </c>
    </row>
    <row r="47" spans="1:54" ht="15.75" thickBot="1" x14ac:dyDescent="0.3">
      <c r="A47" s="118">
        <v>43</v>
      </c>
      <c r="B47" s="90">
        <f>IF(G46=0,0,IF('FORMATO ACTUALIZACIÓN DATOS'!AA11=1,1,IF(E46=0,1,IF('FORMATO ACTUALIZACIÓN DATOS'!I84="",0,1))))</f>
        <v>0</v>
      </c>
      <c r="C47" s="95" t="s">
        <v>3502</v>
      </c>
      <c r="D47" s="54" t="str">
        <f t="shared" si="6"/>
        <v xml:space="preserve"> - NIT (AFC)</v>
      </c>
      <c r="K47" s="104" t="s">
        <v>3859</v>
      </c>
      <c r="L47" s="213">
        <v>2300</v>
      </c>
      <c r="T47" s="21" t="s">
        <v>105</v>
      </c>
      <c r="U47" s="22" t="s">
        <v>104</v>
      </c>
      <c r="AB47" s="71" t="s">
        <v>513</v>
      </c>
      <c r="AC47" s="72" t="s">
        <v>512</v>
      </c>
      <c r="AD47" s="73" t="str">
        <f t="shared" si="2"/>
        <v>05-46</v>
      </c>
      <c r="AE47" s="74">
        <f t="shared" si="3"/>
        <v>46</v>
      </c>
      <c r="AF47" s="71" t="s">
        <v>557</v>
      </c>
      <c r="AG47" s="73" t="s">
        <v>1721</v>
      </c>
      <c r="AI47" s="41">
        <v>46</v>
      </c>
      <c r="AJ47" s="42" t="str">
        <f t="shared" si="4"/>
        <v>-46</v>
      </c>
      <c r="AK47" s="42" t="str">
        <f t="shared" si="7"/>
        <v/>
      </c>
      <c r="AL47" s="43" t="str">
        <f t="shared" si="8"/>
        <v/>
      </c>
      <c r="AN47" s="235" t="s">
        <v>3670</v>
      </c>
      <c r="AO47" s="235" t="s">
        <v>3670</v>
      </c>
      <c r="AP47" s="83"/>
      <c r="AQ47" s="235">
        <v>991</v>
      </c>
      <c r="AS47" s="3">
        <v>811</v>
      </c>
      <c r="AT47" s="3">
        <v>103</v>
      </c>
      <c r="AU47" s="3" t="s">
        <v>3229</v>
      </c>
      <c r="AV47" s="3">
        <v>11.04</v>
      </c>
      <c r="AX47" s="3" t="s">
        <v>2199</v>
      </c>
      <c r="AY47" s="65" t="s">
        <v>2200</v>
      </c>
      <c r="BA47" s="109" t="s">
        <v>3985</v>
      </c>
      <c r="BB47" s="183">
        <v>1475201</v>
      </c>
    </row>
    <row r="48" spans="1:54" ht="15.75" thickBot="1" x14ac:dyDescent="0.3">
      <c r="A48" s="118">
        <v>44</v>
      </c>
      <c r="B48" s="90">
        <f>IF(G46=0,0,IF('FORMATO ACTUALIZACIÓN DATOS'!AA11=1,1,IF(E46=0,1,IF('FORMATO ACTUALIZACIÓN DATOS'!I85="",0,1))))</f>
        <v>0</v>
      </c>
      <c r="C48" s="95" t="s">
        <v>3503</v>
      </c>
      <c r="D48" s="54" t="str">
        <f t="shared" si="6"/>
        <v xml:space="preserve"> - Valor Mensual (AFC)</v>
      </c>
      <c r="K48" s="104" t="s">
        <v>3860</v>
      </c>
      <c r="L48" s="213">
        <v>2400</v>
      </c>
      <c r="T48" s="21" t="s">
        <v>107</v>
      </c>
      <c r="U48" s="22" t="s">
        <v>106</v>
      </c>
      <c r="AB48" s="71" t="s">
        <v>513</v>
      </c>
      <c r="AC48" s="72" t="s">
        <v>512</v>
      </c>
      <c r="AD48" s="73" t="str">
        <f t="shared" si="2"/>
        <v>05-47</v>
      </c>
      <c r="AE48" s="74">
        <f t="shared" si="3"/>
        <v>47</v>
      </c>
      <c r="AF48" s="71" t="s">
        <v>558</v>
      </c>
      <c r="AG48" s="73" t="s">
        <v>1722</v>
      </c>
      <c r="AI48" s="41">
        <v>47</v>
      </c>
      <c r="AJ48" s="42" t="str">
        <f t="shared" si="4"/>
        <v>-47</v>
      </c>
      <c r="AK48" s="42" t="str">
        <f t="shared" si="7"/>
        <v/>
      </c>
      <c r="AL48" s="43" t="str">
        <f t="shared" si="8"/>
        <v/>
      </c>
      <c r="AN48" s="235" t="s">
        <v>5624</v>
      </c>
      <c r="AO48" s="235" t="s">
        <v>5624</v>
      </c>
      <c r="AP48" s="83"/>
      <c r="AQ48" s="235">
        <v>1</v>
      </c>
      <c r="AS48" s="3">
        <v>812</v>
      </c>
      <c r="AT48" s="3">
        <v>103</v>
      </c>
      <c r="AU48" s="3" t="s">
        <v>3230</v>
      </c>
      <c r="AV48" s="3">
        <v>11.04</v>
      </c>
      <c r="AX48" s="3" t="s">
        <v>2201</v>
      </c>
      <c r="AY48" s="65" t="s">
        <v>2202</v>
      </c>
      <c r="BA48" s="108" t="s">
        <v>3986</v>
      </c>
      <c r="BB48" s="182">
        <v>1475202</v>
      </c>
    </row>
    <row r="49" spans="1:54" ht="15.75" thickBot="1" x14ac:dyDescent="0.3">
      <c r="A49" s="118">
        <v>45</v>
      </c>
      <c r="B49" s="90">
        <f>IF(G49=0,0,IF('FORMATO ACTUALIZACIÓN DATOS'!AA11=1,1,IF(F49=1,1,IF('FORMATO ACTUALIZACIÓN DATOS'!AN83="",0,1))))</f>
        <v>0</v>
      </c>
      <c r="C49" s="95" t="s">
        <v>3504</v>
      </c>
      <c r="D49" s="54" t="str">
        <f t="shared" si="6"/>
        <v xml:space="preserve"> - Entidad (Pensiones Voluntarias)</v>
      </c>
      <c r="E49" s="121">
        <f>IF('FORMATO ACTUALIZACIÓN DATOS'!AX82="X",1,0)</f>
        <v>0</v>
      </c>
      <c r="F49" s="122">
        <f>IF('FORMATO ACTUALIZACIÓN DATOS'!BA82="X",1,0)</f>
        <v>0</v>
      </c>
      <c r="G49" s="123">
        <f>E49+F49</f>
        <v>0</v>
      </c>
      <c r="K49" s="104" t="s">
        <v>3861</v>
      </c>
      <c r="L49" s="213">
        <v>2500</v>
      </c>
      <c r="T49" s="21" t="s">
        <v>109</v>
      </c>
      <c r="U49" s="22" t="s">
        <v>108</v>
      </c>
      <c r="AB49" s="71" t="s">
        <v>513</v>
      </c>
      <c r="AC49" s="72" t="s">
        <v>512</v>
      </c>
      <c r="AD49" s="73" t="str">
        <f t="shared" si="2"/>
        <v>05-48</v>
      </c>
      <c r="AE49" s="74">
        <f t="shared" si="3"/>
        <v>48</v>
      </c>
      <c r="AF49" s="71" t="s">
        <v>559</v>
      </c>
      <c r="AG49" s="73" t="s">
        <v>1723</v>
      </c>
      <c r="AI49" s="41">
        <v>48</v>
      </c>
      <c r="AJ49" s="42" t="str">
        <f t="shared" si="4"/>
        <v>-48</v>
      </c>
      <c r="AK49" s="42" t="str">
        <f t="shared" si="7"/>
        <v/>
      </c>
      <c r="AL49" s="43" t="str">
        <f t="shared" si="8"/>
        <v/>
      </c>
      <c r="AN49" s="235" t="s">
        <v>5625</v>
      </c>
      <c r="AO49" s="235" t="s">
        <v>5625</v>
      </c>
      <c r="AP49" s="83"/>
      <c r="AQ49" s="235">
        <v>988</v>
      </c>
      <c r="AS49" s="3">
        <v>820</v>
      </c>
      <c r="AT49" s="3">
        <v>103</v>
      </c>
      <c r="AU49" s="3" t="s">
        <v>3231</v>
      </c>
      <c r="AV49" s="3">
        <v>11.04</v>
      </c>
      <c r="AX49" s="3" t="s">
        <v>2203</v>
      </c>
      <c r="AY49" s="65" t="s">
        <v>2204</v>
      </c>
      <c r="BA49" s="109" t="s">
        <v>3987</v>
      </c>
      <c r="BB49" s="183">
        <v>1475301</v>
      </c>
    </row>
    <row r="50" spans="1:54" ht="15.75" thickBot="1" x14ac:dyDescent="0.3">
      <c r="A50" s="118">
        <v>46</v>
      </c>
      <c r="B50" s="90">
        <f>IF(G49=0,0,IF('FORMATO ACTUALIZACIÓN DATOS'!AA11=1,1,IF(E49=0,1,IF('FORMATO ACTUALIZACIÓN DATOS'!AN84="",0,1))))</f>
        <v>0</v>
      </c>
      <c r="C50" s="95" t="s">
        <v>3505</v>
      </c>
      <c r="D50" s="54" t="str">
        <f t="shared" si="6"/>
        <v xml:space="preserve"> - NIT (Pensiones Voluntarias)</v>
      </c>
      <c r="K50" s="104" t="s">
        <v>3862</v>
      </c>
      <c r="L50" s="213">
        <v>2600</v>
      </c>
      <c r="T50" s="21" t="s">
        <v>111</v>
      </c>
      <c r="U50" s="22" t="s">
        <v>110</v>
      </c>
      <c r="AB50" s="71" t="s">
        <v>513</v>
      </c>
      <c r="AC50" s="72" t="s">
        <v>512</v>
      </c>
      <c r="AD50" s="73" t="str">
        <f t="shared" si="2"/>
        <v>05-49</v>
      </c>
      <c r="AE50" s="74">
        <f t="shared" si="3"/>
        <v>49</v>
      </c>
      <c r="AF50" s="71" t="s">
        <v>560</v>
      </c>
      <c r="AG50" s="73" t="s">
        <v>1724</v>
      </c>
      <c r="AI50" s="41">
        <v>49</v>
      </c>
      <c r="AJ50" s="42" t="str">
        <f t="shared" si="4"/>
        <v>-49</v>
      </c>
      <c r="AK50" s="42" t="str">
        <f t="shared" si="7"/>
        <v/>
      </c>
      <c r="AL50" s="43" t="str">
        <f t="shared" si="8"/>
        <v/>
      </c>
      <c r="AN50" s="235" t="s">
        <v>3671</v>
      </c>
      <c r="AO50" s="235" t="s">
        <v>3671</v>
      </c>
      <c r="AP50" s="83"/>
      <c r="AQ50" s="235">
        <v>994</v>
      </c>
      <c r="AS50" s="3">
        <v>891</v>
      </c>
      <c r="AT50" s="3">
        <v>103</v>
      </c>
      <c r="AU50" s="3" t="s">
        <v>3698</v>
      </c>
      <c r="AV50" s="3">
        <v>11.04</v>
      </c>
      <c r="AX50" s="3" t="s">
        <v>2205</v>
      </c>
      <c r="AY50" s="65" t="s">
        <v>2206</v>
      </c>
      <c r="BA50" s="108" t="s">
        <v>3988</v>
      </c>
      <c r="BB50" s="182">
        <v>1475401</v>
      </c>
    </row>
    <row r="51" spans="1:54" ht="15.75" thickBot="1" x14ac:dyDescent="0.3">
      <c r="A51" s="118">
        <v>47</v>
      </c>
      <c r="B51" s="90">
        <f>IF(G49=0,0,IF('FORMATO ACTUALIZACIÓN DATOS'!AA11=1,1,IF(E49=0,1,IF('FORMATO ACTUALIZACIÓN DATOS'!AN85&gt;0,1,0))))</f>
        <v>0</v>
      </c>
      <c r="C51" s="95" t="s">
        <v>3506</v>
      </c>
      <c r="D51" s="54" t="str">
        <f t="shared" si="6"/>
        <v xml:space="preserve"> - Valor Mensual (Pensiones Voluntarias)</v>
      </c>
      <c r="K51" s="105" t="s">
        <v>3863</v>
      </c>
      <c r="L51" s="213">
        <v>2200</v>
      </c>
      <c r="T51" s="21" t="s">
        <v>113</v>
      </c>
      <c r="U51" s="22" t="s">
        <v>112</v>
      </c>
      <c r="AB51" s="71" t="s">
        <v>513</v>
      </c>
      <c r="AC51" s="72" t="s">
        <v>512</v>
      </c>
      <c r="AD51" s="73" t="str">
        <f t="shared" si="2"/>
        <v>05-50</v>
      </c>
      <c r="AE51" s="74">
        <f t="shared" si="3"/>
        <v>50</v>
      </c>
      <c r="AF51" s="71" t="s">
        <v>561</v>
      </c>
      <c r="AG51" s="73" t="s">
        <v>1725</v>
      </c>
      <c r="AI51" s="41">
        <v>50</v>
      </c>
      <c r="AJ51" s="42" t="str">
        <f t="shared" si="4"/>
        <v>-50</v>
      </c>
      <c r="AK51" s="42" t="str">
        <f t="shared" si="7"/>
        <v/>
      </c>
      <c r="AL51" s="43" t="str">
        <f t="shared" si="8"/>
        <v/>
      </c>
      <c r="AN51" s="235" t="s">
        <v>3680</v>
      </c>
      <c r="AO51" s="235" t="s">
        <v>3680</v>
      </c>
      <c r="AP51" s="83"/>
      <c r="AQ51" s="235">
        <v>182</v>
      </c>
      <c r="AS51" s="3">
        <v>892</v>
      </c>
      <c r="AT51" s="3">
        <v>103</v>
      </c>
      <c r="AU51" s="3" t="s">
        <v>3232</v>
      </c>
      <c r="AV51" s="3">
        <v>11.04</v>
      </c>
      <c r="AX51" s="3" t="s">
        <v>2207</v>
      </c>
      <c r="AY51" s="65" t="s">
        <v>2208</v>
      </c>
      <c r="BA51" s="109" t="s">
        <v>3989</v>
      </c>
      <c r="BB51" s="183">
        <v>1475501</v>
      </c>
    </row>
    <row r="52" spans="1:54" ht="15.75" thickBot="1" x14ac:dyDescent="0.3">
      <c r="A52" s="118">
        <v>48</v>
      </c>
      <c r="B52" s="90">
        <f>IF('FORMATO ACTUALIZACIÓN DATOS'!N50="",0,1)</f>
        <v>0</v>
      </c>
      <c r="C52" s="95" t="s">
        <v>3563</v>
      </c>
      <c r="D52" s="54" t="str">
        <f t="shared" si="6"/>
        <v xml:space="preserve"> - Número CRP</v>
      </c>
      <c r="K52" s="103" t="s">
        <v>3864</v>
      </c>
      <c r="L52" s="213">
        <v>3000</v>
      </c>
      <c r="T52" s="21" t="s">
        <v>115</v>
      </c>
      <c r="U52" s="22" t="s">
        <v>114</v>
      </c>
      <c r="AB52" s="71" t="s">
        <v>513</v>
      </c>
      <c r="AC52" s="72" t="s">
        <v>512</v>
      </c>
      <c r="AD52" s="73" t="str">
        <f t="shared" si="2"/>
        <v>05-51</v>
      </c>
      <c r="AE52" s="74">
        <f t="shared" si="3"/>
        <v>51</v>
      </c>
      <c r="AF52" s="71" t="s">
        <v>562</v>
      </c>
      <c r="AG52" s="73" t="s">
        <v>1726</v>
      </c>
      <c r="AI52" s="41">
        <v>51</v>
      </c>
      <c r="AJ52" s="42" t="str">
        <f t="shared" si="4"/>
        <v>-51</v>
      </c>
      <c r="AK52" s="42" t="str">
        <f t="shared" si="7"/>
        <v/>
      </c>
      <c r="AL52" s="43" t="str">
        <f t="shared" si="8"/>
        <v/>
      </c>
      <c r="AN52" s="235" t="s">
        <v>3654</v>
      </c>
      <c r="AO52" s="235" t="s">
        <v>3654</v>
      </c>
      <c r="AP52" s="83"/>
      <c r="AQ52" s="235">
        <v>996</v>
      </c>
      <c r="AS52" s="3">
        <v>899</v>
      </c>
      <c r="AT52" s="3">
        <v>103</v>
      </c>
      <c r="AU52" s="3" t="s">
        <v>2218</v>
      </c>
      <c r="AV52" s="3">
        <v>11.04</v>
      </c>
      <c r="AX52" s="3" t="s">
        <v>2209</v>
      </c>
      <c r="AY52" s="65" t="s">
        <v>2210</v>
      </c>
      <c r="BA52" s="108" t="s">
        <v>3990</v>
      </c>
      <c r="BB52" s="182">
        <v>1475901</v>
      </c>
    </row>
    <row r="53" spans="1:54" ht="15.75" thickBot="1" x14ac:dyDescent="0.3">
      <c r="A53" s="118">
        <v>49</v>
      </c>
      <c r="B53" s="91">
        <f>IF('FORMATO ACTUALIZACIÓN DATOS'!Q50="",0,1)</f>
        <v>0</v>
      </c>
      <c r="C53" s="96" t="s">
        <v>3564</v>
      </c>
      <c r="D53" s="92" t="str">
        <f t="shared" si="6"/>
        <v xml:space="preserve"> - Fecha del CRP</v>
      </c>
      <c r="K53" s="104" t="s">
        <v>3865</v>
      </c>
      <c r="L53" s="213">
        <v>3100</v>
      </c>
      <c r="T53" s="21" t="s">
        <v>117</v>
      </c>
      <c r="U53" s="22" t="s">
        <v>116</v>
      </c>
      <c r="AB53" s="71" t="s">
        <v>513</v>
      </c>
      <c r="AC53" s="72" t="s">
        <v>512</v>
      </c>
      <c r="AD53" s="73" t="str">
        <f t="shared" si="2"/>
        <v>05-52</v>
      </c>
      <c r="AE53" s="74">
        <f t="shared" si="3"/>
        <v>52</v>
      </c>
      <c r="AF53" s="71" t="s">
        <v>563</v>
      </c>
      <c r="AG53" s="73" t="s">
        <v>1727</v>
      </c>
      <c r="AI53" s="41">
        <v>52</v>
      </c>
      <c r="AJ53" s="42" t="str">
        <f t="shared" si="4"/>
        <v>-52</v>
      </c>
      <c r="AK53" s="42" t="str">
        <f t="shared" si="7"/>
        <v/>
      </c>
      <c r="AL53" s="43" t="str">
        <f t="shared" si="8"/>
        <v/>
      </c>
      <c r="AN53" s="235" t="s">
        <v>3690</v>
      </c>
      <c r="AO53" s="235" t="s">
        <v>3690</v>
      </c>
      <c r="AP53" s="83"/>
      <c r="AQ53" s="235">
        <v>989</v>
      </c>
      <c r="AS53" s="3">
        <v>910</v>
      </c>
      <c r="AT53" s="3">
        <v>304</v>
      </c>
      <c r="AU53" s="3" t="s">
        <v>3388</v>
      </c>
      <c r="AV53" s="3">
        <v>9.66</v>
      </c>
      <c r="AX53" s="3" t="s">
        <v>2211</v>
      </c>
      <c r="AY53" s="65" t="s">
        <v>2212</v>
      </c>
      <c r="BA53" s="109" t="s">
        <v>3991</v>
      </c>
      <c r="BB53" s="183">
        <v>1475902</v>
      </c>
    </row>
    <row r="54" spans="1:54" ht="30.75" thickBot="1" x14ac:dyDescent="0.3">
      <c r="A54" s="118">
        <v>50</v>
      </c>
      <c r="B54" s="88">
        <f>E54+F54</f>
        <v>1</v>
      </c>
      <c r="C54" s="94">
        <f>'FORMATO ACTUALIZACIÓN DATOS'!D80</f>
        <v>0</v>
      </c>
      <c r="D54" s="176" t="str">
        <f>IF('FORMATO DEDUCCIONES'!B25&lt;&gt;"","",IF(E54=0,CONCATENATE(" - ","Diligencie el formato deducciones por dependientes",""),""))</f>
        <v/>
      </c>
      <c r="E54" s="179">
        <f>IF(C54="FORMATO SED - CON ANEXOS",0,1)</f>
        <v>1</v>
      </c>
      <c r="F54" s="179">
        <f>IF('FORMATO DEDUCCIONES'!B25&lt;&gt;"",1,0)</f>
        <v>0</v>
      </c>
      <c r="K54" s="104" t="s">
        <v>3866</v>
      </c>
      <c r="L54" s="213">
        <v>3200</v>
      </c>
      <c r="T54" s="21" t="s">
        <v>119</v>
      </c>
      <c r="U54" s="22" t="s">
        <v>118</v>
      </c>
      <c r="AB54" s="71" t="s">
        <v>513</v>
      </c>
      <c r="AC54" s="72" t="s">
        <v>512</v>
      </c>
      <c r="AD54" s="73" t="str">
        <f t="shared" si="2"/>
        <v>05-53</v>
      </c>
      <c r="AE54" s="74">
        <f t="shared" si="3"/>
        <v>53</v>
      </c>
      <c r="AF54" s="71" t="s">
        <v>185</v>
      </c>
      <c r="AG54" s="73" t="s">
        <v>192</v>
      </c>
      <c r="AI54" s="41">
        <v>53</v>
      </c>
      <c r="AJ54" s="42" t="str">
        <f t="shared" si="4"/>
        <v>-53</v>
      </c>
      <c r="AK54" s="42" t="str">
        <f t="shared" si="7"/>
        <v/>
      </c>
      <c r="AL54" s="43" t="str">
        <f t="shared" si="8"/>
        <v/>
      </c>
      <c r="AN54" s="235" t="s">
        <v>3691</v>
      </c>
      <c r="AO54" s="235" t="s">
        <v>3691</v>
      </c>
      <c r="AP54" s="83"/>
      <c r="AQ54" s="235">
        <v>985</v>
      </c>
      <c r="AS54" s="3">
        <v>990</v>
      </c>
      <c r="AT54" s="3">
        <v>304</v>
      </c>
      <c r="AU54" s="3" t="s">
        <v>3699</v>
      </c>
      <c r="AV54" s="3">
        <v>9.66</v>
      </c>
      <c r="AX54" s="3" t="s">
        <v>2213</v>
      </c>
      <c r="AY54" s="65" t="s">
        <v>2214</v>
      </c>
      <c r="BA54" s="108" t="s">
        <v>3992</v>
      </c>
      <c r="BB54" s="182">
        <v>1476101</v>
      </c>
    </row>
    <row r="55" spans="1:54" ht="15.75" thickBot="1" x14ac:dyDescent="0.3">
      <c r="A55" s="118">
        <v>51</v>
      </c>
      <c r="B55" s="90">
        <f>E55+F55</f>
        <v>1</v>
      </c>
      <c r="C55" s="164">
        <f>'FORMATO ACTUALIZACIÓN DATOS'!M80</f>
        <v>0</v>
      </c>
      <c r="D55" s="177" t="str">
        <f>IF('FORMATO DEDUCCIONES'!H46&lt;&gt;"","",IF(E55=0,CONCATENATE(" - ","Diligencie el formato deducciones por credito hipotecario",""),""))</f>
        <v/>
      </c>
      <c r="E55" s="179">
        <f>IF(C55="FORMATO SED - CON ANEXOS",0,1)</f>
        <v>1</v>
      </c>
      <c r="F55" s="179">
        <f>IF('FORMATO DEDUCCIONES'!H46&lt;&gt;"",1,0)</f>
        <v>0</v>
      </c>
      <c r="K55" s="104" t="s">
        <v>3867</v>
      </c>
      <c r="L55" s="213">
        <v>3300</v>
      </c>
      <c r="T55" s="21" t="s">
        <v>121</v>
      </c>
      <c r="U55" s="22" t="s">
        <v>120</v>
      </c>
      <c r="AB55" s="71" t="s">
        <v>513</v>
      </c>
      <c r="AC55" s="72" t="s">
        <v>512</v>
      </c>
      <c r="AD55" s="73" t="str">
        <f t="shared" si="2"/>
        <v>05-54</v>
      </c>
      <c r="AE55" s="74">
        <f t="shared" si="3"/>
        <v>54</v>
      </c>
      <c r="AF55" s="71" t="s">
        <v>191</v>
      </c>
      <c r="AG55" s="73" t="s">
        <v>1728</v>
      </c>
      <c r="AI55" s="41">
        <v>54</v>
      </c>
      <c r="AJ55" s="42" t="str">
        <f t="shared" si="4"/>
        <v>-54</v>
      </c>
      <c r="AK55" s="42" t="str">
        <f t="shared" si="7"/>
        <v/>
      </c>
      <c r="AL55" s="43" t="str">
        <f t="shared" si="8"/>
        <v/>
      </c>
      <c r="AN55" s="235" t="s">
        <v>5626</v>
      </c>
      <c r="AO55" s="235" t="s">
        <v>5626</v>
      </c>
      <c r="AP55" s="83"/>
      <c r="AQ55" s="235">
        <v>986</v>
      </c>
      <c r="AS55" s="3">
        <v>1011</v>
      </c>
      <c r="AT55" s="3">
        <v>101</v>
      </c>
      <c r="AU55" s="3" t="s">
        <v>3196</v>
      </c>
      <c r="AV55" s="3">
        <v>4.1399999999999997</v>
      </c>
      <c r="AX55" s="3" t="s">
        <v>2215</v>
      </c>
      <c r="AY55" s="65" t="s">
        <v>2216</v>
      </c>
      <c r="BA55" s="109" t="s">
        <v>3993</v>
      </c>
      <c r="BB55" s="183">
        <v>1476201</v>
      </c>
    </row>
    <row r="56" spans="1:54" ht="15.75" thickBot="1" x14ac:dyDescent="0.3">
      <c r="A56" s="118">
        <v>52</v>
      </c>
      <c r="B56" s="91">
        <f>E56+F56</f>
        <v>1</v>
      </c>
      <c r="C56" s="96">
        <f>'FORMATO ACTUALIZACIÓN DATOS'!V80</f>
        <v>0</v>
      </c>
      <c r="D56" s="178" t="str">
        <f>IF('FORMATO DEDUCCIONES'!H35&lt;&gt;"","",IF(E56=0,CONCATENATE(" - ","Diligencie el formato No Pos",""),""))</f>
        <v/>
      </c>
      <c r="E56" s="179">
        <f>IF(C56="FORMATO SED - CON ANEXOS",0,1)</f>
        <v>1</v>
      </c>
      <c r="F56" s="179">
        <f>IF('FORMATO DEDUCCIONES'!H35&lt;&gt;"",1,0)</f>
        <v>0</v>
      </c>
      <c r="K56" s="104" t="s">
        <v>3868</v>
      </c>
      <c r="L56" s="213">
        <v>3400</v>
      </c>
      <c r="T56" s="21" t="s">
        <v>123</v>
      </c>
      <c r="U56" s="22" t="s">
        <v>122</v>
      </c>
      <c r="AB56" s="71" t="s">
        <v>513</v>
      </c>
      <c r="AC56" s="72" t="s">
        <v>512</v>
      </c>
      <c r="AD56" s="73" t="str">
        <f t="shared" si="2"/>
        <v>05-55</v>
      </c>
      <c r="AE56" s="74">
        <f t="shared" si="3"/>
        <v>55</v>
      </c>
      <c r="AF56" s="71" t="s">
        <v>564</v>
      </c>
      <c r="AG56" s="73" t="s">
        <v>1729</v>
      </c>
      <c r="AI56" s="41">
        <v>55</v>
      </c>
      <c r="AJ56" s="42" t="str">
        <f t="shared" si="4"/>
        <v>-55</v>
      </c>
      <c r="AK56" s="42" t="str">
        <f t="shared" si="7"/>
        <v/>
      </c>
      <c r="AL56" s="43" t="str">
        <f t="shared" si="8"/>
        <v/>
      </c>
      <c r="AN56" s="235" t="s">
        <v>5627</v>
      </c>
      <c r="AO56" s="235" t="s">
        <v>5627</v>
      </c>
      <c r="AP56" s="83"/>
      <c r="AQ56" s="235">
        <v>801</v>
      </c>
      <c r="AS56" s="3">
        <v>1012</v>
      </c>
      <c r="AT56" s="3">
        <v>101</v>
      </c>
      <c r="AU56" s="3" t="s">
        <v>3700</v>
      </c>
      <c r="AV56" s="3">
        <v>4.1399999999999997</v>
      </c>
      <c r="AX56" s="3" t="s">
        <v>2217</v>
      </c>
      <c r="AY56" s="65" t="s">
        <v>2218</v>
      </c>
      <c r="BA56" s="108" t="s">
        <v>3994</v>
      </c>
      <c r="BB56" s="182">
        <v>1476901</v>
      </c>
    </row>
    <row r="57" spans="1:54" ht="30.75" thickBot="1" x14ac:dyDescent="0.3">
      <c r="B57" s="165">
        <f>IFERROR(SUM(B3:B56),0)</f>
        <v>5</v>
      </c>
      <c r="K57" s="104" t="s">
        <v>3869</v>
      </c>
      <c r="L57" s="213">
        <v>3500</v>
      </c>
      <c r="T57" s="21" t="s">
        <v>125</v>
      </c>
      <c r="U57" s="22" t="s">
        <v>124</v>
      </c>
      <c r="AB57" s="71" t="s">
        <v>513</v>
      </c>
      <c r="AC57" s="72" t="s">
        <v>512</v>
      </c>
      <c r="AD57" s="73" t="str">
        <f t="shared" si="2"/>
        <v>05-56</v>
      </c>
      <c r="AE57" s="74">
        <f t="shared" si="3"/>
        <v>56</v>
      </c>
      <c r="AF57" s="71" t="s">
        <v>565</v>
      </c>
      <c r="AG57" s="73" t="s">
        <v>1730</v>
      </c>
      <c r="AI57" s="41">
        <v>56</v>
      </c>
      <c r="AJ57" s="42" t="str">
        <f t="shared" si="4"/>
        <v>-56</v>
      </c>
      <c r="AK57" s="42" t="str">
        <f t="shared" si="7"/>
        <v/>
      </c>
      <c r="AL57" s="43" t="str">
        <f t="shared" si="8"/>
        <v/>
      </c>
      <c r="AN57" s="235" t="s">
        <v>5628</v>
      </c>
      <c r="AO57" s="235" t="s">
        <v>5628</v>
      </c>
      <c r="AP57" s="83"/>
      <c r="AQ57" s="235">
        <v>803</v>
      </c>
      <c r="AS57" s="3">
        <v>1030</v>
      </c>
      <c r="AT57" s="3">
        <v>101</v>
      </c>
      <c r="AU57" s="3" t="s">
        <v>3197</v>
      </c>
      <c r="AV57" s="3">
        <v>4.1399999999999997</v>
      </c>
      <c r="AX57" s="3" t="s">
        <v>2219</v>
      </c>
      <c r="AY57" s="65" t="s">
        <v>2220</v>
      </c>
      <c r="BA57" s="109" t="s">
        <v>3995</v>
      </c>
      <c r="BB57" s="183">
        <v>1477101</v>
      </c>
    </row>
    <row r="58" spans="1:54" ht="30.75" thickBot="1" x14ac:dyDescent="0.3">
      <c r="K58" s="104" t="s">
        <v>3870</v>
      </c>
      <c r="L58" s="213">
        <v>3600</v>
      </c>
      <c r="T58" s="21" t="s">
        <v>127</v>
      </c>
      <c r="U58" s="22" t="s">
        <v>126</v>
      </c>
      <c r="AB58" s="71" t="s">
        <v>513</v>
      </c>
      <c r="AC58" s="72" t="s">
        <v>512</v>
      </c>
      <c r="AD58" s="73" t="str">
        <f t="shared" si="2"/>
        <v>05-57</v>
      </c>
      <c r="AE58" s="74">
        <f t="shared" si="3"/>
        <v>57</v>
      </c>
      <c r="AF58" s="71" t="s">
        <v>566</v>
      </c>
      <c r="AG58" s="73" t="s">
        <v>1731</v>
      </c>
      <c r="AI58" s="41">
        <v>57</v>
      </c>
      <c r="AJ58" s="42" t="str">
        <f t="shared" si="4"/>
        <v>-57</v>
      </c>
      <c r="AK58" s="42" t="str">
        <f t="shared" si="7"/>
        <v/>
      </c>
      <c r="AL58" s="43" t="str">
        <f t="shared" si="8"/>
        <v/>
      </c>
      <c r="AN58" s="235" t="s">
        <v>3692</v>
      </c>
      <c r="AO58" s="235" t="s">
        <v>3692</v>
      </c>
      <c r="AP58" s="83"/>
      <c r="AQ58" s="235">
        <v>97</v>
      </c>
      <c r="AS58" s="3">
        <v>1051</v>
      </c>
      <c r="AT58" s="3">
        <v>101</v>
      </c>
      <c r="AU58" s="3" t="s">
        <v>3198</v>
      </c>
      <c r="AV58" s="3">
        <v>4.1399999999999997</v>
      </c>
      <c r="AX58" s="3" t="s">
        <v>2221</v>
      </c>
      <c r="AY58" s="65" t="s">
        <v>2222</v>
      </c>
      <c r="BA58" s="108" t="s">
        <v>3996</v>
      </c>
      <c r="BB58" s="182">
        <v>1477201</v>
      </c>
    </row>
    <row r="59" spans="1:54" ht="15.75" thickBot="1" x14ac:dyDescent="0.3">
      <c r="K59" s="106" t="s">
        <v>3871</v>
      </c>
      <c r="L59" s="213">
        <v>4000</v>
      </c>
      <c r="T59" s="21" t="s">
        <v>129</v>
      </c>
      <c r="U59" s="22" t="s">
        <v>128</v>
      </c>
      <c r="AB59" s="71" t="s">
        <v>513</v>
      </c>
      <c r="AC59" s="72" t="s">
        <v>512</v>
      </c>
      <c r="AD59" s="73" t="str">
        <f t="shared" si="2"/>
        <v>05-58</v>
      </c>
      <c r="AE59" s="74">
        <f t="shared" si="3"/>
        <v>58</v>
      </c>
      <c r="AF59" s="71" t="s">
        <v>567</v>
      </c>
      <c r="AG59" s="73" t="s">
        <v>1732</v>
      </c>
      <c r="AI59" s="41">
        <v>58</v>
      </c>
      <c r="AJ59" s="42" t="str">
        <f t="shared" si="4"/>
        <v>-58</v>
      </c>
      <c r="AK59" s="42" t="str">
        <f t="shared" si="7"/>
        <v/>
      </c>
      <c r="AL59" s="43" t="str">
        <f t="shared" si="8"/>
        <v/>
      </c>
      <c r="AN59" s="235" t="s">
        <v>3663</v>
      </c>
      <c r="AO59" s="235" t="s">
        <v>3663</v>
      </c>
      <c r="AP59" s="83"/>
      <c r="AQ59" s="235">
        <v>303</v>
      </c>
      <c r="AS59" s="3">
        <v>1052</v>
      </c>
      <c r="AT59" s="3">
        <v>101</v>
      </c>
      <c r="AU59" s="3" t="s">
        <v>3199</v>
      </c>
      <c r="AV59" s="3">
        <v>4.1399999999999997</v>
      </c>
      <c r="AX59" s="3" t="s">
        <v>2223</v>
      </c>
      <c r="AY59" s="65" t="s">
        <v>2224</v>
      </c>
      <c r="BA59" s="109" t="s">
        <v>3997</v>
      </c>
      <c r="BB59" s="183">
        <v>1477301</v>
      </c>
    </row>
    <row r="60" spans="1:54" ht="15.75" thickBot="1" x14ac:dyDescent="0.3">
      <c r="K60" s="104" t="s">
        <v>3872</v>
      </c>
      <c r="L60" s="213">
        <v>4100</v>
      </c>
      <c r="T60" s="21" t="s">
        <v>131</v>
      </c>
      <c r="U60" s="22" t="s">
        <v>130</v>
      </c>
      <c r="AB60" s="71" t="s">
        <v>513</v>
      </c>
      <c r="AC60" s="72" t="s">
        <v>512</v>
      </c>
      <c r="AD60" s="73" t="str">
        <f t="shared" si="2"/>
        <v>05-59</v>
      </c>
      <c r="AE60" s="74">
        <f t="shared" si="3"/>
        <v>59</v>
      </c>
      <c r="AF60" s="71" t="s">
        <v>568</v>
      </c>
      <c r="AG60" s="73" t="s">
        <v>1733</v>
      </c>
      <c r="AI60" s="41">
        <v>59</v>
      </c>
      <c r="AJ60" s="42" t="str">
        <f t="shared" si="4"/>
        <v>-59</v>
      </c>
      <c r="AK60" s="42" t="str">
        <f t="shared" si="7"/>
        <v/>
      </c>
      <c r="AL60" s="43" t="str">
        <f t="shared" si="8"/>
        <v/>
      </c>
      <c r="AN60" s="235" t="s">
        <v>3693</v>
      </c>
      <c r="AO60" s="235" t="s">
        <v>3693</v>
      </c>
      <c r="AP60" s="83"/>
      <c r="AQ60" s="235">
        <v>700</v>
      </c>
      <c r="AS60" s="3">
        <v>1061</v>
      </c>
      <c r="AT60" s="3">
        <v>304</v>
      </c>
      <c r="AU60" s="3" t="s">
        <v>3389</v>
      </c>
      <c r="AV60" s="3">
        <v>9.66</v>
      </c>
      <c r="AX60" s="3" t="s">
        <v>2225</v>
      </c>
      <c r="AY60" s="65" t="s">
        <v>2226</v>
      </c>
      <c r="BA60" s="108" t="s">
        <v>3998</v>
      </c>
      <c r="BB60" s="182">
        <v>1477401</v>
      </c>
    </row>
    <row r="61" spans="1:54" ht="30.75" thickBot="1" x14ac:dyDescent="0.3">
      <c r="C61" s="170" t="s">
        <v>3933</v>
      </c>
      <c r="D61" s="171" t="s">
        <v>3924</v>
      </c>
      <c r="K61" s="104" t="s">
        <v>3873</v>
      </c>
      <c r="L61" s="213">
        <v>4200</v>
      </c>
      <c r="T61" s="21" t="s">
        <v>133</v>
      </c>
      <c r="U61" s="22" t="s">
        <v>132</v>
      </c>
      <c r="AB61" s="71" t="s">
        <v>513</v>
      </c>
      <c r="AC61" s="72" t="s">
        <v>512</v>
      </c>
      <c r="AD61" s="73" t="str">
        <f t="shared" si="2"/>
        <v>05-60</v>
      </c>
      <c r="AE61" s="74">
        <f t="shared" si="3"/>
        <v>60</v>
      </c>
      <c r="AF61" s="71" t="s">
        <v>569</v>
      </c>
      <c r="AG61" s="73" t="s">
        <v>214</v>
      </c>
      <c r="AI61" s="41">
        <v>60</v>
      </c>
      <c r="AJ61" s="42" t="str">
        <f t="shared" si="4"/>
        <v>-60</v>
      </c>
      <c r="AK61" s="42" t="str">
        <f t="shared" si="7"/>
        <v/>
      </c>
      <c r="AL61" s="43" t="str">
        <f t="shared" si="8"/>
        <v/>
      </c>
      <c r="AN61" s="235" t="s">
        <v>3666</v>
      </c>
      <c r="AO61" s="235" t="s">
        <v>3666</v>
      </c>
      <c r="AP61" s="83"/>
      <c r="AQ61" s="235">
        <v>558</v>
      </c>
      <c r="AS61" s="3">
        <v>1062</v>
      </c>
      <c r="AT61" s="3">
        <v>101</v>
      </c>
      <c r="AU61" s="3" t="s">
        <v>3200</v>
      </c>
      <c r="AV61" s="3">
        <v>4.1399999999999997</v>
      </c>
      <c r="AX61" s="3" t="s">
        <v>2227</v>
      </c>
      <c r="AY61" s="65" t="s">
        <v>2228</v>
      </c>
      <c r="BA61" s="109" t="s">
        <v>3999</v>
      </c>
      <c r="BB61" s="183">
        <v>1477402</v>
      </c>
    </row>
    <row r="62" spans="1:54" ht="315.75" thickBot="1" x14ac:dyDescent="0.3">
      <c r="C62" s="166" t="s">
        <v>3926</v>
      </c>
      <c r="D62" s="167" t="str">
        <f>_xlfn.CONCAT(D3:D56)</f>
        <v xml:space="preserve"> - Número de Identificación Tributaria (NIT) - DV - Tipo de Documento - Número de Identificación - Verificar el Número  de Identificación - Primer Apellido - Primer Nombre - Indicar SI es o NO pensionado - Indique la Dirección tal y como aparece en el RUT - País - Departamento - Municipio - Teléfono 1 - Teléfono 2 - Banco - Sucursal - Tipo Cuenta - No Cuenta Bancaria - Actividad Económica RUT - Actividad económica RUT NO existe - por favor verificar - Actividad Económica RIT - Actividad economica RIT NO existe - por favor verificar - Régimen - No Contrato - Año Contrato - Valor Total del Contrato - Valor Pago Mensual según Contrato - Fecha Acta de Inicio - Fecha terminación Contrato - VIGENCIA FUTURA - Cesión - Área Funcional de la SED - Nombre Interventor Contrato - Cargo Interventor Contrato - Nombre Operativo - Identificación Operativo - Codigo ARL - Pregunta C1 - Pregunta C2 - Pregunta C3 - Pregunta C4 - Entidad (AFC) - NIT (AFC) - Valor Mensual (AFC) - Entidad (Pensiones Voluntarias) - NIT (Pensiones Voluntarias) - Valor Mensual (Pensiones Voluntarias) - Número CRP - Fecha del CRP</v>
      </c>
      <c r="K62" s="104" t="s">
        <v>3874</v>
      </c>
      <c r="L62" s="213">
        <v>4300</v>
      </c>
      <c r="T62" s="21" t="s">
        <v>135</v>
      </c>
      <c r="U62" s="22" t="s">
        <v>134</v>
      </c>
      <c r="AB62" s="71" t="s">
        <v>513</v>
      </c>
      <c r="AC62" s="72" t="s">
        <v>512</v>
      </c>
      <c r="AD62" s="73" t="str">
        <f t="shared" si="2"/>
        <v>05-61</v>
      </c>
      <c r="AE62" s="74">
        <f t="shared" si="3"/>
        <v>61</v>
      </c>
      <c r="AF62" s="71" t="s">
        <v>570</v>
      </c>
      <c r="AG62" s="73" t="s">
        <v>1734</v>
      </c>
      <c r="AI62" s="41">
        <v>61</v>
      </c>
      <c r="AJ62" s="42" t="str">
        <f t="shared" si="4"/>
        <v>-61</v>
      </c>
      <c r="AK62" s="42" t="str">
        <f t="shared" si="7"/>
        <v/>
      </c>
      <c r="AL62" s="43" t="str">
        <f t="shared" si="8"/>
        <v/>
      </c>
      <c r="AN62" s="235" t="s">
        <v>5629</v>
      </c>
      <c r="AO62" s="235" t="s">
        <v>5629</v>
      </c>
      <c r="AP62" s="83"/>
      <c r="AQ62" s="235">
        <v>984</v>
      </c>
      <c r="AS62" s="3">
        <v>1063</v>
      </c>
      <c r="AT62" s="3">
        <v>101</v>
      </c>
      <c r="AU62" s="3" t="s">
        <v>3201</v>
      </c>
      <c r="AV62" s="3">
        <v>4.1399999999999997</v>
      </c>
      <c r="AX62" s="3" t="s">
        <v>2229</v>
      </c>
      <c r="AY62" s="65" t="s">
        <v>2230</v>
      </c>
      <c r="BA62" s="108" t="s">
        <v>4000</v>
      </c>
      <c r="BB62" s="182">
        <v>1477501</v>
      </c>
    </row>
    <row r="63" spans="1:54" ht="30" customHeight="1" thickBot="1" x14ac:dyDescent="0.3">
      <c r="C63" s="166" t="s">
        <v>3927</v>
      </c>
      <c r="D63" s="168" t="b">
        <f>AND('FORMATO ACTUALIZACIÓN DATOS'!AU39="NO RESPONSABLE IVA",'FORMATO ACTUALIZACIÓN DATOS'!AW53&gt;0)</f>
        <v>0</v>
      </c>
      <c r="K63" s="104" t="s">
        <v>3875</v>
      </c>
      <c r="L63" s="213">
        <v>4400</v>
      </c>
      <c r="T63" s="21" t="s">
        <v>137</v>
      </c>
      <c r="U63" s="22" t="s">
        <v>136</v>
      </c>
      <c r="AB63" s="71" t="s">
        <v>513</v>
      </c>
      <c r="AC63" s="72" t="s">
        <v>512</v>
      </c>
      <c r="AD63" s="73" t="str">
        <f t="shared" si="2"/>
        <v>05-62</v>
      </c>
      <c r="AE63" s="74">
        <f t="shared" si="3"/>
        <v>62</v>
      </c>
      <c r="AF63" s="71" t="s">
        <v>571</v>
      </c>
      <c r="AG63" s="73" t="s">
        <v>1735</v>
      </c>
      <c r="AI63" s="41">
        <v>62</v>
      </c>
      <c r="AJ63" s="42" t="str">
        <f t="shared" si="4"/>
        <v>-62</v>
      </c>
      <c r="AK63" s="42" t="str">
        <f t="shared" si="7"/>
        <v/>
      </c>
      <c r="AL63" s="43" t="str">
        <f t="shared" si="8"/>
        <v/>
      </c>
      <c r="AN63" s="235" t="s">
        <v>3655</v>
      </c>
      <c r="AO63" s="235" t="s">
        <v>3655</v>
      </c>
      <c r="AP63" s="83"/>
      <c r="AQ63" s="235">
        <v>637</v>
      </c>
      <c r="AS63" s="3">
        <v>1071</v>
      </c>
      <c r="AT63" s="3">
        <v>101</v>
      </c>
      <c r="AU63" s="3" t="s">
        <v>3202</v>
      </c>
      <c r="AV63" s="3">
        <v>4.1399999999999997</v>
      </c>
      <c r="AX63" s="3" t="s">
        <v>2231</v>
      </c>
      <c r="AY63" s="65" t="s">
        <v>2232</v>
      </c>
      <c r="BA63" s="109" t="s">
        <v>4001</v>
      </c>
      <c r="BB63" s="183">
        <v>1478101</v>
      </c>
    </row>
    <row r="64" spans="1:54" ht="15.75" thickBot="1" x14ac:dyDescent="0.3">
      <c r="C64" s="166" t="s">
        <v>3928</v>
      </c>
      <c r="D64" s="169">
        <f ca="1">TODAY()</f>
        <v>46204</v>
      </c>
      <c r="K64" s="103" t="s">
        <v>3876</v>
      </c>
      <c r="L64" s="213">
        <v>5000</v>
      </c>
      <c r="T64" s="21" t="s">
        <v>139</v>
      </c>
      <c r="U64" s="22" t="s">
        <v>138</v>
      </c>
      <c r="AB64" s="71" t="s">
        <v>513</v>
      </c>
      <c r="AC64" s="72" t="s">
        <v>512</v>
      </c>
      <c r="AD64" s="73" t="str">
        <f t="shared" si="2"/>
        <v>05-63</v>
      </c>
      <c r="AE64" s="74">
        <f t="shared" si="3"/>
        <v>63</v>
      </c>
      <c r="AF64" s="71" t="s">
        <v>572</v>
      </c>
      <c r="AG64" s="73" t="s">
        <v>1736</v>
      </c>
      <c r="AI64" s="41">
        <v>63</v>
      </c>
      <c r="AJ64" s="42" t="str">
        <f t="shared" si="4"/>
        <v>-63</v>
      </c>
      <c r="AK64" s="42" t="str">
        <f t="shared" si="7"/>
        <v/>
      </c>
      <c r="AL64" s="43" t="str">
        <f t="shared" si="8"/>
        <v/>
      </c>
      <c r="AN64" s="235" t="s">
        <v>3659</v>
      </c>
      <c r="AO64" s="235" t="s">
        <v>3659</v>
      </c>
      <c r="AP64" s="83"/>
      <c r="AQ64" s="235">
        <v>560</v>
      </c>
      <c r="AS64" s="3">
        <v>1072</v>
      </c>
      <c r="AT64" s="3">
        <v>101</v>
      </c>
      <c r="AU64" s="3" t="s">
        <v>3203</v>
      </c>
      <c r="AV64" s="3">
        <v>4.1399999999999997</v>
      </c>
      <c r="AX64" s="3" t="s">
        <v>2233</v>
      </c>
      <c r="AY64" s="65" t="s">
        <v>2234</v>
      </c>
      <c r="BA64" s="108" t="s">
        <v>4002</v>
      </c>
      <c r="BB64" s="182">
        <v>1478201</v>
      </c>
    </row>
    <row r="65" spans="3:54" ht="315.75" thickBot="1" x14ac:dyDescent="0.3">
      <c r="C65" s="166" t="s">
        <v>3930</v>
      </c>
      <c r="D65" s="168" t="str">
        <f>CONCATENATE("Por favor verifique la información de :",D62)</f>
        <v>Por favor verifique la información de : - Número de Identificación Tributaria (NIT) - DV - Tipo de Documento - Número de Identificación - Verificar el Número  de Identificación - Primer Apellido - Primer Nombre - Indicar SI es o NO pensionado - Indique la Dirección tal y como aparece en el RUT - País - Departamento - Municipio - Teléfono 1 - Teléfono 2 - Banco - Sucursal - Tipo Cuenta - No Cuenta Bancaria - Actividad Económica RUT - Actividad económica RUT NO existe - por favor verificar - Actividad Económica RIT - Actividad economica RIT NO existe - por favor verificar - Régimen - No Contrato - Año Contrato - Valor Total del Contrato - Valor Pago Mensual según Contrato - Fecha Acta de Inicio - Fecha terminación Contrato - VIGENCIA FUTURA - Cesión - Área Funcional de la SED - Nombre Interventor Contrato - Cargo Interventor Contrato - Nombre Operativo - Identificación Operativo - Codigo ARL - Pregunta C1 - Pregunta C2 - Pregunta C3 - Pregunta C4 - Entidad (AFC) - NIT (AFC) - Valor Mensual (AFC) - Entidad (Pensiones Voluntarias) - NIT (Pensiones Voluntarias) - Valor Mensual (Pensiones Voluntarias) - Número CRP - Fecha del CRP</v>
      </c>
      <c r="K65" s="104" t="s">
        <v>3877</v>
      </c>
      <c r="L65" s="213">
        <v>5100</v>
      </c>
      <c r="T65" s="21" t="s">
        <v>141</v>
      </c>
      <c r="U65" s="22" t="s">
        <v>140</v>
      </c>
      <c r="AB65" s="71" t="s">
        <v>513</v>
      </c>
      <c r="AC65" s="72" t="s">
        <v>512</v>
      </c>
      <c r="AD65" s="73" t="str">
        <f t="shared" si="2"/>
        <v>05-64</v>
      </c>
      <c r="AE65" s="74">
        <f t="shared" si="3"/>
        <v>64</v>
      </c>
      <c r="AF65" s="71" t="s">
        <v>573</v>
      </c>
      <c r="AG65" s="73" t="s">
        <v>1737</v>
      </c>
      <c r="AI65" s="41">
        <v>64</v>
      </c>
      <c r="AJ65" s="42" t="str">
        <f t="shared" si="4"/>
        <v>-64</v>
      </c>
      <c r="AK65" s="42" t="str">
        <f t="shared" si="7"/>
        <v/>
      </c>
      <c r="AL65" s="43" t="str">
        <f t="shared" si="8"/>
        <v/>
      </c>
      <c r="AN65" s="235" t="s">
        <v>3694</v>
      </c>
      <c r="AO65" s="235" t="s">
        <v>3694</v>
      </c>
      <c r="AP65" s="83"/>
      <c r="AQ65" s="235">
        <v>986</v>
      </c>
      <c r="AS65" s="3">
        <v>1081</v>
      </c>
      <c r="AT65" s="3">
        <v>101</v>
      </c>
      <c r="AU65" s="3" t="s">
        <v>3204</v>
      </c>
      <c r="AV65" s="3">
        <v>4.1399999999999997</v>
      </c>
      <c r="AX65" s="3" t="s">
        <v>2235</v>
      </c>
      <c r="AY65" s="65" t="s">
        <v>2236</v>
      </c>
      <c r="BA65" s="109" t="s">
        <v>4003</v>
      </c>
      <c r="BB65" s="183">
        <v>1478901</v>
      </c>
    </row>
    <row r="66" spans="3:54" ht="30.75" thickBot="1" x14ac:dyDescent="0.3">
      <c r="C66" s="166" t="s">
        <v>3929</v>
      </c>
      <c r="D66" s="168" t="str">
        <f ca="1">"Información completa, en constancia se suscribe el presente formulario el dia "&amp;TEXT(D64,"dd/mm/yyyy")</f>
        <v>Información completa, en constancia se suscribe el presente formulario el dia 01/07/yyyy</v>
      </c>
      <c r="K66" s="104" t="s">
        <v>3878</v>
      </c>
      <c r="L66" s="213">
        <v>5110</v>
      </c>
      <c r="T66" s="21" t="s">
        <v>143</v>
      </c>
      <c r="U66" s="22" t="s">
        <v>142</v>
      </c>
      <c r="AB66" s="71" t="s">
        <v>513</v>
      </c>
      <c r="AC66" s="72" t="s">
        <v>512</v>
      </c>
      <c r="AD66" s="73" t="str">
        <f t="shared" si="2"/>
        <v>05-65</v>
      </c>
      <c r="AE66" s="74">
        <f t="shared" si="3"/>
        <v>65</v>
      </c>
      <c r="AF66" s="71" t="s">
        <v>574</v>
      </c>
      <c r="AG66" s="73" t="s">
        <v>1738</v>
      </c>
      <c r="AI66" s="41">
        <v>65</v>
      </c>
      <c r="AJ66" s="42" t="str">
        <f t="shared" si="4"/>
        <v>-65</v>
      </c>
      <c r="AK66" s="42" t="str">
        <f t="shared" ref="AK66:AK97" si="9">IFERROR(VLOOKUP(AJ66,$AD$2:$AG$1120,3,0),"")</f>
        <v/>
      </c>
      <c r="AL66" s="43" t="str">
        <f t="shared" ref="AL66:AL97" si="10">IFERROR(VLOOKUP(AJ66,$AD$2:$AG$1120,4,0),"")</f>
        <v/>
      </c>
      <c r="AN66" s="235" t="s">
        <v>5630</v>
      </c>
      <c r="AO66" s="235" t="s">
        <v>5630</v>
      </c>
      <c r="AP66" s="83"/>
      <c r="AQ66" s="235">
        <v>987</v>
      </c>
      <c r="AS66" s="3">
        <v>1082</v>
      </c>
      <c r="AT66" s="3">
        <v>101</v>
      </c>
      <c r="AU66" s="3" t="s">
        <v>3205</v>
      </c>
      <c r="AV66" s="3">
        <v>4.1399999999999997</v>
      </c>
      <c r="AX66" s="3" t="s">
        <v>2237</v>
      </c>
      <c r="AY66" s="65" t="s">
        <v>2238</v>
      </c>
      <c r="BA66" s="108" t="s">
        <v>4004</v>
      </c>
      <c r="BB66" s="182">
        <v>1479101</v>
      </c>
    </row>
    <row r="67" spans="3:54" ht="15.75" thickBot="1" x14ac:dyDescent="0.3">
      <c r="C67" s="172" t="s">
        <v>3931</v>
      </c>
      <c r="D67" s="173" t="s">
        <v>3125</v>
      </c>
      <c r="K67" s="104" t="s">
        <v>3879</v>
      </c>
      <c r="L67" s="213">
        <v>5111</v>
      </c>
      <c r="T67" s="21" t="s">
        <v>145</v>
      </c>
      <c r="U67" s="22" t="s">
        <v>144</v>
      </c>
      <c r="AB67" s="71" t="s">
        <v>513</v>
      </c>
      <c r="AC67" s="72" t="s">
        <v>512</v>
      </c>
      <c r="AD67" s="73" t="str">
        <f t="shared" ref="AD67:AD130" si="11">CONCATENATE(AC67,"-",AE67)</f>
        <v>05-66</v>
      </c>
      <c r="AE67" s="74">
        <f t="shared" ref="AE67:AE130" si="12">IF(AB67=AB66,1+AE66,1)</f>
        <v>66</v>
      </c>
      <c r="AF67" s="71" t="s">
        <v>575</v>
      </c>
      <c r="AG67" s="73" t="s">
        <v>1739</v>
      </c>
      <c r="AI67" s="41">
        <v>66</v>
      </c>
      <c r="AJ67" s="42" t="str">
        <f t="shared" ref="AJ67:AJ126" si="13">CONCATENATE($AA$1,"-",AI67)</f>
        <v>-66</v>
      </c>
      <c r="AK67" s="42" t="str">
        <f t="shared" si="9"/>
        <v/>
      </c>
      <c r="AL67" s="43" t="str">
        <f t="shared" si="10"/>
        <v/>
      </c>
      <c r="AN67" s="235" t="s">
        <v>5631</v>
      </c>
      <c r="AO67" s="235" t="s">
        <v>5631</v>
      </c>
      <c r="AP67" s="83"/>
      <c r="AQ67" s="235">
        <v>809</v>
      </c>
      <c r="AS67" s="3">
        <v>1083</v>
      </c>
      <c r="AT67" s="3">
        <v>101</v>
      </c>
      <c r="AU67" s="3" t="s">
        <v>3701</v>
      </c>
      <c r="AV67" s="3">
        <v>4.1399999999999997</v>
      </c>
      <c r="AX67" s="3" t="s">
        <v>2239</v>
      </c>
      <c r="AY67" s="65" t="s">
        <v>2240</v>
      </c>
      <c r="BA67" s="109" t="s">
        <v>4005</v>
      </c>
      <c r="BB67" s="183">
        <v>1479201</v>
      </c>
    </row>
    <row r="68" spans="3:54" ht="315.75" thickBot="1" x14ac:dyDescent="0.3">
      <c r="C68" s="174" t="s">
        <v>3932</v>
      </c>
      <c r="D68" s="175" t="str">
        <f>IF(B57=54,D66,IF(B57=4,D67,D65))</f>
        <v>Por favor verifique la información de : - Número de Identificación Tributaria (NIT) - DV - Tipo de Documento - Número de Identificación - Verificar el Número  de Identificación - Primer Apellido - Primer Nombre - Indicar SI es o NO pensionado - Indique la Dirección tal y como aparece en el RUT - País - Departamento - Municipio - Teléfono 1 - Teléfono 2 - Banco - Sucursal - Tipo Cuenta - No Cuenta Bancaria - Actividad Económica RUT - Actividad económica RUT NO existe - por favor verificar - Actividad Económica RIT - Actividad economica RIT NO existe - por favor verificar - Régimen - No Contrato - Año Contrato - Valor Total del Contrato - Valor Pago Mensual según Contrato - Fecha Acta de Inicio - Fecha terminación Contrato - VIGENCIA FUTURA - Cesión - Área Funcional de la SED - Nombre Interventor Contrato - Cargo Interventor Contrato - Nombre Operativo - Identificación Operativo - Codigo ARL - Pregunta C1 - Pregunta C2 - Pregunta C3 - Pregunta C4 - Entidad (AFC) - NIT (AFC) - Valor Mensual (AFC) - Entidad (Pensiones Voluntarias) - NIT (Pensiones Voluntarias) - Valor Mensual (Pensiones Voluntarias) - Número CRP - Fecha del CRP</v>
      </c>
      <c r="K68" s="104" t="s">
        <v>3880</v>
      </c>
      <c r="L68" s="213">
        <v>5120</v>
      </c>
      <c r="T68" s="21" t="s">
        <v>147</v>
      </c>
      <c r="U68" s="22" t="s">
        <v>146</v>
      </c>
      <c r="AB68" s="71" t="s">
        <v>513</v>
      </c>
      <c r="AC68" s="72" t="s">
        <v>512</v>
      </c>
      <c r="AD68" s="73" t="str">
        <f t="shared" si="11"/>
        <v>05-67</v>
      </c>
      <c r="AE68" s="74">
        <f t="shared" si="12"/>
        <v>67</v>
      </c>
      <c r="AF68" s="71" t="s">
        <v>576</v>
      </c>
      <c r="AG68" s="73" t="s">
        <v>250</v>
      </c>
      <c r="AI68" s="41">
        <v>67</v>
      </c>
      <c r="AJ68" s="42" t="str">
        <f t="shared" si="13"/>
        <v>-67</v>
      </c>
      <c r="AK68" s="42" t="str">
        <f t="shared" si="9"/>
        <v/>
      </c>
      <c r="AL68" s="43" t="str">
        <f t="shared" si="10"/>
        <v/>
      </c>
      <c r="AN68" s="235" t="s">
        <v>5632</v>
      </c>
      <c r="AO68" s="235" t="s">
        <v>5632</v>
      </c>
      <c r="AP68" s="83"/>
      <c r="AQ68" s="235">
        <v>811</v>
      </c>
      <c r="AS68" s="3">
        <v>1084</v>
      </c>
      <c r="AT68" s="3">
        <v>101</v>
      </c>
      <c r="AU68" s="3" t="s">
        <v>3206</v>
      </c>
      <c r="AV68" s="3">
        <v>4.1399999999999997</v>
      </c>
      <c r="AX68" s="3" t="s">
        <v>2241</v>
      </c>
      <c r="AY68" s="65" t="s">
        <v>2242</v>
      </c>
      <c r="BA68" s="108" t="s">
        <v>4006</v>
      </c>
      <c r="BB68" s="182">
        <v>1479901</v>
      </c>
    </row>
    <row r="69" spans="3:54" ht="390.75" thickBot="1" x14ac:dyDescent="0.3">
      <c r="C69" s="65" t="s">
        <v>5603</v>
      </c>
      <c r="D69" s="65" t="s">
        <v>5666</v>
      </c>
      <c r="K69" s="104" t="s">
        <v>3881</v>
      </c>
      <c r="L69" s="213">
        <v>5130</v>
      </c>
      <c r="T69" s="21" t="s">
        <v>149</v>
      </c>
      <c r="U69" s="22" t="s">
        <v>148</v>
      </c>
      <c r="AB69" s="71" t="s">
        <v>513</v>
      </c>
      <c r="AC69" s="72" t="s">
        <v>512</v>
      </c>
      <c r="AD69" s="73" t="str">
        <f t="shared" si="11"/>
        <v>05-68</v>
      </c>
      <c r="AE69" s="74">
        <f t="shared" si="12"/>
        <v>68</v>
      </c>
      <c r="AF69" s="71" t="s">
        <v>577</v>
      </c>
      <c r="AG69" s="73" t="s">
        <v>1740</v>
      </c>
      <c r="AI69" s="41">
        <v>68</v>
      </c>
      <c r="AJ69" s="42" t="str">
        <f t="shared" si="13"/>
        <v>-68</v>
      </c>
      <c r="AK69" s="42" t="str">
        <f t="shared" si="9"/>
        <v/>
      </c>
      <c r="AL69" s="43" t="str">
        <f t="shared" si="10"/>
        <v/>
      </c>
      <c r="AN69" s="235" t="s">
        <v>3664</v>
      </c>
      <c r="AO69" s="235" t="s">
        <v>3664</v>
      </c>
      <c r="AP69" s="83"/>
      <c r="AQ69" s="235">
        <v>286</v>
      </c>
      <c r="AS69" s="3">
        <v>1089</v>
      </c>
      <c r="AT69" s="3">
        <v>101</v>
      </c>
      <c r="AU69" s="3" t="s">
        <v>2256</v>
      </c>
      <c r="AV69" s="3">
        <v>4.1399999999999997</v>
      </c>
      <c r="AX69" s="3" t="s">
        <v>2243</v>
      </c>
      <c r="AY69" s="65" t="s">
        <v>2244</v>
      </c>
      <c r="BA69" s="109" t="s">
        <v>4007</v>
      </c>
      <c r="BB69" s="183">
        <v>1504001</v>
      </c>
    </row>
    <row r="70" spans="3:54" ht="15.75" thickBot="1" x14ac:dyDescent="0.3">
      <c r="K70" s="104" t="s">
        <v>3882</v>
      </c>
      <c r="L70" s="213">
        <v>5200</v>
      </c>
      <c r="T70" s="21" t="s">
        <v>151</v>
      </c>
      <c r="U70" s="22" t="s">
        <v>150</v>
      </c>
      <c r="AB70" s="71" t="s">
        <v>513</v>
      </c>
      <c r="AC70" s="72" t="s">
        <v>512</v>
      </c>
      <c r="AD70" s="73" t="str">
        <f t="shared" si="11"/>
        <v>05-69</v>
      </c>
      <c r="AE70" s="74">
        <f t="shared" si="12"/>
        <v>69</v>
      </c>
      <c r="AF70" s="71" t="s">
        <v>578</v>
      </c>
      <c r="AG70" s="73" t="s">
        <v>266</v>
      </c>
      <c r="AI70" s="41">
        <v>69</v>
      </c>
      <c r="AJ70" s="42" t="str">
        <f t="shared" si="13"/>
        <v>-69</v>
      </c>
      <c r="AK70" s="42" t="str">
        <f t="shared" si="9"/>
        <v/>
      </c>
      <c r="AL70" s="43" t="str">
        <f t="shared" si="10"/>
        <v/>
      </c>
      <c r="AN70" s="235" t="s">
        <v>5633</v>
      </c>
      <c r="AO70" s="235" t="s">
        <v>5633</v>
      </c>
      <c r="AP70" s="83"/>
      <c r="AQ70" s="235">
        <v>70</v>
      </c>
      <c r="AS70" s="3">
        <v>1090</v>
      </c>
      <c r="AT70" s="3">
        <v>101</v>
      </c>
      <c r="AU70" s="3" t="s">
        <v>3207</v>
      </c>
      <c r="AV70" s="3">
        <v>4.1399999999999997</v>
      </c>
      <c r="AX70" s="3" t="s">
        <v>2245</v>
      </c>
      <c r="AY70" s="65" t="s">
        <v>2246</v>
      </c>
      <c r="BA70" s="108" t="s">
        <v>4008</v>
      </c>
      <c r="BB70" s="182">
        <v>1505201</v>
      </c>
    </row>
    <row r="71" spans="3:54" ht="15.75" thickBot="1" x14ac:dyDescent="0.3">
      <c r="K71" s="104" t="s">
        <v>3883</v>
      </c>
      <c r="L71" s="213">
        <v>5210</v>
      </c>
      <c r="T71" s="21" t="s">
        <v>153</v>
      </c>
      <c r="U71" s="22" t="s">
        <v>152</v>
      </c>
      <c r="AB71" s="71" t="s">
        <v>513</v>
      </c>
      <c r="AC71" s="72" t="s">
        <v>512</v>
      </c>
      <c r="AD71" s="73" t="str">
        <f t="shared" si="11"/>
        <v>05-70</v>
      </c>
      <c r="AE71" s="74">
        <f t="shared" si="12"/>
        <v>70</v>
      </c>
      <c r="AF71" s="71" t="s">
        <v>579</v>
      </c>
      <c r="AG71" s="73" t="s">
        <v>286</v>
      </c>
      <c r="AI71" s="41">
        <v>70</v>
      </c>
      <c r="AJ71" s="42" t="str">
        <f t="shared" si="13"/>
        <v>-70</v>
      </c>
      <c r="AK71" s="42" t="str">
        <f t="shared" si="9"/>
        <v/>
      </c>
      <c r="AL71" s="43" t="str">
        <f t="shared" si="10"/>
        <v/>
      </c>
      <c r="AN71" s="235" t="s">
        <v>5634</v>
      </c>
      <c r="AO71" s="235" t="s">
        <v>5634</v>
      </c>
      <c r="AP71" s="83"/>
      <c r="AQ71" s="235">
        <v>805</v>
      </c>
      <c r="AS71" s="3">
        <v>1101</v>
      </c>
      <c r="AT71" s="3">
        <v>103</v>
      </c>
      <c r="AU71" s="3" t="s">
        <v>3702</v>
      </c>
      <c r="AV71" s="3">
        <v>11.04</v>
      </c>
      <c r="AX71" s="3" t="s">
        <v>2247</v>
      </c>
      <c r="AY71" s="65" t="s">
        <v>2248</v>
      </c>
      <c r="BA71" s="109" t="s">
        <v>4009</v>
      </c>
      <c r="BB71" s="183">
        <v>1511101</v>
      </c>
    </row>
    <row r="72" spans="3:54" ht="15.75" thickBot="1" x14ac:dyDescent="0.3">
      <c r="K72" s="104" t="s">
        <v>3884</v>
      </c>
      <c r="L72" s="213">
        <v>5220</v>
      </c>
      <c r="T72" s="21" t="s">
        <v>155</v>
      </c>
      <c r="U72" s="22" t="s">
        <v>154</v>
      </c>
      <c r="AB72" s="71" t="s">
        <v>513</v>
      </c>
      <c r="AC72" s="72" t="s">
        <v>512</v>
      </c>
      <c r="AD72" s="73" t="str">
        <f t="shared" si="11"/>
        <v>05-71</v>
      </c>
      <c r="AE72" s="74">
        <f t="shared" si="12"/>
        <v>71</v>
      </c>
      <c r="AF72" s="71" t="s">
        <v>580</v>
      </c>
      <c r="AG72" s="73" t="s">
        <v>1741</v>
      </c>
      <c r="AI72" s="41">
        <v>71</v>
      </c>
      <c r="AJ72" s="42" t="str">
        <f t="shared" si="13"/>
        <v>-71</v>
      </c>
      <c r="AK72" s="42" t="str">
        <f t="shared" si="9"/>
        <v/>
      </c>
      <c r="AL72" s="43" t="str">
        <f t="shared" si="10"/>
        <v/>
      </c>
      <c r="AN72" s="235" t="s">
        <v>5635</v>
      </c>
      <c r="AO72" s="235" t="s">
        <v>5635</v>
      </c>
      <c r="AP72" s="83"/>
      <c r="AQ72" s="235">
        <v>71</v>
      </c>
      <c r="AS72" s="3">
        <v>1102</v>
      </c>
      <c r="AT72" s="3">
        <v>103</v>
      </c>
      <c r="AU72" s="3" t="s">
        <v>3233</v>
      </c>
      <c r="AV72" s="3">
        <v>11.04</v>
      </c>
      <c r="AX72" s="3" t="s">
        <v>2249</v>
      </c>
      <c r="AY72" s="65" t="s">
        <v>2250</v>
      </c>
      <c r="BA72" s="108" t="s">
        <v>4010</v>
      </c>
      <c r="BB72" s="182">
        <v>1511201</v>
      </c>
    </row>
    <row r="73" spans="3:54" ht="30.75" thickBot="1" x14ac:dyDescent="0.3">
      <c r="K73" s="104" t="s">
        <v>3885</v>
      </c>
      <c r="L73" s="213">
        <v>5300</v>
      </c>
      <c r="T73" s="21" t="s">
        <v>157</v>
      </c>
      <c r="U73" s="22" t="s">
        <v>156</v>
      </c>
      <c r="AB73" s="71" t="s">
        <v>513</v>
      </c>
      <c r="AC73" s="72" t="s">
        <v>512</v>
      </c>
      <c r="AD73" s="73" t="str">
        <f t="shared" si="11"/>
        <v>05-72</v>
      </c>
      <c r="AE73" s="74">
        <f t="shared" si="12"/>
        <v>72</v>
      </c>
      <c r="AF73" s="71" t="s">
        <v>581</v>
      </c>
      <c r="AG73" s="73" t="s">
        <v>1742</v>
      </c>
      <c r="AI73" s="41">
        <v>72</v>
      </c>
      <c r="AJ73" s="42" t="str">
        <f t="shared" si="13"/>
        <v>-72</v>
      </c>
      <c r="AK73" s="42" t="str">
        <f t="shared" si="9"/>
        <v/>
      </c>
      <c r="AL73" s="43" t="str">
        <f t="shared" si="10"/>
        <v/>
      </c>
      <c r="AN73" s="235" t="s">
        <v>5636</v>
      </c>
      <c r="AO73" s="235" t="s">
        <v>5636</v>
      </c>
      <c r="AP73" s="83"/>
      <c r="AQ73" s="235">
        <v>983</v>
      </c>
      <c r="AS73" s="3">
        <v>1103</v>
      </c>
      <c r="AT73" s="3">
        <v>103</v>
      </c>
      <c r="AU73" s="3" t="s">
        <v>3234</v>
      </c>
      <c r="AV73" s="3">
        <v>11.04</v>
      </c>
      <c r="AX73" s="3" t="s">
        <v>2251</v>
      </c>
      <c r="AY73" s="65" t="s">
        <v>2252</v>
      </c>
      <c r="BA73" s="109" t="s">
        <v>4011</v>
      </c>
      <c r="BB73" s="183">
        <v>1511901</v>
      </c>
    </row>
    <row r="74" spans="3:54" ht="15.75" thickBot="1" x14ac:dyDescent="0.3">
      <c r="K74" s="104" t="s">
        <v>3886</v>
      </c>
      <c r="L74" s="104">
        <v>4121</v>
      </c>
      <c r="T74" s="21" t="s">
        <v>159</v>
      </c>
      <c r="U74" s="22" t="s">
        <v>158</v>
      </c>
      <c r="AB74" s="71" t="s">
        <v>513</v>
      </c>
      <c r="AC74" s="72" t="s">
        <v>512</v>
      </c>
      <c r="AD74" s="73" t="str">
        <f t="shared" si="11"/>
        <v>05-73</v>
      </c>
      <c r="AE74" s="74">
        <f t="shared" si="12"/>
        <v>73</v>
      </c>
      <c r="AF74" s="71" t="s">
        <v>582</v>
      </c>
      <c r="AG74" s="73" t="s">
        <v>1743</v>
      </c>
      <c r="AI74" s="41">
        <v>73</v>
      </c>
      <c r="AJ74" s="42" t="str">
        <f t="shared" si="13"/>
        <v>-73</v>
      </c>
      <c r="AK74" s="42" t="str">
        <f t="shared" si="9"/>
        <v/>
      </c>
      <c r="AL74" s="43" t="str">
        <f t="shared" si="10"/>
        <v/>
      </c>
      <c r="AN74" s="235" t="s">
        <v>5637</v>
      </c>
      <c r="AO74" s="235" t="s">
        <v>5637</v>
      </c>
      <c r="AP74" s="83"/>
      <c r="AQ74" s="235">
        <v>983</v>
      </c>
      <c r="AS74" s="3">
        <v>1104</v>
      </c>
      <c r="AT74" s="3">
        <v>103</v>
      </c>
      <c r="AU74" s="3" t="s">
        <v>3703</v>
      </c>
      <c r="AV74" s="3">
        <v>11.04</v>
      </c>
      <c r="AX74" s="3" t="s">
        <v>2253</v>
      </c>
      <c r="AY74" s="65" t="s">
        <v>2254</v>
      </c>
      <c r="BA74" s="108" t="s">
        <v>4012</v>
      </c>
      <c r="BB74" s="182">
        <v>1512201</v>
      </c>
    </row>
    <row r="75" spans="3:54" ht="15.75" thickBot="1" x14ac:dyDescent="0.3">
      <c r="K75" s="104" t="s">
        <v>3887</v>
      </c>
      <c r="L75" s="212">
        <v>5310</v>
      </c>
      <c r="T75" s="21" t="s">
        <v>161</v>
      </c>
      <c r="U75" s="22" t="s">
        <v>160</v>
      </c>
      <c r="AB75" s="71" t="s">
        <v>513</v>
      </c>
      <c r="AC75" s="72" t="s">
        <v>512</v>
      </c>
      <c r="AD75" s="73" t="str">
        <f t="shared" si="11"/>
        <v>05-74</v>
      </c>
      <c r="AE75" s="74">
        <f t="shared" si="12"/>
        <v>74</v>
      </c>
      <c r="AF75" s="71" t="s">
        <v>583</v>
      </c>
      <c r="AG75" s="73" t="s">
        <v>1744</v>
      </c>
      <c r="AI75" s="41">
        <v>74</v>
      </c>
      <c r="AJ75" s="42" t="str">
        <f t="shared" si="13"/>
        <v>-74</v>
      </c>
      <c r="AK75" s="42" t="str">
        <f t="shared" si="9"/>
        <v/>
      </c>
      <c r="AL75" s="43" t="str">
        <f t="shared" si="10"/>
        <v/>
      </c>
      <c r="AN75" s="235" t="s">
        <v>5638</v>
      </c>
      <c r="AO75" s="235" t="s">
        <v>5638</v>
      </c>
      <c r="AP75" s="83"/>
      <c r="AQ75" s="235">
        <v>982</v>
      </c>
      <c r="AS75" s="3">
        <v>1200</v>
      </c>
      <c r="AT75" s="3">
        <v>103</v>
      </c>
      <c r="AU75" s="3" t="s">
        <v>3235</v>
      </c>
      <c r="AV75" s="3">
        <v>11.04</v>
      </c>
      <c r="AX75" s="3" t="s">
        <v>2255</v>
      </c>
      <c r="AY75" s="65" t="s">
        <v>2256</v>
      </c>
      <c r="BA75" s="109" t="s">
        <v>4013</v>
      </c>
      <c r="BB75" s="183">
        <v>1512301</v>
      </c>
    </row>
    <row r="76" spans="3:54" ht="15.75" thickBot="1" x14ac:dyDescent="0.3">
      <c r="K76" s="104" t="s">
        <v>3888</v>
      </c>
      <c r="L76" s="213">
        <v>5400</v>
      </c>
      <c r="T76" s="21" t="s">
        <v>163</v>
      </c>
      <c r="U76" s="22" t="s">
        <v>162</v>
      </c>
      <c r="AB76" s="71" t="s">
        <v>513</v>
      </c>
      <c r="AC76" s="72" t="s">
        <v>512</v>
      </c>
      <c r="AD76" s="73" t="str">
        <f t="shared" si="11"/>
        <v>05-75</v>
      </c>
      <c r="AE76" s="74">
        <f t="shared" si="12"/>
        <v>75</v>
      </c>
      <c r="AF76" s="71" t="s">
        <v>584</v>
      </c>
      <c r="AG76" s="73" t="s">
        <v>304</v>
      </c>
      <c r="AI76" s="41">
        <v>75</v>
      </c>
      <c r="AJ76" s="42" t="str">
        <f t="shared" si="13"/>
        <v>-75</v>
      </c>
      <c r="AK76" s="42" t="str">
        <f t="shared" si="9"/>
        <v/>
      </c>
      <c r="AL76" s="43" t="str">
        <f t="shared" si="10"/>
        <v/>
      </c>
      <c r="AN76" s="235" t="s">
        <v>5639</v>
      </c>
      <c r="AO76" s="235" t="s">
        <v>5639</v>
      </c>
      <c r="AP76" s="83"/>
      <c r="AQ76" s="235">
        <v>981</v>
      </c>
      <c r="AS76" s="3">
        <v>1311</v>
      </c>
      <c r="AT76" s="3">
        <v>103</v>
      </c>
      <c r="AU76" s="3" t="s">
        <v>3236</v>
      </c>
      <c r="AV76" s="3">
        <v>11.04</v>
      </c>
      <c r="AX76" s="3" t="s">
        <v>2257</v>
      </c>
      <c r="AY76" s="65" t="s">
        <v>2258</v>
      </c>
      <c r="BA76" s="108" t="s">
        <v>4014</v>
      </c>
      <c r="BB76" s="182">
        <v>1512401</v>
      </c>
    </row>
    <row r="77" spans="3:54" ht="15.75" thickBot="1" x14ac:dyDescent="0.3">
      <c r="K77" s="104" t="s">
        <v>3889</v>
      </c>
      <c r="L77" s="213">
        <v>5410</v>
      </c>
      <c r="T77" s="21" t="s">
        <v>165</v>
      </c>
      <c r="U77" s="22" t="s">
        <v>164</v>
      </c>
      <c r="AB77" s="71" t="s">
        <v>513</v>
      </c>
      <c r="AC77" s="72" t="s">
        <v>512</v>
      </c>
      <c r="AD77" s="73" t="str">
        <f t="shared" si="11"/>
        <v>05-76</v>
      </c>
      <c r="AE77" s="74">
        <f t="shared" si="12"/>
        <v>76</v>
      </c>
      <c r="AF77" s="71" t="s">
        <v>585</v>
      </c>
      <c r="AG77" s="73" t="s">
        <v>312</v>
      </c>
      <c r="AI77" s="41">
        <v>76</v>
      </c>
      <c r="AJ77" s="42" t="str">
        <f t="shared" si="13"/>
        <v>-76</v>
      </c>
      <c r="AK77" s="42" t="str">
        <f t="shared" si="9"/>
        <v/>
      </c>
      <c r="AL77" s="43" t="str">
        <f t="shared" si="10"/>
        <v/>
      </c>
      <c r="AN77" s="235" t="s">
        <v>5640</v>
      </c>
      <c r="AO77" s="235" t="s">
        <v>5640</v>
      </c>
      <c r="AP77" s="83"/>
      <c r="AQ77" s="235">
        <v>980</v>
      </c>
      <c r="AS77" s="3">
        <v>1312</v>
      </c>
      <c r="AT77" s="3">
        <v>103</v>
      </c>
      <c r="AU77" s="3" t="s">
        <v>3237</v>
      </c>
      <c r="AV77" s="3">
        <v>11.04</v>
      </c>
      <c r="AX77" s="3" t="s">
        <v>2259</v>
      </c>
      <c r="AY77" s="65" t="s">
        <v>2260</v>
      </c>
      <c r="BA77" s="109" t="s">
        <v>4015</v>
      </c>
      <c r="BB77" s="183">
        <v>1512501</v>
      </c>
    </row>
    <row r="78" spans="3:54" ht="15.75" thickBot="1" x14ac:dyDescent="0.3">
      <c r="K78" s="107" t="s">
        <v>3934</v>
      </c>
      <c r="L78" s="213">
        <v>5420</v>
      </c>
      <c r="T78" s="21" t="s">
        <v>167</v>
      </c>
      <c r="U78" s="22" t="s">
        <v>166</v>
      </c>
      <c r="AB78" s="71" t="s">
        <v>513</v>
      </c>
      <c r="AC78" s="72" t="s">
        <v>512</v>
      </c>
      <c r="AD78" s="73" t="str">
        <f t="shared" si="11"/>
        <v>05-77</v>
      </c>
      <c r="AE78" s="74">
        <f t="shared" si="12"/>
        <v>77</v>
      </c>
      <c r="AF78" s="71" t="s">
        <v>586</v>
      </c>
      <c r="AG78" s="73" t="s">
        <v>1745</v>
      </c>
      <c r="AI78" s="41">
        <v>77</v>
      </c>
      <c r="AJ78" s="42" t="str">
        <f t="shared" si="13"/>
        <v>-77</v>
      </c>
      <c r="AK78" s="42" t="str">
        <f t="shared" si="9"/>
        <v/>
      </c>
      <c r="AL78" s="43" t="str">
        <f t="shared" si="10"/>
        <v/>
      </c>
      <c r="AS78" s="3">
        <v>1313</v>
      </c>
      <c r="AT78" s="3">
        <v>103</v>
      </c>
      <c r="AU78" s="3" t="s">
        <v>3238</v>
      </c>
      <c r="AV78" s="3">
        <v>11.04</v>
      </c>
      <c r="AX78" s="3" t="s">
        <v>2261</v>
      </c>
      <c r="AY78" s="65" t="s">
        <v>2262</v>
      </c>
      <c r="BA78" s="108" t="s">
        <v>4016</v>
      </c>
      <c r="BB78" s="182">
        <v>1512601</v>
      </c>
    </row>
    <row r="79" spans="3:54" ht="30.75" thickBot="1" x14ac:dyDescent="0.3">
      <c r="T79" s="21" t="s">
        <v>169</v>
      </c>
      <c r="U79" s="22" t="s">
        <v>168</v>
      </c>
      <c r="AB79" s="71" t="s">
        <v>513</v>
      </c>
      <c r="AC79" s="72" t="s">
        <v>512</v>
      </c>
      <c r="AD79" s="73" t="str">
        <f t="shared" si="11"/>
        <v>05-78</v>
      </c>
      <c r="AE79" s="74">
        <f t="shared" si="12"/>
        <v>78</v>
      </c>
      <c r="AF79" s="71" t="s">
        <v>587</v>
      </c>
      <c r="AG79" s="73" t="s">
        <v>1746</v>
      </c>
      <c r="AI79" s="41">
        <v>78</v>
      </c>
      <c r="AJ79" s="42" t="str">
        <f t="shared" si="13"/>
        <v>-78</v>
      </c>
      <c r="AK79" s="42" t="str">
        <f t="shared" si="9"/>
        <v/>
      </c>
      <c r="AL79" s="43" t="str">
        <f t="shared" si="10"/>
        <v/>
      </c>
      <c r="AN79" s="3" t="s">
        <v>3113</v>
      </c>
      <c r="AO79" s="3" t="s">
        <v>1643</v>
      </c>
      <c r="AS79" s="3">
        <v>1391</v>
      </c>
      <c r="AT79" s="3">
        <v>103</v>
      </c>
      <c r="AU79" s="3" t="s">
        <v>3239</v>
      </c>
      <c r="AV79" s="3">
        <v>11.04</v>
      </c>
      <c r="AX79" s="3" t="s">
        <v>2263</v>
      </c>
      <c r="AY79" s="65" t="s">
        <v>2264</v>
      </c>
      <c r="BA79" s="109" t="s">
        <v>4017</v>
      </c>
      <c r="BB79" s="183">
        <v>1513101</v>
      </c>
    </row>
    <row r="80" spans="3:54" ht="30.75" thickBot="1" x14ac:dyDescent="0.3">
      <c r="T80" s="21" t="s">
        <v>171</v>
      </c>
      <c r="U80" s="22" t="s">
        <v>170</v>
      </c>
      <c r="AB80" s="71" t="s">
        <v>513</v>
      </c>
      <c r="AC80" s="72" t="s">
        <v>512</v>
      </c>
      <c r="AD80" s="73" t="str">
        <f t="shared" si="11"/>
        <v>05-79</v>
      </c>
      <c r="AE80" s="74">
        <f t="shared" si="12"/>
        <v>79</v>
      </c>
      <c r="AF80" s="71" t="s">
        <v>588</v>
      </c>
      <c r="AG80" s="73" t="s">
        <v>350</v>
      </c>
      <c r="AI80" s="41">
        <v>79</v>
      </c>
      <c r="AJ80" s="42" t="str">
        <f t="shared" si="13"/>
        <v>-79</v>
      </c>
      <c r="AK80" s="42" t="str">
        <f t="shared" si="9"/>
        <v/>
      </c>
      <c r="AL80" s="43" t="str">
        <f t="shared" si="10"/>
        <v/>
      </c>
      <c r="AN80" s="3" t="s">
        <v>3114</v>
      </c>
      <c r="AO80" s="3">
        <v>1</v>
      </c>
      <c r="AS80" s="3">
        <v>1392</v>
      </c>
      <c r="AT80" s="3">
        <v>103</v>
      </c>
      <c r="AU80" s="3" t="s">
        <v>3240</v>
      </c>
      <c r="AV80" s="3">
        <v>11.04</v>
      </c>
      <c r="AX80" s="3" t="s">
        <v>2265</v>
      </c>
      <c r="AY80" s="65" t="s">
        <v>2266</v>
      </c>
      <c r="BA80" s="108" t="s">
        <v>4018</v>
      </c>
      <c r="BB80" s="182">
        <v>1513201</v>
      </c>
    </row>
    <row r="81" spans="20:54" ht="15.75" thickBot="1" x14ac:dyDescent="0.3">
      <c r="T81" s="21" t="s">
        <v>173</v>
      </c>
      <c r="U81" s="22" t="s">
        <v>172</v>
      </c>
      <c r="AB81" s="71" t="s">
        <v>513</v>
      </c>
      <c r="AC81" s="72" t="s">
        <v>512</v>
      </c>
      <c r="AD81" s="73" t="str">
        <f t="shared" si="11"/>
        <v>05-80</v>
      </c>
      <c r="AE81" s="74">
        <f t="shared" si="12"/>
        <v>80</v>
      </c>
      <c r="AF81" s="71" t="s">
        <v>589</v>
      </c>
      <c r="AG81" s="73" t="s">
        <v>354</v>
      </c>
      <c r="AI81" s="41">
        <v>80</v>
      </c>
      <c r="AJ81" s="42" t="str">
        <f t="shared" si="13"/>
        <v>-80</v>
      </c>
      <c r="AK81" s="42" t="str">
        <f t="shared" si="9"/>
        <v/>
      </c>
      <c r="AL81" s="43" t="str">
        <f t="shared" si="10"/>
        <v/>
      </c>
      <c r="AN81" s="3" t="s">
        <v>3115</v>
      </c>
      <c r="AO81" s="3">
        <v>2</v>
      </c>
      <c r="AS81" s="3">
        <v>1393</v>
      </c>
      <c r="AT81" s="3">
        <v>103</v>
      </c>
      <c r="AU81" s="3" t="s">
        <v>3241</v>
      </c>
      <c r="AV81" s="3">
        <v>11.04</v>
      </c>
      <c r="AX81" s="3" t="s">
        <v>2267</v>
      </c>
      <c r="AY81" s="65" t="s">
        <v>2268</v>
      </c>
      <c r="BA81" s="109" t="s">
        <v>4019</v>
      </c>
      <c r="BB81" s="183">
        <v>1513301</v>
      </c>
    </row>
    <row r="82" spans="20:54" ht="15.75" thickBot="1" x14ac:dyDescent="0.3">
      <c r="T82" s="21" t="s">
        <v>175</v>
      </c>
      <c r="U82" s="22" t="s">
        <v>174</v>
      </c>
      <c r="AB82" s="71" t="s">
        <v>513</v>
      </c>
      <c r="AC82" s="72" t="s">
        <v>512</v>
      </c>
      <c r="AD82" s="73" t="str">
        <f t="shared" si="11"/>
        <v>05-81</v>
      </c>
      <c r="AE82" s="74">
        <f t="shared" si="12"/>
        <v>81</v>
      </c>
      <c r="AF82" s="71" t="s">
        <v>590</v>
      </c>
      <c r="AG82" s="73" t="s">
        <v>1747</v>
      </c>
      <c r="AI82" s="41">
        <v>81</v>
      </c>
      <c r="AJ82" s="42" t="str">
        <f t="shared" si="13"/>
        <v>-81</v>
      </c>
      <c r="AK82" s="42" t="str">
        <f t="shared" si="9"/>
        <v/>
      </c>
      <c r="AL82" s="43" t="str">
        <f t="shared" si="10"/>
        <v/>
      </c>
      <c r="AN82" s="3" t="s">
        <v>5641</v>
      </c>
      <c r="AO82" s="3">
        <v>3</v>
      </c>
      <c r="AS82" s="3">
        <v>1394</v>
      </c>
      <c r="AT82" s="3">
        <v>103</v>
      </c>
      <c r="AU82" s="3" t="s">
        <v>3704</v>
      </c>
      <c r="AV82" s="3">
        <v>11.04</v>
      </c>
      <c r="AX82" s="3" t="s">
        <v>2269</v>
      </c>
      <c r="AY82" s="65" t="s">
        <v>2270</v>
      </c>
      <c r="BA82" s="108" t="s">
        <v>4020</v>
      </c>
      <c r="BB82" s="182">
        <v>1513401</v>
      </c>
    </row>
    <row r="83" spans="20:54" ht="15.75" thickBot="1" x14ac:dyDescent="0.3">
      <c r="T83" s="21" t="s">
        <v>177</v>
      </c>
      <c r="U83" s="22" t="s">
        <v>176</v>
      </c>
      <c r="AB83" s="71" t="s">
        <v>513</v>
      </c>
      <c r="AC83" s="72" t="s">
        <v>512</v>
      </c>
      <c r="AD83" s="73" t="str">
        <f t="shared" si="11"/>
        <v>05-82</v>
      </c>
      <c r="AE83" s="74">
        <f t="shared" si="12"/>
        <v>82</v>
      </c>
      <c r="AF83" s="71" t="s">
        <v>591</v>
      </c>
      <c r="AG83" s="73" t="s">
        <v>1748</v>
      </c>
      <c r="AI83" s="41">
        <v>82</v>
      </c>
      <c r="AJ83" s="42" t="str">
        <f t="shared" si="13"/>
        <v>-82</v>
      </c>
      <c r="AK83" s="42" t="str">
        <f t="shared" si="9"/>
        <v/>
      </c>
      <c r="AL83" s="43" t="str">
        <f t="shared" si="10"/>
        <v/>
      </c>
      <c r="AS83" s="3">
        <v>1399</v>
      </c>
      <c r="AT83" s="3">
        <v>103</v>
      </c>
      <c r="AU83" s="3" t="s">
        <v>2284</v>
      </c>
      <c r="AV83" s="3">
        <v>11.04</v>
      </c>
      <c r="AX83" s="3" t="s">
        <v>2271</v>
      </c>
      <c r="AY83" s="65" t="s">
        <v>2272</v>
      </c>
      <c r="BA83" s="109" t="s">
        <v>4021</v>
      </c>
      <c r="BB83" s="183">
        <v>1513501</v>
      </c>
    </row>
    <row r="84" spans="20:54" ht="15.75" thickBot="1" x14ac:dyDescent="0.3">
      <c r="T84" s="21" t="s">
        <v>179</v>
      </c>
      <c r="U84" s="22" t="s">
        <v>178</v>
      </c>
      <c r="AB84" s="71" t="s">
        <v>513</v>
      </c>
      <c r="AC84" s="72" t="s">
        <v>512</v>
      </c>
      <c r="AD84" s="73" t="str">
        <f t="shared" si="11"/>
        <v>05-83</v>
      </c>
      <c r="AE84" s="74">
        <f t="shared" si="12"/>
        <v>83</v>
      </c>
      <c r="AF84" s="71" t="s">
        <v>592</v>
      </c>
      <c r="AG84" s="73" t="s">
        <v>1749</v>
      </c>
      <c r="AI84" s="41">
        <v>83</v>
      </c>
      <c r="AJ84" s="42" t="str">
        <f t="shared" si="13"/>
        <v>-83</v>
      </c>
      <c r="AK84" s="42" t="str">
        <f t="shared" si="9"/>
        <v/>
      </c>
      <c r="AL84" s="43" t="str">
        <f t="shared" si="10"/>
        <v/>
      </c>
      <c r="AS84" s="3">
        <v>1410</v>
      </c>
      <c r="AT84" s="3">
        <v>101</v>
      </c>
      <c r="AU84" s="3" t="s">
        <v>3705</v>
      </c>
      <c r="AV84" s="3">
        <v>4.1399999999999997</v>
      </c>
      <c r="AX84" s="3" t="s">
        <v>2273</v>
      </c>
      <c r="AY84" s="65" t="s">
        <v>2274</v>
      </c>
      <c r="BA84" s="108" t="s">
        <v>4022</v>
      </c>
      <c r="BB84" s="182">
        <v>1513601</v>
      </c>
    </row>
    <row r="85" spans="20:54" ht="15.75" thickBot="1" x14ac:dyDescent="0.3">
      <c r="T85" s="21" t="s">
        <v>181</v>
      </c>
      <c r="U85" s="22" t="s">
        <v>180</v>
      </c>
      <c r="AB85" s="71" t="s">
        <v>513</v>
      </c>
      <c r="AC85" s="72" t="s">
        <v>512</v>
      </c>
      <c r="AD85" s="73" t="str">
        <f t="shared" si="11"/>
        <v>05-84</v>
      </c>
      <c r="AE85" s="74">
        <f t="shared" si="12"/>
        <v>84</v>
      </c>
      <c r="AF85" s="71" t="s">
        <v>593</v>
      </c>
      <c r="AG85" s="73" t="s">
        <v>370</v>
      </c>
      <c r="AI85" s="41">
        <v>84</v>
      </c>
      <c r="AJ85" s="42" t="str">
        <f t="shared" si="13"/>
        <v>-84</v>
      </c>
      <c r="AK85" s="42" t="str">
        <f t="shared" si="9"/>
        <v/>
      </c>
      <c r="AL85" s="43" t="str">
        <f t="shared" si="10"/>
        <v/>
      </c>
      <c r="AS85" s="3">
        <v>1511</v>
      </c>
      <c r="AT85" s="3">
        <v>103</v>
      </c>
      <c r="AU85" s="3" t="s">
        <v>2292</v>
      </c>
      <c r="AV85" s="3">
        <v>11.04</v>
      </c>
      <c r="AX85" s="3" t="s">
        <v>2275</v>
      </c>
      <c r="AY85" s="65" t="s">
        <v>2276</v>
      </c>
      <c r="BA85" s="109" t="s">
        <v>4023</v>
      </c>
      <c r="BB85" s="183">
        <v>1514201</v>
      </c>
    </row>
    <row r="86" spans="20:54" ht="30.75" thickBot="1" x14ac:dyDescent="0.3">
      <c r="T86" s="21" t="s">
        <v>183</v>
      </c>
      <c r="U86" s="22" t="s">
        <v>182</v>
      </c>
      <c r="AB86" s="71" t="s">
        <v>513</v>
      </c>
      <c r="AC86" s="72" t="s">
        <v>512</v>
      </c>
      <c r="AD86" s="73" t="str">
        <f t="shared" si="11"/>
        <v>05-85</v>
      </c>
      <c r="AE86" s="74">
        <f t="shared" si="12"/>
        <v>85</v>
      </c>
      <c r="AF86" s="71" t="s">
        <v>594</v>
      </c>
      <c r="AG86" s="73" t="s">
        <v>1750</v>
      </c>
      <c r="AI86" s="41">
        <v>85</v>
      </c>
      <c r="AJ86" s="42" t="str">
        <f t="shared" si="13"/>
        <v>-85</v>
      </c>
      <c r="AK86" s="42" t="str">
        <f t="shared" si="9"/>
        <v/>
      </c>
      <c r="AL86" s="43" t="str">
        <f t="shared" si="10"/>
        <v/>
      </c>
      <c r="AS86" s="3">
        <v>1512</v>
      </c>
      <c r="AT86" s="3">
        <v>103</v>
      </c>
      <c r="AU86" s="3" t="s">
        <v>2294</v>
      </c>
      <c r="AV86" s="3">
        <v>11.04</v>
      </c>
      <c r="AX86" s="3" t="s">
        <v>2277</v>
      </c>
      <c r="AY86" s="65" t="s">
        <v>2278</v>
      </c>
      <c r="BA86" s="108" t="s">
        <v>4024</v>
      </c>
      <c r="BB86" s="182">
        <v>1515101</v>
      </c>
    </row>
    <row r="87" spans="20:54" ht="15.75" thickBot="1" x14ac:dyDescent="0.3">
      <c r="T87" s="21" t="s">
        <v>185</v>
      </c>
      <c r="U87" s="22" t="s">
        <v>184</v>
      </c>
      <c r="AB87" s="71" t="s">
        <v>513</v>
      </c>
      <c r="AC87" s="72" t="s">
        <v>512</v>
      </c>
      <c r="AD87" s="73" t="str">
        <f t="shared" si="11"/>
        <v>05-86</v>
      </c>
      <c r="AE87" s="74">
        <f t="shared" si="12"/>
        <v>86</v>
      </c>
      <c r="AF87" s="71" t="s">
        <v>595</v>
      </c>
      <c r="AG87" s="73" t="s">
        <v>376</v>
      </c>
      <c r="AI87" s="41">
        <v>86</v>
      </c>
      <c r="AJ87" s="42" t="str">
        <f t="shared" si="13"/>
        <v>-86</v>
      </c>
      <c r="AK87" s="42" t="str">
        <f t="shared" si="9"/>
        <v/>
      </c>
      <c r="AL87" s="43" t="str">
        <f t="shared" si="10"/>
        <v/>
      </c>
      <c r="AS87" s="3">
        <v>1513</v>
      </c>
      <c r="AT87" s="3">
        <v>103</v>
      </c>
      <c r="AU87" s="3" t="s">
        <v>3706</v>
      </c>
      <c r="AV87" s="3">
        <v>11.04</v>
      </c>
      <c r="AX87" s="3" t="s">
        <v>2279</v>
      </c>
      <c r="AY87" s="65" t="s">
        <v>2280</v>
      </c>
      <c r="BA87" s="109" t="s">
        <v>4025</v>
      </c>
      <c r="BB87" s="183">
        <v>1515301</v>
      </c>
    </row>
    <row r="88" spans="20:54" ht="15.75" thickBot="1" x14ac:dyDescent="0.3">
      <c r="T88" s="21" t="s">
        <v>187</v>
      </c>
      <c r="U88" s="22" t="s">
        <v>186</v>
      </c>
      <c r="AB88" s="71" t="s">
        <v>513</v>
      </c>
      <c r="AC88" s="72" t="s">
        <v>512</v>
      </c>
      <c r="AD88" s="73" t="str">
        <f t="shared" si="11"/>
        <v>05-87</v>
      </c>
      <c r="AE88" s="74">
        <f t="shared" si="12"/>
        <v>87</v>
      </c>
      <c r="AF88" s="71" t="s">
        <v>596</v>
      </c>
      <c r="AG88" s="73" t="s">
        <v>1751</v>
      </c>
      <c r="AI88" s="41">
        <v>87</v>
      </c>
      <c r="AJ88" s="42" t="str">
        <f t="shared" si="13"/>
        <v>-87</v>
      </c>
      <c r="AK88" s="42" t="str">
        <f t="shared" si="9"/>
        <v/>
      </c>
      <c r="AL88" s="43" t="str">
        <f t="shared" si="10"/>
        <v/>
      </c>
      <c r="AS88" s="3">
        <v>1521</v>
      </c>
      <c r="AT88" s="3">
        <v>101</v>
      </c>
      <c r="AU88" s="3" t="s">
        <v>3208</v>
      </c>
      <c r="AV88" s="3">
        <v>4.1399999999999997</v>
      </c>
      <c r="AX88" s="3" t="s">
        <v>2281</v>
      </c>
      <c r="AY88" s="65" t="s">
        <v>2282</v>
      </c>
      <c r="BA88" s="108" t="s">
        <v>4026</v>
      </c>
      <c r="BB88" s="182">
        <v>1515401</v>
      </c>
    </row>
    <row r="89" spans="20:54" ht="15.75" thickBot="1" x14ac:dyDescent="0.3">
      <c r="T89" s="21" t="s">
        <v>189</v>
      </c>
      <c r="U89" s="22" t="s">
        <v>188</v>
      </c>
      <c r="AB89" s="71" t="s">
        <v>513</v>
      </c>
      <c r="AC89" s="72" t="s">
        <v>512</v>
      </c>
      <c r="AD89" s="73" t="str">
        <f t="shared" si="11"/>
        <v>05-88</v>
      </c>
      <c r="AE89" s="74">
        <f t="shared" si="12"/>
        <v>88</v>
      </c>
      <c r="AF89" s="71" t="s">
        <v>597</v>
      </c>
      <c r="AG89" s="73" t="s">
        <v>1752</v>
      </c>
      <c r="AI89" s="41">
        <v>88</v>
      </c>
      <c r="AJ89" s="42" t="str">
        <f t="shared" si="13"/>
        <v>-88</v>
      </c>
      <c r="AK89" s="42" t="str">
        <f t="shared" si="9"/>
        <v/>
      </c>
      <c r="AL89" s="43" t="str">
        <f t="shared" si="10"/>
        <v/>
      </c>
      <c r="AS89" s="3">
        <v>1522</v>
      </c>
      <c r="AT89" s="3">
        <v>101</v>
      </c>
      <c r="AU89" s="3" t="s">
        <v>3707</v>
      </c>
      <c r="AV89" s="3">
        <v>4.1399999999999997</v>
      </c>
      <c r="AX89" s="3" t="s">
        <v>2283</v>
      </c>
      <c r="AY89" s="65" t="s">
        <v>2284</v>
      </c>
      <c r="BA89" s="109" t="s">
        <v>4027</v>
      </c>
      <c r="BB89" s="183">
        <v>1515901</v>
      </c>
    </row>
    <row r="90" spans="20:54" ht="15.75" thickBot="1" x14ac:dyDescent="0.3">
      <c r="T90" s="21" t="s">
        <v>191</v>
      </c>
      <c r="U90" s="22" t="s">
        <v>190</v>
      </c>
      <c r="AB90" s="71" t="s">
        <v>513</v>
      </c>
      <c r="AC90" s="72" t="s">
        <v>512</v>
      </c>
      <c r="AD90" s="73" t="str">
        <f t="shared" si="11"/>
        <v>05-89</v>
      </c>
      <c r="AE90" s="74">
        <f t="shared" si="12"/>
        <v>89</v>
      </c>
      <c r="AF90" s="71" t="s">
        <v>598</v>
      </c>
      <c r="AG90" s="73" t="s">
        <v>384</v>
      </c>
      <c r="AI90" s="41">
        <v>89</v>
      </c>
      <c r="AJ90" s="42" t="str">
        <f t="shared" si="13"/>
        <v>-89</v>
      </c>
      <c r="AK90" s="42" t="str">
        <f t="shared" si="9"/>
        <v/>
      </c>
      <c r="AL90" s="43" t="str">
        <f t="shared" si="10"/>
        <v/>
      </c>
      <c r="AS90" s="3">
        <v>1523</v>
      </c>
      <c r="AT90" s="3">
        <v>103</v>
      </c>
      <c r="AU90" s="3" t="s">
        <v>3242</v>
      </c>
      <c r="AV90" s="3">
        <v>11.04</v>
      </c>
      <c r="AX90" s="3" t="s">
        <v>2285</v>
      </c>
      <c r="AY90" s="65" t="s">
        <v>2286</v>
      </c>
      <c r="BA90" s="108" t="s">
        <v>4028</v>
      </c>
      <c r="BB90" s="182">
        <v>1516301</v>
      </c>
    </row>
    <row r="91" spans="20:54" ht="15.75" thickBot="1" x14ac:dyDescent="0.3">
      <c r="T91" s="21" t="s">
        <v>193</v>
      </c>
      <c r="U91" s="22" t="s">
        <v>192</v>
      </c>
      <c r="AB91" s="71" t="s">
        <v>513</v>
      </c>
      <c r="AC91" s="72" t="s">
        <v>512</v>
      </c>
      <c r="AD91" s="73" t="str">
        <f t="shared" si="11"/>
        <v>05-90</v>
      </c>
      <c r="AE91" s="74">
        <f t="shared" si="12"/>
        <v>90</v>
      </c>
      <c r="AF91" s="71" t="s">
        <v>599</v>
      </c>
      <c r="AG91" s="73" t="s">
        <v>1753</v>
      </c>
      <c r="AI91" s="41">
        <v>90</v>
      </c>
      <c r="AJ91" s="42" t="str">
        <f t="shared" si="13"/>
        <v>-90</v>
      </c>
      <c r="AK91" s="42" t="str">
        <f t="shared" si="9"/>
        <v/>
      </c>
      <c r="AL91" s="43" t="str">
        <f t="shared" si="10"/>
        <v/>
      </c>
      <c r="AS91" s="3">
        <v>1610</v>
      </c>
      <c r="AT91" s="3">
        <v>103</v>
      </c>
      <c r="AU91" s="3" t="s">
        <v>3243</v>
      </c>
      <c r="AV91" s="3">
        <v>11.04</v>
      </c>
      <c r="AX91" s="3" t="s">
        <v>2287</v>
      </c>
      <c r="AY91" s="65" t="s">
        <v>2288</v>
      </c>
      <c r="BA91" s="109" t="s">
        <v>4029</v>
      </c>
      <c r="BB91" s="183">
        <v>1521101</v>
      </c>
    </row>
    <row r="92" spans="20:54" ht="15.75" thickBot="1" x14ac:dyDescent="0.3">
      <c r="T92" s="21" t="s">
        <v>195</v>
      </c>
      <c r="U92" s="22" t="s">
        <v>194</v>
      </c>
      <c r="AB92" s="71" t="s">
        <v>513</v>
      </c>
      <c r="AC92" s="72" t="s">
        <v>512</v>
      </c>
      <c r="AD92" s="73" t="str">
        <f t="shared" si="11"/>
        <v>05-91</v>
      </c>
      <c r="AE92" s="74">
        <f t="shared" si="12"/>
        <v>91</v>
      </c>
      <c r="AF92" s="71" t="s">
        <v>600</v>
      </c>
      <c r="AG92" s="73" t="s">
        <v>1754</v>
      </c>
      <c r="AI92" s="41">
        <v>91</v>
      </c>
      <c r="AJ92" s="42" t="str">
        <f t="shared" si="13"/>
        <v>-91</v>
      </c>
      <c r="AK92" s="42" t="str">
        <f t="shared" si="9"/>
        <v/>
      </c>
      <c r="AL92" s="43" t="str">
        <f t="shared" si="10"/>
        <v/>
      </c>
      <c r="AS92" s="3">
        <v>1620</v>
      </c>
      <c r="AT92" s="3">
        <v>103</v>
      </c>
      <c r="AU92" s="3" t="s">
        <v>3708</v>
      </c>
      <c r="AV92" s="3">
        <v>11.04</v>
      </c>
      <c r="AX92" s="3" t="s">
        <v>2289</v>
      </c>
      <c r="AY92" s="65" t="s">
        <v>2290</v>
      </c>
      <c r="BA92" s="108" t="s">
        <v>4030</v>
      </c>
      <c r="BB92" s="182">
        <v>1521901</v>
      </c>
    </row>
    <row r="93" spans="20:54" ht="15.75" thickBot="1" x14ac:dyDescent="0.3">
      <c r="T93" s="21" t="s">
        <v>197</v>
      </c>
      <c r="U93" s="22" t="s">
        <v>196</v>
      </c>
      <c r="AB93" s="71" t="s">
        <v>513</v>
      </c>
      <c r="AC93" s="72" t="s">
        <v>512</v>
      </c>
      <c r="AD93" s="73" t="str">
        <f t="shared" si="11"/>
        <v>05-92</v>
      </c>
      <c r="AE93" s="74">
        <f t="shared" si="12"/>
        <v>92</v>
      </c>
      <c r="AF93" s="71" t="s">
        <v>601</v>
      </c>
      <c r="AG93" s="73" t="s">
        <v>1755</v>
      </c>
      <c r="AI93" s="41">
        <v>92</v>
      </c>
      <c r="AJ93" s="42" t="str">
        <f t="shared" si="13"/>
        <v>-92</v>
      </c>
      <c r="AK93" s="42" t="str">
        <f t="shared" si="9"/>
        <v/>
      </c>
      <c r="AL93" s="43" t="str">
        <f t="shared" si="10"/>
        <v/>
      </c>
      <c r="AS93" s="3">
        <v>1630</v>
      </c>
      <c r="AT93" s="3">
        <v>103</v>
      </c>
      <c r="AU93" s="3" t="s">
        <v>3709</v>
      </c>
      <c r="AV93" s="3">
        <v>11.04</v>
      </c>
      <c r="AX93" s="3" t="s">
        <v>2291</v>
      </c>
      <c r="AY93" s="65" t="s">
        <v>2292</v>
      </c>
      <c r="BA93" s="109" t="s">
        <v>4031</v>
      </c>
      <c r="BB93" s="183">
        <v>1522101</v>
      </c>
    </row>
    <row r="94" spans="20:54" ht="45.75" thickBot="1" x14ac:dyDescent="0.3">
      <c r="T94" s="21" t="s">
        <v>199</v>
      </c>
      <c r="U94" s="22" t="s">
        <v>198</v>
      </c>
      <c r="AB94" s="71" t="s">
        <v>513</v>
      </c>
      <c r="AC94" s="72" t="s">
        <v>512</v>
      </c>
      <c r="AD94" s="73" t="str">
        <f t="shared" si="11"/>
        <v>05-93</v>
      </c>
      <c r="AE94" s="74">
        <f t="shared" si="12"/>
        <v>93</v>
      </c>
      <c r="AF94" s="71" t="s">
        <v>602</v>
      </c>
      <c r="AG94" s="73" t="s">
        <v>1756</v>
      </c>
      <c r="AI94" s="41">
        <v>93</v>
      </c>
      <c r="AJ94" s="42" t="str">
        <f t="shared" si="13"/>
        <v>-93</v>
      </c>
      <c r="AK94" s="42" t="str">
        <f t="shared" si="9"/>
        <v/>
      </c>
      <c r="AL94" s="43" t="str">
        <f t="shared" si="10"/>
        <v/>
      </c>
      <c r="AS94" s="3">
        <v>1640</v>
      </c>
      <c r="AT94" s="3">
        <v>103</v>
      </c>
      <c r="AU94" s="3" t="s">
        <v>3244</v>
      </c>
      <c r="AV94" s="3">
        <v>11.04</v>
      </c>
      <c r="AX94" s="3" t="s">
        <v>2293</v>
      </c>
      <c r="AY94" s="65" t="s">
        <v>2294</v>
      </c>
      <c r="BA94" s="108" t="s">
        <v>4032</v>
      </c>
      <c r="BB94" s="182">
        <v>1522201</v>
      </c>
    </row>
    <row r="95" spans="20:54" ht="45.75" thickBot="1" x14ac:dyDescent="0.3">
      <c r="T95" s="21" t="s">
        <v>201</v>
      </c>
      <c r="U95" s="22" t="s">
        <v>200</v>
      </c>
      <c r="AB95" s="71" t="s">
        <v>513</v>
      </c>
      <c r="AC95" s="72" t="s">
        <v>512</v>
      </c>
      <c r="AD95" s="73" t="str">
        <f t="shared" si="11"/>
        <v>05-94</v>
      </c>
      <c r="AE95" s="74">
        <f t="shared" si="12"/>
        <v>94</v>
      </c>
      <c r="AF95" s="71" t="s">
        <v>603</v>
      </c>
      <c r="AG95" s="73" t="s">
        <v>1757</v>
      </c>
      <c r="AI95" s="41">
        <v>94</v>
      </c>
      <c r="AJ95" s="42" t="str">
        <f t="shared" si="13"/>
        <v>-94</v>
      </c>
      <c r="AK95" s="42" t="str">
        <f t="shared" si="9"/>
        <v/>
      </c>
      <c r="AL95" s="43" t="str">
        <f t="shared" si="10"/>
        <v/>
      </c>
      <c r="AS95" s="3">
        <v>1690</v>
      </c>
      <c r="AT95" s="3">
        <v>103</v>
      </c>
      <c r="AU95" s="3" t="s">
        <v>3710</v>
      </c>
      <c r="AV95" s="3">
        <v>11.04</v>
      </c>
      <c r="AX95" s="3" t="s">
        <v>2295</v>
      </c>
      <c r="AY95" s="65" t="s">
        <v>2296</v>
      </c>
      <c r="BA95" s="109" t="s">
        <v>4033</v>
      </c>
      <c r="BB95" s="183">
        <v>1522301</v>
      </c>
    </row>
    <row r="96" spans="20:54" ht="15.75" thickBot="1" x14ac:dyDescent="0.3">
      <c r="T96" s="21" t="s">
        <v>203</v>
      </c>
      <c r="U96" s="22" t="s">
        <v>202</v>
      </c>
      <c r="AB96" s="71" t="s">
        <v>513</v>
      </c>
      <c r="AC96" s="72" t="s">
        <v>512</v>
      </c>
      <c r="AD96" s="73" t="str">
        <f t="shared" si="11"/>
        <v>05-95</v>
      </c>
      <c r="AE96" s="74">
        <f t="shared" si="12"/>
        <v>95</v>
      </c>
      <c r="AF96" s="71" t="s">
        <v>604</v>
      </c>
      <c r="AG96" s="73" t="s">
        <v>386</v>
      </c>
      <c r="AI96" s="41">
        <v>95</v>
      </c>
      <c r="AJ96" s="42" t="str">
        <f t="shared" si="13"/>
        <v>-95</v>
      </c>
      <c r="AK96" s="42" t="str">
        <f t="shared" si="9"/>
        <v/>
      </c>
      <c r="AL96" s="43" t="str">
        <f t="shared" si="10"/>
        <v/>
      </c>
      <c r="AS96" s="3">
        <v>1701</v>
      </c>
      <c r="AT96" s="3">
        <v>103</v>
      </c>
      <c r="AU96" s="3" t="s">
        <v>3245</v>
      </c>
      <c r="AV96" s="3">
        <v>11.04</v>
      </c>
      <c r="AX96" s="3" t="s">
        <v>2297</v>
      </c>
      <c r="AY96" s="65" t="s">
        <v>2298</v>
      </c>
      <c r="BA96" s="108" t="s">
        <v>4034</v>
      </c>
      <c r="BB96" s="182">
        <v>1522401</v>
      </c>
    </row>
    <row r="97" spans="20:54" ht="30.75" thickBot="1" x14ac:dyDescent="0.3">
      <c r="T97" s="21" t="s">
        <v>205</v>
      </c>
      <c r="U97" s="22" t="s">
        <v>204</v>
      </c>
      <c r="AB97" s="71" t="s">
        <v>513</v>
      </c>
      <c r="AC97" s="72" t="s">
        <v>512</v>
      </c>
      <c r="AD97" s="73" t="str">
        <f t="shared" si="11"/>
        <v>05-96</v>
      </c>
      <c r="AE97" s="74">
        <f t="shared" si="12"/>
        <v>96</v>
      </c>
      <c r="AF97" s="71" t="s">
        <v>605</v>
      </c>
      <c r="AG97" s="73" t="s">
        <v>1758</v>
      </c>
      <c r="AI97" s="41">
        <v>96</v>
      </c>
      <c r="AJ97" s="42" t="str">
        <f t="shared" si="13"/>
        <v>-96</v>
      </c>
      <c r="AK97" s="42" t="str">
        <f t="shared" si="9"/>
        <v/>
      </c>
      <c r="AL97" s="43" t="str">
        <f t="shared" si="10"/>
        <v/>
      </c>
      <c r="AS97" s="3">
        <v>1702</v>
      </c>
      <c r="AT97" s="3">
        <v>103</v>
      </c>
      <c r="AU97" s="3" t="s">
        <v>2316</v>
      </c>
      <c r="AV97" s="3">
        <v>11.04</v>
      </c>
      <c r="AX97" s="3" t="s">
        <v>2299</v>
      </c>
      <c r="AY97" s="65" t="s">
        <v>2300</v>
      </c>
      <c r="BA97" s="109" t="s">
        <v>4035</v>
      </c>
      <c r="BB97" s="183">
        <v>1522501</v>
      </c>
    </row>
    <row r="98" spans="20:54" ht="15.75" thickBot="1" x14ac:dyDescent="0.3">
      <c r="T98" s="21" t="s">
        <v>207</v>
      </c>
      <c r="U98" s="22" t="s">
        <v>206</v>
      </c>
      <c r="AB98" s="71" t="s">
        <v>513</v>
      </c>
      <c r="AC98" s="72" t="s">
        <v>512</v>
      </c>
      <c r="AD98" s="73" t="str">
        <f t="shared" si="11"/>
        <v>05-97</v>
      </c>
      <c r="AE98" s="74">
        <f t="shared" si="12"/>
        <v>97</v>
      </c>
      <c r="AF98" s="71" t="s">
        <v>606</v>
      </c>
      <c r="AG98" s="73" t="s">
        <v>502</v>
      </c>
      <c r="AI98" s="41">
        <v>97</v>
      </c>
      <c r="AJ98" s="42" t="str">
        <f t="shared" si="13"/>
        <v>-97</v>
      </c>
      <c r="AK98" s="42" t="str">
        <f t="shared" ref="AK98:AK126" si="14">IFERROR(VLOOKUP(AJ98,$AD$2:$AG$1120,3,0),"")</f>
        <v/>
      </c>
      <c r="AL98" s="43" t="str">
        <f t="shared" ref="AL98:AL126" si="15">IFERROR(VLOOKUP(AJ98,$AD$2:$AG$1120,4,0),"")</f>
        <v/>
      </c>
      <c r="AS98" s="3">
        <v>1709</v>
      </c>
      <c r="AT98" s="3">
        <v>103</v>
      </c>
      <c r="AU98" s="3" t="s">
        <v>3246</v>
      </c>
      <c r="AV98" s="3">
        <v>11.04</v>
      </c>
      <c r="AX98" s="3" t="s">
        <v>2301</v>
      </c>
      <c r="AY98" s="65" t="s">
        <v>2302</v>
      </c>
      <c r="BA98" s="108" t="s">
        <v>4036</v>
      </c>
      <c r="BB98" s="182">
        <v>1522901</v>
      </c>
    </row>
    <row r="99" spans="20:54" ht="15.75" thickBot="1" x14ac:dyDescent="0.3">
      <c r="T99" s="21" t="s">
        <v>209</v>
      </c>
      <c r="U99" s="22" t="s">
        <v>208</v>
      </c>
      <c r="AB99" s="71" t="s">
        <v>513</v>
      </c>
      <c r="AC99" s="72" t="s">
        <v>512</v>
      </c>
      <c r="AD99" s="73" t="str">
        <f t="shared" si="11"/>
        <v>05-98</v>
      </c>
      <c r="AE99" s="74">
        <f t="shared" si="12"/>
        <v>98</v>
      </c>
      <c r="AF99" s="71" t="s">
        <v>607</v>
      </c>
      <c r="AG99" s="73" t="s">
        <v>1759</v>
      </c>
      <c r="AI99" s="41">
        <v>98</v>
      </c>
      <c r="AJ99" s="42" t="str">
        <f t="shared" si="13"/>
        <v>-98</v>
      </c>
      <c r="AK99" s="42" t="str">
        <f t="shared" si="14"/>
        <v/>
      </c>
      <c r="AL99" s="43" t="str">
        <f t="shared" si="15"/>
        <v/>
      </c>
      <c r="AS99" s="3">
        <v>1811</v>
      </c>
      <c r="AT99" s="3">
        <v>304</v>
      </c>
      <c r="AU99" s="3" t="s">
        <v>3390</v>
      </c>
      <c r="AV99" s="3">
        <v>9.66</v>
      </c>
      <c r="AX99" s="3" t="s">
        <v>2303</v>
      </c>
      <c r="AY99" s="65" t="s">
        <v>2304</v>
      </c>
      <c r="BA99" s="109" t="s">
        <v>4037</v>
      </c>
      <c r="BB99" s="183">
        <v>1523101</v>
      </c>
    </row>
    <row r="100" spans="20:54" ht="45.75" thickBot="1" x14ac:dyDescent="0.3">
      <c r="T100" s="21" t="s">
        <v>211</v>
      </c>
      <c r="U100" s="22" t="s">
        <v>210</v>
      </c>
      <c r="AB100" s="71" t="s">
        <v>513</v>
      </c>
      <c r="AC100" s="72" t="s">
        <v>512</v>
      </c>
      <c r="AD100" s="73" t="str">
        <f t="shared" si="11"/>
        <v>05-99</v>
      </c>
      <c r="AE100" s="74">
        <f t="shared" si="12"/>
        <v>99</v>
      </c>
      <c r="AF100" s="71" t="s">
        <v>608</v>
      </c>
      <c r="AG100" s="73" t="s">
        <v>388</v>
      </c>
      <c r="AI100" s="41">
        <v>99</v>
      </c>
      <c r="AJ100" s="42" t="str">
        <f t="shared" si="13"/>
        <v>-99</v>
      </c>
      <c r="AK100" s="42" t="str">
        <f t="shared" si="14"/>
        <v/>
      </c>
      <c r="AL100" s="43" t="str">
        <f t="shared" si="15"/>
        <v/>
      </c>
      <c r="AS100" s="3">
        <v>1812</v>
      </c>
      <c r="AT100" s="3">
        <v>304</v>
      </c>
      <c r="AU100" s="3" t="s">
        <v>3391</v>
      </c>
      <c r="AV100" s="3">
        <v>9.66</v>
      </c>
      <c r="AX100" s="3" t="s">
        <v>2305</v>
      </c>
      <c r="AY100" s="65" t="s">
        <v>2306</v>
      </c>
      <c r="BA100" s="108" t="s">
        <v>4038</v>
      </c>
      <c r="BB100" s="182">
        <v>1523201</v>
      </c>
    </row>
    <row r="101" spans="20:54" ht="30.75" thickBot="1" x14ac:dyDescent="0.3">
      <c r="T101" s="21" t="s">
        <v>213</v>
      </c>
      <c r="U101" s="22" t="s">
        <v>212</v>
      </c>
      <c r="AB101" s="71" t="s">
        <v>513</v>
      </c>
      <c r="AC101" s="72" t="s">
        <v>512</v>
      </c>
      <c r="AD101" s="73" t="str">
        <f t="shared" si="11"/>
        <v>05-100</v>
      </c>
      <c r="AE101" s="74">
        <f t="shared" si="12"/>
        <v>100</v>
      </c>
      <c r="AF101" s="71" t="s">
        <v>609</v>
      </c>
      <c r="AG101" s="73" t="s">
        <v>1760</v>
      </c>
      <c r="AI101" s="41">
        <v>100</v>
      </c>
      <c r="AJ101" s="42" t="str">
        <f t="shared" si="13"/>
        <v>-100</v>
      </c>
      <c r="AK101" s="42" t="str">
        <f t="shared" si="14"/>
        <v/>
      </c>
      <c r="AL101" s="43" t="str">
        <f t="shared" si="15"/>
        <v/>
      </c>
      <c r="AS101" s="3">
        <v>1820</v>
      </c>
      <c r="AT101" s="3">
        <v>304</v>
      </c>
      <c r="AU101" s="3" t="s">
        <v>3711</v>
      </c>
      <c r="AV101" s="3">
        <v>9.66</v>
      </c>
      <c r="AX101" s="3" t="s">
        <v>2307</v>
      </c>
      <c r="AY101" s="65" t="s">
        <v>2308</v>
      </c>
      <c r="BA101" s="109" t="s">
        <v>4039</v>
      </c>
      <c r="BB101" s="183">
        <v>1523301</v>
      </c>
    </row>
    <row r="102" spans="20:54" ht="15.75" thickBot="1" x14ac:dyDescent="0.3">
      <c r="T102" s="21" t="s">
        <v>215</v>
      </c>
      <c r="U102" s="22" t="s">
        <v>214</v>
      </c>
      <c r="AB102" s="71" t="s">
        <v>513</v>
      </c>
      <c r="AC102" s="72" t="s">
        <v>512</v>
      </c>
      <c r="AD102" s="73" t="str">
        <f t="shared" si="11"/>
        <v>05-101</v>
      </c>
      <c r="AE102" s="74">
        <f t="shared" si="12"/>
        <v>101</v>
      </c>
      <c r="AF102" s="71" t="s">
        <v>610</v>
      </c>
      <c r="AG102" s="73" t="s">
        <v>1761</v>
      </c>
      <c r="AI102" s="41">
        <v>101</v>
      </c>
      <c r="AJ102" s="42" t="str">
        <f t="shared" si="13"/>
        <v>-101</v>
      </c>
      <c r="AK102" s="42" t="str">
        <f t="shared" si="14"/>
        <v/>
      </c>
      <c r="AL102" s="43" t="str">
        <f t="shared" si="15"/>
        <v/>
      </c>
      <c r="AS102" s="3">
        <v>1910</v>
      </c>
      <c r="AT102" s="3">
        <v>103</v>
      </c>
      <c r="AU102" s="3" t="s">
        <v>3247</v>
      </c>
      <c r="AV102" s="3">
        <v>11.04</v>
      </c>
      <c r="AX102" s="3" t="s">
        <v>2309</v>
      </c>
      <c r="AY102" s="65" t="s">
        <v>2310</v>
      </c>
      <c r="BA102" s="108" t="s">
        <v>4040</v>
      </c>
      <c r="BB102" s="182">
        <v>1523401</v>
      </c>
    </row>
    <row r="103" spans="20:54" ht="30.75" thickBot="1" x14ac:dyDescent="0.3">
      <c r="T103" s="21" t="s">
        <v>217</v>
      </c>
      <c r="U103" s="22" t="s">
        <v>216</v>
      </c>
      <c r="AB103" s="71" t="s">
        <v>513</v>
      </c>
      <c r="AC103" s="72" t="s">
        <v>512</v>
      </c>
      <c r="AD103" s="73" t="str">
        <f t="shared" si="11"/>
        <v>05-102</v>
      </c>
      <c r="AE103" s="74">
        <f t="shared" si="12"/>
        <v>102</v>
      </c>
      <c r="AF103" s="71" t="s">
        <v>611</v>
      </c>
      <c r="AG103" s="73" t="s">
        <v>1762</v>
      </c>
      <c r="AI103" s="41">
        <v>102</v>
      </c>
      <c r="AJ103" s="42" t="str">
        <f t="shared" si="13"/>
        <v>-102</v>
      </c>
      <c r="AK103" s="42" t="str">
        <f t="shared" si="14"/>
        <v/>
      </c>
      <c r="AL103" s="43" t="str">
        <f t="shared" si="15"/>
        <v/>
      </c>
      <c r="AS103" s="3">
        <v>1921</v>
      </c>
      <c r="AT103" s="3">
        <v>103</v>
      </c>
      <c r="AU103" s="3" t="s">
        <v>3712</v>
      </c>
      <c r="AV103" s="3">
        <v>11.04</v>
      </c>
      <c r="AX103" s="3" t="s">
        <v>2311</v>
      </c>
      <c r="AY103" s="65" t="s">
        <v>2312</v>
      </c>
      <c r="BA103" s="109" t="s">
        <v>4041</v>
      </c>
      <c r="BB103" s="183">
        <v>1523501</v>
      </c>
    </row>
    <row r="104" spans="20:54" ht="15.75" thickBot="1" x14ac:dyDescent="0.3">
      <c r="T104" s="21" t="s">
        <v>219</v>
      </c>
      <c r="U104" s="22" t="s">
        <v>218</v>
      </c>
      <c r="AB104" s="71" t="s">
        <v>513</v>
      </c>
      <c r="AC104" s="72" t="s">
        <v>512</v>
      </c>
      <c r="AD104" s="73" t="str">
        <f t="shared" si="11"/>
        <v>05-103</v>
      </c>
      <c r="AE104" s="74">
        <f t="shared" si="12"/>
        <v>103</v>
      </c>
      <c r="AF104" s="71" t="s">
        <v>612</v>
      </c>
      <c r="AG104" s="73" t="s">
        <v>400</v>
      </c>
      <c r="AI104" s="41">
        <v>103</v>
      </c>
      <c r="AJ104" s="42" t="str">
        <f t="shared" si="13"/>
        <v>-103</v>
      </c>
      <c r="AK104" s="42" t="str">
        <f t="shared" si="14"/>
        <v/>
      </c>
      <c r="AL104" s="43" t="str">
        <f t="shared" si="15"/>
        <v/>
      </c>
      <c r="AS104" s="3">
        <v>1922</v>
      </c>
      <c r="AT104" s="3">
        <v>103</v>
      </c>
      <c r="AU104" s="3" t="s">
        <v>3248</v>
      </c>
      <c r="AV104" s="3">
        <v>11.04</v>
      </c>
      <c r="AX104" s="3" t="s">
        <v>2313</v>
      </c>
      <c r="AY104" s="65" t="s">
        <v>2314</v>
      </c>
      <c r="BA104" s="108" t="s">
        <v>4042</v>
      </c>
      <c r="BB104" s="182">
        <v>1523601</v>
      </c>
    </row>
    <row r="105" spans="20:54" ht="30.75" thickBot="1" x14ac:dyDescent="0.3">
      <c r="T105" s="21" t="s">
        <v>221</v>
      </c>
      <c r="U105" s="22" t="s">
        <v>220</v>
      </c>
      <c r="AB105" s="71" t="s">
        <v>513</v>
      </c>
      <c r="AC105" s="72" t="s">
        <v>512</v>
      </c>
      <c r="AD105" s="73" t="str">
        <f t="shared" si="11"/>
        <v>05-104</v>
      </c>
      <c r="AE105" s="74">
        <f t="shared" si="12"/>
        <v>104</v>
      </c>
      <c r="AF105" s="71" t="s">
        <v>613</v>
      </c>
      <c r="AG105" s="73" t="s">
        <v>404</v>
      </c>
      <c r="AI105" s="41">
        <v>104</v>
      </c>
      <c r="AJ105" s="42" t="str">
        <f t="shared" si="13"/>
        <v>-104</v>
      </c>
      <c r="AK105" s="42" t="str">
        <f t="shared" si="14"/>
        <v/>
      </c>
      <c r="AL105" s="43" t="str">
        <f t="shared" si="15"/>
        <v/>
      </c>
      <c r="AS105" s="3">
        <v>2011</v>
      </c>
      <c r="AT105" s="3">
        <v>103</v>
      </c>
      <c r="AU105" s="3" t="s">
        <v>3249</v>
      </c>
      <c r="AV105" s="3">
        <v>11.04</v>
      </c>
      <c r="AX105" s="3" t="s">
        <v>2315</v>
      </c>
      <c r="AY105" s="65" t="s">
        <v>2316</v>
      </c>
      <c r="BA105" s="109" t="s">
        <v>4043</v>
      </c>
      <c r="BB105" s="183">
        <v>1523701</v>
      </c>
    </row>
    <row r="106" spans="20:54" ht="15.75" thickBot="1" x14ac:dyDescent="0.3">
      <c r="T106" s="21" t="s">
        <v>223</v>
      </c>
      <c r="U106" s="22" t="s">
        <v>222</v>
      </c>
      <c r="AB106" s="71" t="s">
        <v>513</v>
      </c>
      <c r="AC106" s="72" t="s">
        <v>512</v>
      </c>
      <c r="AD106" s="73" t="str">
        <f t="shared" si="11"/>
        <v>05-105</v>
      </c>
      <c r="AE106" s="74">
        <f t="shared" si="12"/>
        <v>105</v>
      </c>
      <c r="AF106" s="71" t="s">
        <v>614</v>
      </c>
      <c r="AG106" s="73" t="s">
        <v>1763</v>
      </c>
      <c r="AI106" s="41">
        <v>105</v>
      </c>
      <c r="AJ106" s="42" t="str">
        <f t="shared" si="13"/>
        <v>-105</v>
      </c>
      <c r="AK106" s="42" t="str">
        <f t="shared" si="14"/>
        <v/>
      </c>
      <c r="AL106" s="43" t="str">
        <f t="shared" si="15"/>
        <v/>
      </c>
      <c r="AS106" s="3">
        <v>2012</v>
      </c>
      <c r="AT106" s="3">
        <v>103</v>
      </c>
      <c r="AU106" s="3" t="s">
        <v>3713</v>
      </c>
      <c r="AV106" s="3">
        <v>11.04</v>
      </c>
      <c r="AX106" s="3" t="s">
        <v>2317</v>
      </c>
      <c r="AY106" s="65" t="s">
        <v>2318</v>
      </c>
      <c r="BA106" s="108" t="s">
        <v>4044</v>
      </c>
      <c r="BB106" s="182">
        <v>1523901</v>
      </c>
    </row>
    <row r="107" spans="20:54" ht="15.75" thickBot="1" x14ac:dyDescent="0.3">
      <c r="T107" s="21" t="s">
        <v>225</v>
      </c>
      <c r="U107" s="22" t="s">
        <v>224</v>
      </c>
      <c r="AB107" s="71" t="s">
        <v>513</v>
      </c>
      <c r="AC107" s="72" t="s">
        <v>512</v>
      </c>
      <c r="AD107" s="73" t="str">
        <f t="shared" si="11"/>
        <v>05-106</v>
      </c>
      <c r="AE107" s="74">
        <f t="shared" si="12"/>
        <v>106</v>
      </c>
      <c r="AF107" s="71" t="s">
        <v>615</v>
      </c>
      <c r="AG107" s="73" t="s">
        <v>432</v>
      </c>
      <c r="AI107" s="41">
        <v>106</v>
      </c>
      <c r="AJ107" s="42" t="str">
        <f t="shared" si="13"/>
        <v>-106</v>
      </c>
      <c r="AK107" s="42" t="str">
        <f t="shared" si="14"/>
        <v/>
      </c>
      <c r="AL107" s="43" t="str">
        <f t="shared" si="15"/>
        <v/>
      </c>
      <c r="AS107" s="3">
        <v>2013</v>
      </c>
      <c r="AT107" s="3">
        <v>103</v>
      </c>
      <c r="AU107" s="3" t="s">
        <v>3250</v>
      </c>
      <c r="AV107" s="3">
        <v>11.04</v>
      </c>
      <c r="AX107" s="3" t="s">
        <v>2319</v>
      </c>
      <c r="AY107" s="65" t="s">
        <v>2320</v>
      </c>
      <c r="BA107" s="109" t="s">
        <v>4045</v>
      </c>
      <c r="BB107" s="183">
        <v>1524101</v>
      </c>
    </row>
    <row r="108" spans="20:54" ht="15.75" thickBot="1" x14ac:dyDescent="0.3">
      <c r="T108" s="21" t="s">
        <v>227</v>
      </c>
      <c r="U108" s="22" t="s">
        <v>226</v>
      </c>
      <c r="AB108" s="71" t="s">
        <v>513</v>
      </c>
      <c r="AC108" s="72" t="s">
        <v>512</v>
      </c>
      <c r="AD108" s="73" t="str">
        <f t="shared" si="11"/>
        <v>05-107</v>
      </c>
      <c r="AE108" s="74">
        <f t="shared" si="12"/>
        <v>107</v>
      </c>
      <c r="AF108" s="71" t="s">
        <v>616</v>
      </c>
      <c r="AG108" s="73" t="s">
        <v>1764</v>
      </c>
      <c r="AI108" s="41">
        <v>107</v>
      </c>
      <c r="AJ108" s="42" t="str">
        <f t="shared" si="13"/>
        <v>-107</v>
      </c>
      <c r="AK108" s="42" t="str">
        <f t="shared" si="14"/>
        <v/>
      </c>
      <c r="AL108" s="43" t="str">
        <f t="shared" si="15"/>
        <v/>
      </c>
      <c r="AS108" s="3">
        <v>2014</v>
      </c>
      <c r="AT108" s="3">
        <v>103</v>
      </c>
      <c r="AU108" s="3" t="s">
        <v>3251</v>
      </c>
      <c r="AV108" s="3">
        <v>11.04</v>
      </c>
      <c r="AX108" s="3" t="s">
        <v>2321</v>
      </c>
      <c r="AY108" s="65" t="s">
        <v>2322</v>
      </c>
      <c r="BA108" s="108" t="s">
        <v>4046</v>
      </c>
      <c r="BB108" s="182">
        <v>1524201</v>
      </c>
    </row>
    <row r="109" spans="20:54" ht="15.75" thickBot="1" x14ac:dyDescent="0.3">
      <c r="T109" s="21" t="s">
        <v>229</v>
      </c>
      <c r="U109" s="22" t="s">
        <v>228</v>
      </c>
      <c r="AB109" s="71" t="s">
        <v>513</v>
      </c>
      <c r="AC109" s="72" t="s">
        <v>512</v>
      </c>
      <c r="AD109" s="73" t="str">
        <f t="shared" si="11"/>
        <v>05-108</v>
      </c>
      <c r="AE109" s="74">
        <f t="shared" si="12"/>
        <v>108</v>
      </c>
      <c r="AF109" s="71" t="s">
        <v>617</v>
      </c>
      <c r="AG109" s="73" t="s">
        <v>132</v>
      </c>
      <c r="AI109" s="41">
        <v>108</v>
      </c>
      <c r="AJ109" s="42" t="str">
        <f t="shared" si="13"/>
        <v>-108</v>
      </c>
      <c r="AK109" s="42" t="str">
        <f t="shared" si="14"/>
        <v/>
      </c>
      <c r="AL109" s="43" t="str">
        <f t="shared" si="15"/>
        <v/>
      </c>
      <c r="AS109" s="3">
        <v>2021</v>
      </c>
      <c r="AT109" s="3">
        <v>103</v>
      </c>
      <c r="AU109" s="3" t="s">
        <v>3252</v>
      </c>
      <c r="AV109" s="3">
        <v>11.04</v>
      </c>
      <c r="AX109" s="3" t="s">
        <v>2323</v>
      </c>
      <c r="AY109" s="65" t="s">
        <v>2324</v>
      </c>
      <c r="BA109" s="109" t="s">
        <v>4047</v>
      </c>
      <c r="BB109" s="183">
        <v>1524301</v>
      </c>
    </row>
    <row r="110" spans="20:54" ht="15.75" thickBot="1" x14ac:dyDescent="0.3">
      <c r="T110" s="21" t="s">
        <v>231</v>
      </c>
      <c r="U110" s="22" t="s">
        <v>230</v>
      </c>
      <c r="AB110" s="71" t="s">
        <v>513</v>
      </c>
      <c r="AC110" s="72" t="s">
        <v>512</v>
      </c>
      <c r="AD110" s="73" t="str">
        <f t="shared" si="11"/>
        <v>05-109</v>
      </c>
      <c r="AE110" s="74">
        <f t="shared" si="12"/>
        <v>109</v>
      </c>
      <c r="AF110" s="71" t="s">
        <v>618</v>
      </c>
      <c r="AG110" s="73" t="s">
        <v>1765</v>
      </c>
      <c r="AI110" s="41">
        <v>109</v>
      </c>
      <c r="AJ110" s="42" t="str">
        <f t="shared" si="13"/>
        <v>-109</v>
      </c>
      <c r="AK110" s="42" t="str">
        <f t="shared" si="14"/>
        <v/>
      </c>
      <c r="AL110" s="43" t="str">
        <f t="shared" si="15"/>
        <v/>
      </c>
      <c r="AS110" s="3">
        <v>2022</v>
      </c>
      <c r="AT110" s="3">
        <v>103</v>
      </c>
      <c r="AU110" s="3" t="s">
        <v>3714</v>
      </c>
      <c r="AV110" s="3">
        <v>11.04</v>
      </c>
      <c r="AX110" s="3" t="s">
        <v>2325</v>
      </c>
      <c r="AY110" s="65" t="s">
        <v>2326</v>
      </c>
      <c r="BA110" s="108" t="s">
        <v>4048</v>
      </c>
      <c r="BB110" s="182">
        <v>1524401</v>
      </c>
    </row>
    <row r="111" spans="20:54" ht="15.75" thickBot="1" x14ac:dyDescent="0.3">
      <c r="T111" s="21" t="s">
        <v>233</v>
      </c>
      <c r="U111" s="22" t="s">
        <v>232</v>
      </c>
      <c r="AB111" s="71" t="s">
        <v>513</v>
      </c>
      <c r="AC111" s="72" t="s">
        <v>512</v>
      </c>
      <c r="AD111" s="73" t="str">
        <f t="shared" si="11"/>
        <v>05-110</v>
      </c>
      <c r="AE111" s="74">
        <f t="shared" si="12"/>
        <v>110</v>
      </c>
      <c r="AF111" s="71" t="s">
        <v>619</v>
      </c>
      <c r="AG111" s="73" t="s">
        <v>1766</v>
      </c>
      <c r="AI111" s="41">
        <v>110</v>
      </c>
      <c r="AJ111" s="42" t="str">
        <f t="shared" si="13"/>
        <v>-110</v>
      </c>
      <c r="AK111" s="42" t="str">
        <f t="shared" si="14"/>
        <v/>
      </c>
      <c r="AL111" s="43" t="str">
        <f t="shared" si="15"/>
        <v/>
      </c>
      <c r="AS111" s="3">
        <v>2023</v>
      </c>
      <c r="AT111" s="3">
        <v>103</v>
      </c>
      <c r="AU111" s="3" t="s">
        <v>3715</v>
      </c>
      <c r="AV111" s="3">
        <v>11.04</v>
      </c>
      <c r="AX111" s="3" t="s">
        <v>2327</v>
      </c>
      <c r="AY111" s="65" t="s">
        <v>2328</v>
      </c>
      <c r="BA111" s="109" t="s">
        <v>4049</v>
      </c>
      <c r="BB111" s="183">
        <v>1524501</v>
      </c>
    </row>
    <row r="112" spans="20:54" ht="15.75" thickBot="1" x14ac:dyDescent="0.3">
      <c r="T112" s="21" t="s">
        <v>235</v>
      </c>
      <c r="U112" s="22" t="s">
        <v>234</v>
      </c>
      <c r="AB112" s="71" t="s">
        <v>513</v>
      </c>
      <c r="AC112" s="72" t="s">
        <v>512</v>
      </c>
      <c r="AD112" s="73" t="str">
        <f t="shared" si="11"/>
        <v>05-111</v>
      </c>
      <c r="AE112" s="74">
        <f t="shared" si="12"/>
        <v>111</v>
      </c>
      <c r="AF112" s="71" t="s">
        <v>620</v>
      </c>
      <c r="AG112" s="73" t="s">
        <v>1767</v>
      </c>
      <c r="AI112" s="41">
        <v>111</v>
      </c>
      <c r="AJ112" s="42" t="str">
        <f t="shared" si="13"/>
        <v>-111</v>
      </c>
      <c r="AK112" s="42" t="str">
        <f t="shared" si="14"/>
        <v/>
      </c>
      <c r="AL112" s="43" t="str">
        <f t="shared" si="15"/>
        <v/>
      </c>
      <c r="AS112" s="3">
        <v>2029</v>
      </c>
      <c r="AT112" s="3">
        <v>103</v>
      </c>
      <c r="AU112" s="3" t="s">
        <v>2346</v>
      </c>
      <c r="AV112" s="3">
        <v>11.04</v>
      </c>
      <c r="AX112" s="3" t="s">
        <v>2329</v>
      </c>
      <c r="AY112" s="65" t="s">
        <v>2330</v>
      </c>
      <c r="BA112" s="108" t="s">
        <v>4050</v>
      </c>
      <c r="BB112" s="182">
        <v>1524601</v>
      </c>
    </row>
    <row r="113" spans="20:54" ht="15.75" thickBot="1" x14ac:dyDescent="0.3">
      <c r="T113" s="21" t="s">
        <v>237</v>
      </c>
      <c r="U113" s="22" t="s">
        <v>236</v>
      </c>
      <c r="AB113" s="71" t="s">
        <v>513</v>
      </c>
      <c r="AC113" s="72" t="s">
        <v>512</v>
      </c>
      <c r="AD113" s="73" t="str">
        <f t="shared" si="11"/>
        <v>05-112</v>
      </c>
      <c r="AE113" s="74">
        <f t="shared" si="12"/>
        <v>112</v>
      </c>
      <c r="AF113" s="71" t="s">
        <v>621</v>
      </c>
      <c r="AG113" s="73" t="s">
        <v>1768</v>
      </c>
      <c r="AI113" s="41">
        <v>112</v>
      </c>
      <c r="AJ113" s="42" t="str">
        <f t="shared" si="13"/>
        <v>-112</v>
      </c>
      <c r="AK113" s="42" t="str">
        <f t="shared" si="14"/>
        <v/>
      </c>
      <c r="AL113" s="43" t="str">
        <f t="shared" si="15"/>
        <v/>
      </c>
      <c r="AS113" s="3">
        <v>2030</v>
      </c>
      <c r="AT113" s="3">
        <v>103</v>
      </c>
      <c r="AU113" s="3" t="s">
        <v>3253</v>
      </c>
      <c r="AV113" s="3">
        <v>11.04</v>
      </c>
      <c r="AX113" s="3" t="s">
        <v>2331</v>
      </c>
      <c r="AY113" s="65" t="s">
        <v>2332</v>
      </c>
      <c r="BA113" s="109" t="s">
        <v>4051</v>
      </c>
      <c r="BB113" s="183">
        <v>1525101</v>
      </c>
    </row>
    <row r="114" spans="20:54" ht="15.75" thickBot="1" x14ac:dyDescent="0.3">
      <c r="T114" s="21" t="s">
        <v>239</v>
      </c>
      <c r="U114" s="22" t="s">
        <v>238</v>
      </c>
      <c r="AB114" s="71" t="s">
        <v>513</v>
      </c>
      <c r="AC114" s="72" t="s">
        <v>512</v>
      </c>
      <c r="AD114" s="73" t="str">
        <f t="shared" si="11"/>
        <v>05-113</v>
      </c>
      <c r="AE114" s="74">
        <f t="shared" si="12"/>
        <v>113</v>
      </c>
      <c r="AF114" s="71" t="s">
        <v>622</v>
      </c>
      <c r="AG114" s="73" t="s">
        <v>1769</v>
      </c>
      <c r="AI114" s="41">
        <v>113</v>
      </c>
      <c r="AJ114" s="42" t="str">
        <f t="shared" si="13"/>
        <v>-113</v>
      </c>
      <c r="AK114" s="42" t="str">
        <f t="shared" si="14"/>
        <v/>
      </c>
      <c r="AL114" s="43" t="str">
        <f t="shared" si="15"/>
        <v/>
      </c>
      <c r="AS114" s="3">
        <v>2100</v>
      </c>
      <c r="AT114" s="3">
        <v>103</v>
      </c>
      <c r="AU114" s="3" t="s">
        <v>3254</v>
      </c>
      <c r="AV114" s="3">
        <v>12.14</v>
      </c>
      <c r="AX114" s="3" t="s">
        <v>2333</v>
      </c>
      <c r="AY114" s="65" t="s">
        <v>2334</v>
      </c>
      <c r="BA114" s="108" t="s">
        <v>4052</v>
      </c>
      <c r="BB114" s="182">
        <v>1525201</v>
      </c>
    </row>
    <row r="115" spans="20:54" ht="15.75" thickBot="1" x14ac:dyDescent="0.3">
      <c r="T115" s="21" t="s">
        <v>241</v>
      </c>
      <c r="U115" s="22" t="s">
        <v>240</v>
      </c>
      <c r="AB115" s="71" t="s">
        <v>513</v>
      </c>
      <c r="AC115" s="72" t="s">
        <v>512</v>
      </c>
      <c r="AD115" s="73" t="str">
        <f t="shared" si="11"/>
        <v>05-114</v>
      </c>
      <c r="AE115" s="74">
        <f t="shared" si="12"/>
        <v>114</v>
      </c>
      <c r="AF115" s="71" t="s">
        <v>623</v>
      </c>
      <c r="AG115" s="73" t="s">
        <v>1770</v>
      </c>
      <c r="AI115" s="41">
        <v>114</v>
      </c>
      <c r="AJ115" s="42" t="str">
        <f t="shared" si="13"/>
        <v>-114</v>
      </c>
      <c r="AK115" s="42" t="str">
        <f t="shared" si="14"/>
        <v/>
      </c>
      <c r="AL115" s="43" t="str">
        <f t="shared" si="15"/>
        <v/>
      </c>
      <c r="AS115" s="3">
        <v>2211</v>
      </c>
      <c r="AT115" s="3">
        <v>103</v>
      </c>
      <c r="AU115" s="3" t="s">
        <v>2352</v>
      </c>
      <c r="AV115" s="3">
        <v>11.04</v>
      </c>
      <c r="AX115" s="3" t="s">
        <v>2335</v>
      </c>
      <c r="AY115" s="65" t="s">
        <v>2336</v>
      </c>
      <c r="BA115" s="109" t="s">
        <v>4053</v>
      </c>
      <c r="BB115" s="183">
        <v>1526101</v>
      </c>
    </row>
    <row r="116" spans="20:54" ht="15.75" thickBot="1" x14ac:dyDescent="0.3">
      <c r="T116" s="21" t="s">
        <v>243</v>
      </c>
      <c r="U116" s="22" t="s">
        <v>242</v>
      </c>
      <c r="AB116" s="71" t="s">
        <v>513</v>
      </c>
      <c r="AC116" s="72" t="s">
        <v>512</v>
      </c>
      <c r="AD116" s="73" t="str">
        <f t="shared" si="11"/>
        <v>05-115</v>
      </c>
      <c r="AE116" s="74">
        <f t="shared" si="12"/>
        <v>115</v>
      </c>
      <c r="AF116" s="71" t="s">
        <v>624</v>
      </c>
      <c r="AG116" s="73" t="s">
        <v>482</v>
      </c>
      <c r="AI116" s="41">
        <v>115</v>
      </c>
      <c r="AJ116" s="42" t="str">
        <f t="shared" si="13"/>
        <v>-115</v>
      </c>
      <c r="AK116" s="42" t="str">
        <f t="shared" si="14"/>
        <v/>
      </c>
      <c r="AL116" s="43" t="str">
        <f t="shared" si="15"/>
        <v/>
      </c>
      <c r="AS116" s="3">
        <v>2212</v>
      </c>
      <c r="AT116" s="3">
        <v>103</v>
      </c>
      <c r="AU116" s="3" t="s">
        <v>2354</v>
      </c>
      <c r="AV116" s="3">
        <v>11.04</v>
      </c>
      <c r="AX116" s="3" t="s">
        <v>2337</v>
      </c>
      <c r="AY116" s="65" t="s">
        <v>2338</v>
      </c>
      <c r="BA116" s="108" t="s">
        <v>4054</v>
      </c>
      <c r="BB116" s="182">
        <v>1526201</v>
      </c>
    </row>
    <row r="117" spans="20:54" ht="30.75" thickBot="1" x14ac:dyDescent="0.3">
      <c r="T117" s="21" t="s">
        <v>245</v>
      </c>
      <c r="U117" s="22" t="s">
        <v>244</v>
      </c>
      <c r="AB117" s="71" t="s">
        <v>513</v>
      </c>
      <c r="AC117" s="72" t="s">
        <v>512</v>
      </c>
      <c r="AD117" s="73" t="str">
        <f t="shared" si="11"/>
        <v>05-116</v>
      </c>
      <c r="AE117" s="74">
        <f t="shared" si="12"/>
        <v>116</v>
      </c>
      <c r="AF117" s="71" t="s">
        <v>625</v>
      </c>
      <c r="AG117" s="73" t="s">
        <v>1771</v>
      </c>
      <c r="AI117" s="41">
        <v>116</v>
      </c>
      <c r="AJ117" s="42" t="str">
        <f t="shared" si="13"/>
        <v>-116</v>
      </c>
      <c r="AK117" s="42" t="str">
        <f t="shared" si="14"/>
        <v/>
      </c>
      <c r="AL117" s="43" t="str">
        <f t="shared" si="15"/>
        <v/>
      </c>
      <c r="AS117" s="3">
        <v>2219</v>
      </c>
      <c r="AT117" s="3">
        <v>103</v>
      </c>
      <c r="AU117" s="3" t="s">
        <v>2356</v>
      </c>
      <c r="AV117" s="3">
        <v>11.04</v>
      </c>
      <c r="AX117" s="3" t="s">
        <v>2339</v>
      </c>
      <c r="AY117" s="65" t="s">
        <v>2340</v>
      </c>
      <c r="BA117" s="109" t="s">
        <v>4055</v>
      </c>
      <c r="BB117" s="183">
        <v>1526901</v>
      </c>
    </row>
    <row r="118" spans="20:54" ht="30.75" thickBot="1" x14ac:dyDescent="0.3">
      <c r="T118" s="21" t="s">
        <v>247</v>
      </c>
      <c r="U118" s="22" t="s">
        <v>246</v>
      </c>
      <c r="AB118" s="71" t="s">
        <v>513</v>
      </c>
      <c r="AC118" s="72" t="s">
        <v>512</v>
      </c>
      <c r="AD118" s="73" t="str">
        <f t="shared" si="11"/>
        <v>05-117</v>
      </c>
      <c r="AE118" s="74">
        <f t="shared" si="12"/>
        <v>117</v>
      </c>
      <c r="AF118" s="71" t="s">
        <v>626</v>
      </c>
      <c r="AG118" s="73" t="s">
        <v>1772</v>
      </c>
      <c r="AI118" s="41">
        <v>117</v>
      </c>
      <c r="AJ118" s="42" t="str">
        <f t="shared" si="13"/>
        <v>-117</v>
      </c>
      <c r="AK118" s="42" t="str">
        <f t="shared" si="14"/>
        <v/>
      </c>
      <c r="AL118" s="43" t="str">
        <f t="shared" si="15"/>
        <v/>
      </c>
      <c r="AS118" s="3">
        <v>2221</v>
      </c>
      <c r="AT118" s="3">
        <v>103</v>
      </c>
      <c r="AU118" s="3" t="s">
        <v>3255</v>
      </c>
      <c r="AV118" s="3">
        <v>11.04</v>
      </c>
      <c r="AX118" s="3" t="s">
        <v>2341</v>
      </c>
      <c r="AY118" s="65" t="s">
        <v>2342</v>
      </c>
      <c r="BA118" s="108" t="s">
        <v>4056</v>
      </c>
      <c r="BB118" s="182">
        <v>1527101</v>
      </c>
    </row>
    <row r="119" spans="20:54" ht="30.75" thickBot="1" x14ac:dyDescent="0.3">
      <c r="T119" s="21" t="s">
        <v>249</v>
      </c>
      <c r="U119" s="22" t="s">
        <v>248</v>
      </c>
      <c r="AB119" s="71" t="s">
        <v>513</v>
      </c>
      <c r="AC119" s="72" t="s">
        <v>512</v>
      </c>
      <c r="AD119" s="73" t="str">
        <f t="shared" si="11"/>
        <v>05-118</v>
      </c>
      <c r="AE119" s="74">
        <f t="shared" si="12"/>
        <v>118</v>
      </c>
      <c r="AF119" s="71" t="s">
        <v>627</v>
      </c>
      <c r="AG119" s="73" t="s">
        <v>1773</v>
      </c>
      <c r="AI119" s="41">
        <v>118</v>
      </c>
      <c r="AJ119" s="42" t="str">
        <f t="shared" si="13"/>
        <v>-118</v>
      </c>
      <c r="AK119" s="42" t="str">
        <f t="shared" si="14"/>
        <v/>
      </c>
      <c r="AL119" s="43" t="str">
        <f t="shared" si="15"/>
        <v/>
      </c>
      <c r="AS119" s="3">
        <v>2229</v>
      </c>
      <c r="AT119" s="3">
        <v>103</v>
      </c>
      <c r="AU119" s="3" t="s">
        <v>2360</v>
      </c>
      <c r="AV119" s="3">
        <v>11.04</v>
      </c>
      <c r="AX119" s="3" t="s">
        <v>2343</v>
      </c>
      <c r="AY119" s="65" t="s">
        <v>2344</v>
      </c>
      <c r="BA119" s="109" t="s">
        <v>4057</v>
      </c>
      <c r="BB119" s="183">
        <v>1527201</v>
      </c>
    </row>
    <row r="120" spans="20:54" ht="15.75" thickBot="1" x14ac:dyDescent="0.3">
      <c r="T120" s="21" t="s">
        <v>251</v>
      </c>
      <c r="U120" s="22" t="s">
        <v>250</v>
      </c>
      <c r="AB120" s="71" t="s">
        <v>513</v>
      </c>
      <c r="AC120" s="72" t="s">
        <v>512</v>
      </c>
      <c r="AD120" s="73" t="str">
        <f t="shared" si="11"/>
        <v>05-119</v>
      </c>
      <c r="AE120" s="74">
        <f t="shared" si="12"/>
        <v>119</v>
      </c>
      <c r="AF120" s="71" t="s">
        <v>628</v>
      </c>
      <c r="AG120" s="73" t="s">
        <v>1774</v>
      </c>
      <c r="AI120" s="41">
        <v>119</v>
      </c>
      <c r="AJ120" s="42" t="str">
        <f t="shared" si="13"/>
        <v>-119</v>
      </c>
      <c r="AK120" s="42" t="str">
        <f t="shared" si="14"/>
        <v/>
      </c>
      <c r="AL120" s="43" t="str">
        <f t="shared" si="15"/>
        <v/>
      </c>
      <c r="AS120" s="3">
        <v>2310</v>
      </c>
      <c r="AT120" s="3">
        <v>103</v>
      </c>
      <c r="AU120" s="3" t="s">
        <v>3256</v>
      </c>
      <c r="AV120" s="3">
        <v>11.04</v>
      </c>
      <c r="AX120" s="3" t="s">
        <v>2345</v>
      </c>
      <c r="AY120" s="65" t="s">
        <v>2346</v>
      </c>
      <c r="BA120" s="108" t="s">
        <v>4058</v>
      </c>
      <c r="BB120" s="182">
        <v>1552101</v>
      </c>
    </row>
    <row r="121" spans="20:54" ht="15.75" thickBot="1" x14ac:dyDescent="0.3">
      <c r="T121" s="21" t="s">
        <v>253</v>
      </c>
      <c r="U121" s="22" t="s">
        <v>252</v>
      </c>
      <c r="AB121" s="71" t="s">
        <v>513</v>
      </c>
      <c r="AC121" s="72" t="s">
        <v>512</v>
      </c>
      <c r="AD121" s="73" t="str">
        <f t="shared" si="11"/>
        <v>05-120</v>
      </c>
      <c r="AE121" s="74">
        <f t="shared" si="12"/>
        <v>120</v>
      </c>
      <c r="AF121" s="71" t="s">
        <v>629</v>
      </c>
      <c r="AG121" s="73" t="s">
        <v>1775</v>
      </c>
      <c r="AI121" s="41">
        <v>120</v>
      </c>
      <c r="AJ121" s="42" t="str">
        <f t="shared" si="13"/>
        <v>-120</v>
      </c>
      <c r="AK121" s="42" t="str">
        <f t="shared" si="14"/>
        <v/>
      </c>
      <c r="AL121" s="43" t="str">
        <f t="shared" si="15"/>
        <v/>
      </c>
      <c r="AS121" s="3">
        <v>2391</v>
      </c>
      <c r="AT121" s="3">
        <v>103</v>
      </c>
      <c r="AU121" s="3" t="s">
        <v>3257</v>
      </c>
      <c r="AV121" s="3">
        <v>11.04</v>
      </c>
      <c r="AX121" s="3" t="s">
        <v>2347</v>
      </c>
      <c r="AY121" s="65" t="s">
        <v>2348</v>
      </c>
      <c r="BA121" s="109" t="s">
        <v>4059</v>
      </c>
      <c r="BB121" s="183">
        <v>1552201</v>
      </c>
    </row>
    <row r="122" spans="20:54" ht="30.75" thickBot="1" x14ac:dyDescent="0.3">
      <c r="T122" s="21" t="s">
        <v>255</v>
      </c>
      <c r="U122" s="22" t="s">
        <v>254</v>
      </c>
      <c r="AB122" s="71" t="s">
        <v>513</v>
      </c>
      <c r="AC122" s="72" t="s">
        <v>512</v>
      </c>
      <c r="AD122" s="73" t="str">
        <f t="shared" si="11"/>
        <v>05-121</v>
      </c>
      <c r="AE122" s="74">
        <f t="shared" si="12"/>
        <v>121</v>
      </c>
      <c r="AF122" s="71" t="s">
        <v>630</v>
      </c>
      <c r="AG122" s="73" t="s">
        <v>498</v>
      </c>
      <c r="AI122" s="41">
        <v>121</v>
      </c>
      <c r="AJ122" s="42" t="str">
        <f t="shared" si="13"/>
        <v>-121</v>
      </c>
      <c r="AK122" s="42" t="str">
        <f t="shared" si="14"/>
        <v/>
      </c>
      <c r="AL122" s="43" t="str">
        <f t="shared" si="15"/>
        <v/>
      </c>
      <c r="AS122" s="3">
        <v>2392</v>
      </c>
      <c r="AT122" s="3">
        <v>103</v>
      </c>
      <c r="AU122" s="3" t="s">
        <v>3258</v>
      </c>
      <c r="AV122" s="3">
        <v>11.04</v>
      </c>
      <c r="AX122" s="3" t="s">
        <v>2349</v>
      </c>
      <c r="AY122" s="65" t="s">
        <v>2350</v>
      </c>
      <c r="BA122" s="108" t="s">
        <v>4060</v>
      </c>
      <c r="BB122" s="182">
        <v>1561301</v>
      </c>
    </row>
    <row r="123" spans="20:54" ht="15.75" thickBot="1" x14ac:dyDescent="0.3">
      <c r="T123" s="21" t="s">
        <v>257</v>
      </c>
      <c r="U123" s="22" t="s">
        <v>256</v>
      </c>
      <c r="AB123" s="71" t="s">
        <v>513</v>
      </c>
      <c r="AC123" s="72" t="s">
        <v>512</v>
      </c>
      <c r="AD123" s="73" t="str">
        <f t="shared" si="11"/>
        <v>05-122</v>
      </c>
      <c r="AE123" s="74">
        <f t="shared" si="12"/>
        <v>122</v>
      </c>
      <c r="AF123" s="71" t="s">
        <v>631</v>
      </c>
      <c r="AG123" s="73" t="s">
        <v>1776</v>
      </c>
      <c r="AI123" s="41">
        <v>122</v>
      </c>
      <c r="AJ123" s="42" t="str">
        <f t="shared" si="13"/>
        <v>-122</v>
      </c>
      <c r="AK123" s="42" t="str">
        <f t="shared" si="14"/>
        <v/>
      </c>
      <c r="AL123" s="43" t="str">
        <f t="shared" si="15"/>
        <v/>
      </c>
      <c r="AS123" s="3">
        <v>2393</v>
      </c>
      <c r="AT123" s="3">
        <v>103</v>
      </c>
      <c r="AU123" s="3" t="s">
        <v>3716</v>
      </c>
      <c r="AV123" s="3">
        <v>11.04</v>
      </c>
      <c r="AX123" s="3" t="s">
        <v>2351</v>
      </c>
      <c r="AY123" s="65" t="s">
        <v>2352</v>
      </c>
      <c r="BA123" s="109" t="s">
        <v>4061</v>
      </c>
      <c r="BB123" s="183">
        <v>1582001</v>
      </c>
    </row>
    <row r="124" spans="20:54" ht="15.75" thickBot="1" x14ac:dyDescent="0.3">
      <c r="T124" s="21" t="s">
        <v>259</v>
      </c>
      <c r="U124" s="22" t="s">
        <v>258</v>
      </c>
      <c r="AB124" s="71" t="s">
        <v>513</v>
      </c>
      <c r="AC124" s="72" t="s">
        <v>512</v>
      </c>
      <c r="AD124" s="73" t="str">
        <f t="shared" si="11"/>
        <v>05-123</v>
      </c>
      <c r="AE124" s="74">
        <f t="shared" si="12"/>
        <v>123</v>
      </c>
      <c r="AF124" s="71" t="s">
        <v>632</v>
      </c>
      <c r="AG124" s="73" t="s">
        <v>500</v>
      </c>
      <c r="AI124" s="41">
        <v>123</v>
      </c>
      <c r="AJ124" s="42" t="str">
        <f t="shared" si="13"/>
        <v>-123</v>
      </c>
      <c r="AK124" s="42" t="str">
        <f t="shared" si="14"/>
        <v/>
      </c>
      <c r="AL124" s="43" t="str">
        <f t="shared" si="15"/>
        <v/>
      </c>
      <c r="AS124" s="3">
        <v>2394</v>
      </c>
      <c r="AT124" s="3">
        <v>103</v>
      </c>
      <c r="AU124" s="3" t="s">
        <v>3717</v>
      </c>
      <c r="AV124" s="3">
        <v>11.04</v>
      </c>
      <c r="AX124" s="3" t="s">
        <v>2353</v>
      </c>
      <c r="AY124" s="65" t="s">
        <v>2354</v>
      </c>
      <c r="BA124" s="108" t="s">
        <v>4062</v>
      </c>
      <c r="BB124" s="182">
        <v>1620101</v>
      </c>
    </row>
    <row r="125" spans="20:54" ht="30.75" thickBot="1" x14ac:dyDescent="0.3">
      <c r="T125" s="21" t="s">
        <v>261</v>
      </c>
      <c r="U125" s="22" t="s">
        <v>260</v>
      </c>
      <c r="AB125" s="71" t="s">
        <v>513</v>
      </c>
      <c r="AC125" s="72" t="s">
        <v>512</v>
      </c>
      <c r="AD125" s="73" t="str">
        <f t="shared" si="11"/>
        <v>05-124</v>
      </c>
      <c r="AE125" s="74">
        <f t="shared" si="12"/>
        <v>124</v>
      </c>
      <c r="AF125" s="71" t="s">
        <v>633</v>
      </c>
      <c r="AG125" s="73" t="s">
        <v>1777</v>
      </c>
      <c r="AI125" s="41">
        <v>124</v>
      </c>
      <c r="AJ125" s="42" t="str">
        <f t="shared" si="13"/>
        <v>-124</v>
      </c>
      <c r="AK125" s="42" t="str">
        <f t="shared" si="14"/>
        <v/>
      </c>
      <c r="AL125" s="43" t="str">
        <f t="shared" si="15"/>
        <v/>
      </c>
      <c r="AS125" s="3">
        <v>2395</v>
      </c>
      <c r="AT125" s="3">
        <v>103</v>
      </c>
      <c r="AU125" s="3" t="s">
        <v>3259</v>
      </c>
      <c r="AV125" s="3">
        <v>11.04</v>
      </c>
      <c r="AX125" s="3" t="s">
        <v>2355</v>
      </c>
      <c r="AY125" s="65" t="s">
        <v>2356</v>
      </c>
      <c r="BA125" s="109" t="s">
        <v>4063</v>
      </c>
      <c r="BB125" s="183">
        <v>1620201</v>
      </c>
    </row>
    <row r="126" spans="20:54" ht="15.75" thickBot="1" x14ac:dyDescent="0.3">
      <c r="T126" s="21" t="s">
        <v>263</v>
      </c>
      <c r="U126" s="22" t="s">
        <v>262</v>
      </c>
      <c r="AB126" s="71" t="s">
        <v>513</v>
      </c>
      <c r="AC126" s="72" t="s">
        <v>512</v>
      </c>
      <c r="AD126" s="73" t="str">
        <f t="shared" si="11"/>
        <v>05-125</v>
      </c>
      <c r="AE126" s="74">
        <f t="shared" si="12"/>
        <v>125</v>
      </c>
      <c r="AF126" s="71" t="s">
        <v>634</v>
      </c>
      <c r="AG126" s="73" t="s">
        <v>504</v>
      </c>
      <c r="AI126" s="66">
        <v>125</v>
      </c>
      <c r="AJ126" s="67" t="str">
        <f t="shared" si="13"/>
        <v>-125</v>
      </c>
      <c r="AK126" s="67" t="str">
        <f t="shared" si="14"/>
        <v/>
      </c>
      <c r="AL126" s="68" t="str">
        <f t="shared" si="15"/>
        <v/>
      </c>
      <c r="AS126" s="3">
        <v>2396</v>
      </c>
      <c r="AT126" s="3">
        <v>103</v>
      </c>
      <c r="AU126" s="3" t="s">
        <v>3260</v>
      </c>
      <c r="AV126" s="3">
        <v>11.04</v>
      </c>
      <c r="AX126" s="3" t="s">
        <v>2357</v>
      </c>
      <c r="AY126" s="65" t="s">
        <v>2358</v>
      </c>
      <c r="BA126" s="108" t="s">
        <v>4064</v>
      </c>
      <c r="BB126" s="182">
        <v>1620202</v>
      </c>
    </row>
    <row r="127" spans="20:54" ht="15.75" thickBot="1" x14ac:dyDescent="0.3">
      <c r="T127" s="21" t="s">
        <v>265</v>
      </c>
      <c r="U127" s="22" t="s">
        <v>264</v>
      </c>
      <c r="AB127" s="71" t="s">
        <v>636</v>
      </c>
      <c r="AC127" s="72" t="s">
        <v>635</v>
      </c>
      <c r="AD127" s="73" t="str">
        <f t="shared" si="11"/>
        <v>08-1</v>
      </c>
      <c r="AE127" s="74">
        <f t="shared" si="12"/>
        <v>1</v>
      </c>
      <c r="AF127" s="71" t="s">
        <v>637</v>
      </c>
      <c r="AG127" s="73" t="s">
        <v>334</v>
      </c>
      <c r="AK127" s="3" t="str">
        <f t="shared" ref="AK127:AK190" si="16">IFERROR(VLOOKUP(AJ3,$M$10:$P$1128,3,0),"")</f>
        <v/>
      </c>
      <c r="AS127" s="3">
        <v>2399</v>
      </c>
      <c r="AT127" s="3">
        <v>103</v>
      </c>
      <c r="AU127" s="3" t="s">
        <v>2376</v>
      </c>
      <c r="AV127" s="3">
        <v>11.04</v>
      </c>
      <c r="AX127" s="3" t="s">
        <v>2359</v>
      </c>
      <c r="AY127" s="65" t="s">
        <v>2360</v>
      </c>
      <c r="BA127" s="109" t="s">
        <v>4065</v>
      </c>
      <c r="BB127" s="183">
        <v>1620901</v>
      </c>
    </row>
    <row r="128" spans="20:54" ht="15.75" thickBot="1" x14ac:dyDescent="0.3">
      <c r="T128" s="21" t="s">
        <v>267</v>
      </c>
      <c r="U128" s="22" t="s">
        <v>266</v>
      </c>
      <c r="AB128" s="71" t="s">
        <v>636</v>
      </c>
      <c r="AC128" s="72" t="s">
        <v>635</v>
      </c>
      <c r="AD128" s="73" t="str">
        <f t="shared" si="11"/>
        <v>08-2</v>
      </c>
      <c r="AE128" s="74">
        <f t="shared" si="12"/>
        <v>2</v>
      </c>
      <c r="AF128" s="71" t="s">
        <v>638</v>
      </c>
      <c r="AG128" s="73" t="s">
        <v>1778</v>
      </c>
      <c r="AK128" s="3" t="str">
        <f t="shared" si="16"/>
        <v/>
      </c>
      <c r="AS128" s="3">
        <v>2410</v>
      </c>
      <c r="AT128" s="3">
        <v>102</v>
      </c>
      <c r="AU128" s="3" t="s">
        <v>3211</v>
      </c>
      <c r="AV128" s="3">
        <v>6.9</v>
      </c>
      <c r="AX128" s="3" t="s">
        <v>2361</v>
      </c>
      <c r="AY128" s="65" t="s">
        <v>2362</v>
      </c>
      <c r="BA128" s="108" t="s">
        <v>4066</v>
      </c>
      <c r="BB128" s="182">
        <v>1631101</v>
      </c>
    </row>
    <row r="129" spans="20:54" ht="15.75" thickBot="1" x14ac:dyDescent="0.3">
      <c r="T129" s="21" t="s">
        <v>269</v>
      </c>
      <c r="U129" s="22" t="s">
        <v>268</v>
      </c>
      <c r="AB129" s="71" t="s">
        <v>636</v>
      </c>
      <c r="AC129" s="72" t="s">
        <v>635</v>
      </c>
      <c r="AD129" s="73" t="str">
        <f t="shared" si="11"/>
        <v>08-3</v>
      </c>
      <c r="AE129" s="74">
        <f t="shared" si="12"/>
        <v>3</v>
      </c>
      <c r="AF129" s="71" t="s">
        <v>639</v>
      </c>
      <c r="AG129" s="73" t="s">
        <v>88</v>
      </c>
      <c r="AK129" s="3" t="str">
        <f t="shared" si="16"/>
        <v/>
      </c>
      <c r="AS129" s="3">
        <v>2421</v>
      </c>
      <c r="AT129" s="3">
        <v>103</v>
      </c>
      <c r="AU129" s="3" t="s">
        <v>3261</v>
      </c>
      <c r="AV129" s="3">
        <v>11.04</v>
      </c>
      <c r="AX129" s="3" t="s">
        <v>2363</v>
      </c>
      <c r="AY129" s="65" t="s">
        <v>2364</v>
      </c>
      <c r="BA129" s="109" t="s">
        <v>4067</v>
      </c>
      <c r="BB129" s="183">
        <v>1631102</v>
      </c>
    </row>
    <row r="130" spans="20:54" ht="15.75" thickBot="1" x14ac:dyDescent="0.3">
      <c r="T130" s="21" t="s">
        <v>271</v>
      </c>
      <c r="U130" s="22" t="s">
        <v>270</v>
      </c>
      <c r="AB130" s="71" t="s">
        <v>636</v>
      </c>
      <c r="AC130" s="72" t="s">
        <v>635</v>
      </c>
      <c r="AD130" s="73" t="str">
        <f t="shared" si="11"/>
        <v>08-4</v>
      </c>
      <c r="AE130" s="74">
        <f t="shared" si="12"/>
        <v>4</v>
      </c>
      <c r="AF130" s="71" t="s">
        <v>640</v>
      </c>
      <c r="AG130" s="73" t="s">
        <v>242</v>
      </c>
      <c r="AK130" s="3" t="str">
        <f t="shared" si="16"/>
        <v/>
      </c>
      <c r="AS130" s="3">
        <v>2429</v>
      </c>
      <c r="AT130" s="3">
        <v>103</v>
      </c>
      <c r="AU130" s="3" t="s">
        <v>3262</v>
      </c>
      <c r="AV130" s="3">
        <v>11.04</v>
      </c>
      <c r="AX130" s="3" t="s">
        <v>2365</v>
      </c>
      <c r="AY130" s="65" t="s">
        <v>2366</v>
      </c>
      <c r="BA130" s="108" t="s">
        <v>4068</v>
      </c>
      <c r="BB130" s="182">
        <v>1631201</v>
      </c>
    </row>
    <row r="131" spans="20:54" ht="15.75" thickBot="1" x14ac:dyDescent="0.3">
      <c r="T131" s="21" t="s">
        <v>273</v>
      </c>
      <c r="U131" s="22" t="s">
        <v>272</v>
      </c>
      <c r="AB131" s="71" t="s">
        <v>636</v>
      </c>
      <c r="AC131" s="72" t="s">
        <v>635</v>
      </c>
      <c r="AD131" s="73" t="str">
        <f t="shared" ref="AD131:AD194" si="17">CONCATENATE(AC131,"-",AE131)</f>
        <v>08-5</v>
      </c>
      <c r="AE131" s="74">
        <f t="shared" ref="AE131:AE194" si="18">IF(AB131=AB130,1+AE130,1)</f>
        <v>5</v>
      </c>
      <c r="AF131" s="71" t="s">
        <v>641</v>
      </c>
      <c r="AG131" s="73" t="s">
        <v>1779</v>
      </c>
      <c r="AK131" s="3" t="str">
        <f t="shared" si="16"/>
        <v/>
      </c>
      <c r="AS131" s="3">
        <v>2431</v>
      </c>
      <c r="AT131" s="3">
        <v>102</v>
      </c>
      <c r="AU131" s="3" t="s">
        <v>3212</v>
      </c>
      <c r="AV131" s="3">
        <v>6.9</v>
      </c>
      <c r="AX131" s="3" t="s">
        <v>2367</v>
      </c>
      <c r="AY131" s="65" t="s">
        <v>2368</v>
      </c>
      <c r="BA131" s="109" t="s">
        <v>4069</v>
      </c>
      <c r="BB131" s="183">
        <v>1634001</v>
      </c>
    </row>
    <row r="132" spans="20:54" ht="15.75" thickBot="1" x14ac:dyDescent="0.3">
      <c r="T132" s="21" t="s">
        <v>275</v>
      </c>
      <c r="U132" s="22" t="s">
        <v>274</v>
      </c>
      <c r="AB132" s="71" t="s">
        <v>636</v>
      </c>
      <c r="AC132" s="72" t="s">
        <v>635</v>
      </c>
      <c r="AD132" s="73" t="str">
        <f t="shared" si="17"/>
        <v>08-6</v>
      </c>
      <c r="AE132" s="74">
        <f t="shared" si="18"/>
        <v>6</v>
      </c>
      <c r="AF132" s="71" t="s">
        <v>642</v>
      </c>
      <c r="AG132" s="73" t="s">
        <v>220</v>
      </c>
      <c r="AK132" s="3" t="str">
        <f t="shared" si="16"/>
        <v/>
      </c>
      <c r="AS132" s="3">
        <v>2432</v>
      </c>
      <c r="AT132" s="3">
        <v>103</v>
      </c>
      <c r="AU132" s="3" t="s">
        <v>3213</v>
      </c>
      <c r="AV132" s="3">
        <v>11.04</v>
      </c>
      <c r="AX132" s="3" t="s">
        <v>2369</v>
      </c>
      <c r="AY132" s="65" t="s">
        <v>2370</v>
      </c>
      <c r="BA132" s="108" t="s">
        <v>4070</v>
      </c>
      <c r="BB132" s="182">
        <v>1639001</v>
      </c>
    </row>
    <row r="133" spans="20:54" ht="15.75" thickBot="1" x14ac:dyDescent="0.3">
      <c r="T133" s="21" t="s">
        <v>277</v>
      </c>
      <c r="U133" s="22" t="s">
        <v>276</v>
      </c>
      <c r="AB133" s="71" t="s">
        <v>636</v>
      </c>
      <c r="AC133" s="72" t="s">
        <v>635</v>
      </c>
      <c r="AD133" s="73" t="str">
        <f t="shared" si="17"/>
        <v>08-7</v>
      </c>
      <c r="AE133" s="74">
        <f t="shared" si="18"/>
        <v>7</v>
      </c>
      <c r="AF133" s="71" t="s">
        <v>643</v>
      </c>
      <c r="AG133" s="73" t="s">
        <v>1780</v>
      </c>
      <c r="AK133" s="3" t="str">
        <f t="shared" si="16"/>
        <v/>
      </c>
      <c r="AS133" s="3">
        <v>2511</v>
      </c>
      <c r="AT133" s="3">
        <v>103</v>
      </c>
      <c r="AU133" s="3" t="s">
        <v>3263</v>
      </c>
      <c r="AV133" s="3">
        <v>11.04</v>
      </c>
      <c r="AX133" s="3" t="s">
        <v>2371</v>
      </c>
      <c r="AY133" s="65" t="s">
        <v>2372</v>
      </c>
      <c r="BA133" s="109" t="s">
        <v>4071</v>
      </c>
      <c r="BB133" s="183">
        <v>1639901</v>
      </c>
    </row>
    <row r="134" spans="20:54" ht="15.75" thickBot="1" x14ac:dyDescent="0.3">
      <c r="T134" s="21" t="s">
        <v>279</v>
      </c>
      <c r="U134" s="22" t="s">
        <v>278</v>
      </c>
      <c r="AB134" s="71" t="s">
        <v>636</v>
      </c>
      <c r="AC134" s="72" t="s">
        <v>635</v>
      </c>
      <c r="AD134" s="73" t="str">
        <f t="shared" si="17"/>
        <v>08-8</v>
      </c>
      <c r="AE134" s="74">
        <f t="shared" si="18"/>
        <v>8</v>
      </c>
      <c r="AF134" s="71" t="s">
        <v>644</v>
      </c>
      <c r="AG134" s="73" t="s">
        <v>1781</v>
      </c>
      <c r="AK134" s="3" t="str">
        <f t="shared" si="16"/>
        <v/>
      </c>
      <c r="AS134" s="3">
        <v>2512</v>
      </c>
      <c r="AT134" s="3">
        <v>103</v>
      </c>
      <c r="AU134" s="3" t="s">
        <v>3718</v>
      </c>
      <c r="AV134" s="3">
        <v>11.04</v>
      </c>
      <c r="AX134" s="3" t="s">
        <v>2373</v>
      </c>
      <c r="AY134" s="65" t="s">
        <v>2374</v>
      </c>
      <c r="BA134" s="108" t="s">
        <v>4072</v>
      </c>
      <c r="BB134" s="182">
        <v>1641101</v>
      </c>
    </row>
    <row r="135" spans="20:54" ht="15.75" thickBot="1" x14ac:dyDescent="0.3">
      <c r="T135" s="21" t="s">
        <v>281</v>
      </c>
      <c r="U135" s="22" t="s">
        <v>280</v>
      </c>
      <c r="AB135" s="71" t="s">
        <v>636</v>
      </c>
      <c r="AC135" s="72" t="s">
        <v>635</v>
      </c>
      <c r="AD135" s="73" t="str">
        <f t="shared" si="17"/>
        <v>08-9</v>
      </c>
      <c r="AE135" s="74">
        <f t="shared" si="18"/>
        <v>9</v>
      </c>
      <c r="AF135" s="71" t="s">
        <v>645</v>
      </c>
      <c r="AG135" s="73" t="s">
        <v>1782</v>
      </c>
      <c r="AK135" s="3" t="str">
        <f t="shared" si="16"/>
        <v/>
      </c>
      <c r="AS135" s="3">
        <v>2513</v>
      </c>
      <c r="AT135" s="3">
        <v>103</v>
      </c>
      <c r="AU135" s="3" t="s">
        <v>3264</v>
      </c>
      <c r="AV135" s="3">
        <v>11.04</v>
      </c>
      <c r="AX135" s="3" t="s">
        <v>2375</v>
      </c>
      <c r="AY135" s="65" t="s">
        <v>2376</v>
      </c>
      <c r="BA135" s="109" t="s">
        <v>4073</v>
      </c>
      <c r="BB135" s="183">
        <v>1641201</v>
      </c>
    </row>
    <row r="136" spans="20:54" ht="15.75" thickBot="1" x14ac:dyDescent="0.3">
      <c r="T136" s="21" t="s">
        <v>283</v>
      </c>
      <c r="U136" s="22" t="s">
        <v>282</v>
      </c>
      <c r="AB136" s="71" t="s">
        <v>636</v>
      </c>
      <c r="AC136" s="72" t="s">
        <v>635</v>
      </c>
      <c r="AD136" s="73" t="str">
        <f t="shared" si="17"/>
        <v>08-10</v>
      </c>
      <c r="AE136" s="74">
        <f t="shared" si="18"/>
        <v>10</v>
      </c>
      <c r="AF136" s="71" t="s">
        <v>646</v>
      </c>
      <c r="AG136" s="73" t="s">
        <v>1783</v>
      </c>
      <c r="AK136" s="3" t="str">
        <f t="shared" si="16"/>
        <v/>
      </c>
      <c r="AS136" s="3">
        <v>2520</v>
      </c>
      <c r="AT136" s="3">
        <v>103</v>
      </c>
      <c r="AU136" s="3" t="s">
        <v>3265</v>
      </c>
      <c r="AV136" s="3">
        <v>11.04</v>
      </c>
      <c r="AX136" s="3" t="s">
        <v>2377</v>
      </c>
      <c r="AY136" s="65" t="s">
        <v>2378</v>
      </c>
      <c r="BA136" s="108" t="s">
        <v>4074</v>
      </c>
      <c r="BB136" s="182">
        <v>1642101</v>
      </c>
    </row>
    <row r="137" spans="20:54" ht="15.75" thickBot="1" x14ac:dyDescent="0.3">
      <c r="T137" s="21" t="s">
        <v>285</v>
      </c>
      <c r="U137" s="22" t="s">
        <v>284</v>
      </c>
      <c r="AB137" s="71" t="s">
        <v>636</v>
      </c>
      <c r="AC137" s="72" t="s">
        <v>635</v>
      </c>
      <c r="AD137" s="73" t="str">
        <f t="shared" si="17"/>
        <v>08-11</v>
      </c>
      <c r="AE137" s="74">
        <f t="shared" si="18"/>
        <v>11</v>
      </c>
      <c r="AF137" s="71" t="s">
        <v>647</v>
      </c>
      <c r="AG137" s="73" t="s">
        <v>1784</v>
      </c>
      <c r="AK137" s="3" t="str">
        <f t="shared" si="16"/>
        <v/>
      </c>
      <c r="AS137" s="3">
        <v>2591</v>
      </c>
      <c r="AT137" s="3">
        <v>103</v>
      </c>
      <c r="AU137" s="3" t="s">
        <v>3266</v>
      </c>
      <c r="AV137" s="3">
        <v>11.04</v>
      </c>
      <c r="AX137" s="3" t="s">
        <v>2379</v>
      </c>
      <c r="AY137" s="65" t="s">
        <v>2380</v>
      </c>
      <c r="BA137" s="109" t="s">
        <v>4075</v>
      </c>
      <c r="BB137" s="183">
        <v>1642201</v>
      </c>
    </row>
    <row r="138" spans="20:54" ht="15.75" thickBot="1" x14ac:dyDescent="0.3">
      <c r="T138" s="21" t="s">
        <v>287</v>
      </c>
      <c r="U138" s="22" t="s">
        <v>286</v>
      </c>
      <c r="AB138" s="71" t="s">
        <v>636</v>
      </c>
      <c r="AC138" s="72" t="s">
        <v>635</v>
      </c>
      <c r="AD138" s="73" t="str">
        <f t="shared" si="17"/>
        <v>08-12</v>
      </c>
      <c r="AE138" s="74">
        <f t="shared" si="18"/>
        <v>12</v>
      </c>
      <c r="AF138" s="71" t="s">
        <v>648</v>
      </c>
      <c r="AG138" s="73" t="s">
        <v>1785</v>
      </c>
      <c r="AK138" s="3" t="str">
        <f t="shared" si="16"/>
        <v/>
      </c>
      <c r="AS138" s="3">
        <v>2592</v>
      </c>
      <c r="AT138" s="3">
        <v>304</v>
      </c>
      <c r="AU138" s="3" t="s">
        <v>3719</v>
      </c>
      <c r="AV138" s="3">
        <v>9.66</v>
      </c>
      <c r="AX138" s="3" t="s">
        <v>2381</v>
      </c>
      <c r="AY138" s="65" t="s">
        <v>2382</v>
      </c>
      <c r="BA138" s="108" t="s">
        <v>4076</v>
      </c>
      <c r="BB138" s="182">
        <v>1642301</v>
      </c>
    </row>
    <row r="139" spans="20:54" ht="15.75" thickBot="1" x14ac:dyDescent="0.3">
      <c r="T139" s="21" t="s">
        <v>289</v>
      </c>
      <c r="U139" s="22" t="s">
        <v>288</v>
      </c>
      <c r="AB139" s="71" t="s">
        <v>636</v>
      </c>
      <c r="AC139" s="72" t="s">
        <v>635</v>
      </c>
      <c r="AD139" s="73" t="str">
        <f t="shared" si="17"/>
        <v>08-13</v>
      </c>
      <c r="AE139" s="74">
        <f t="shared" si="18"/>
        <v>13</v>
      </c>
      <c r="AF139" s="71" t="s">
        <v>649</v>
      </c>
      <c r="AG139" s="73" t="s">
        <v>1786</v>
      </c>
      <c r="AK139" s="3" t="str">
        <f t="shared" si="16"/>
        <v/>
      </c>
      <c r="AS139" s="3">
        <v>2593</v>
      </c>
      <c r="AT139" s="3">
        <v>103</v>
      </c>
      <c r="AU139" s="3" t="s">
        <v>3267</v>
      </c>
      <c r="AV139" s="3">
        <v>11.04</v>
      </c>
      <c r="AX139" s="3" t="s">
        <v>2383</v>
      </c>
      <c r="AY139" s="65" t="s">
        <v>2384</v>
      </c>
      <c r="BA139" s="109" t="s">
        <v>4077</v>
      </c>
      <c r="BB139" s="183">
        <v>1642401</v>
      </c>
    </row>
    <row r="140" spans="20:54" ht="15.75" thickBot="1" x14ac:dyDescent="0.3">
      <c r="T140" s="21" t="s">
        <v>291</v>
      </c>
      <c r="U140" s="22" t="s">
        <v>290</v>
      </c>
      <c r="AB140" s="71" t="s">
        <v>636</v>
      </c>
      <c r="AC140" s="72" t="s">
        <v>635</v>
      </c>
      <c r="AD140" s="73" t="str">
        <f t="shared" si="17"/>
        <v>08-14</v>
      </c>
      <c r="AE140" s="74">
        <f t="shared" si="18"/>
        <v>14</v>
      </c>
      <c r="AF140" s="71" t="s">
        <v>650</v>
      </c>
      <c r="AG140" s="73" t="s">
        <v>348</v>
      </c>
      <c r="AK140" s="3" t="str">
        <f t="shared" si="16"/>
        <v/>
      </c>
      <c r="AS140" s="3">
        <v>2599</v>
      </c>
      <c r="AT140" s="3">
        <v>103</v>
      </c>
      <c r="AU140" s="3" t="s">
        <v>2402</v>
      </c>
      <c r="AV140" s="3">
        <v>11.04</v>
      </c>
      <c r="AX140" s="3" t="s">
        <v>2385</v>
      </c>
      <c r="AY140" s="65" t="s">
        <v>2386</v>
      </c>
      <c r="BA140" s="108" t="s">
        <v>4078</v>
      </c>
      <c r="BB140" s="182">
        <v>1643101</v>
      </c>
    </row>
    <row r="141" spans="20:54" ht="15.75" thickBot="1" x14ac:dyDescent="0.3">
      <c r="T141" s="21" t="s">
        <v>293</v>
      </c>
      <c r="U141" s="22" t="s">
        <v>292</v>
      </c>
      <c r="AB141" s="71" t="s">
        <v>636</v>
      </c>
      <c r="AC141" s="72" t="s">
        <v>635</v>
      </c>
      <c r="AD141" s="73" t="str">
        <f t="shared" si="17"/>
        <v>08-15</v>
      </c>
      <c r="AE141" s="74">
        <f t="shared" si="18"/>
        <v>15</v>
      </c>
      <c r="AF141" s="71" t="s">
        <v>651</v>
      </c>
      <c r="AG141" s="73" t="s">
        <v>1787</v>
      </c>
      <c r="AK141" s="3" t="str">
        <f t="shared" si="16"/>
        <v/>
      </c>
      <c r="AS141" s="3">
        <v>2610</v>
      </c>
      <c r="AT141" s="3">
        <v>103</v>
      </c>
      <c r="AU141" s="3" t="s">
        <v>3720</v>
      </c>
      <c r="AV141" s="3">
        <v>11.04</v>
      </c>
      <c r="AX141" s="3" t="s">
        <v>2387</v>
      </c>
      <c r="AY141" s="65" t="s">
        <v>2388</v>
      </c>
      <c r="BA141" s="109" t="s">
        <v>4079</v>
      </c>
      <c r="BB141" s="183">
        <v>1643201</v>
      </c>
    </row>
    <row r="142" spans="20:54" ht="30.75" thickBot="1" x14ac:dyDescent="0.3">
      <c r="T142" s="21" t="s">
        <v>295</v>
      </c>
      <c r="U142" s="22" t="s">
        <v>294</v>
      </c>
      <c r="AB142" s="71" t="s">
        <v>636</v>
      </c>
      <c r="AC142" s="72" t="s">
        <v>635</v>
      </c>
      <c r="AD142" s="73" t="str">
        <f t="shared" si="17"/>
        <v>08-16</v>
      </c>
      <c r="AE142" s="74">
        <f t="shared" si="18"/>
        <v>16</v>
      </c>
      <c r="AF142" s="71" t="s">
        <v>652</v>
      </c>
      <c r="AG142" s="73" t="s">
        <v>1788</v>
      </c>
      <c r="AK142" s="3" t="str">
        <f t="shared" si="16"/>
        <v/>
      </c>
      <c r="AS142" s="3">
        <v>2620</v>
      </c>
      <c r="AT142" s="3">
        <v>103</v>
      </c>
      <c r="AU142" s="3" t="s">
        <v>3268</v>
      </c>
      <c r="AV142" s="3">
        <v>11.04</v>
      </c>
      <c r="AX142" s="3" t="s">
        <v>2389</v>
      </c>
      <c r="AY142" s="65" t="s">
        <v>2390</v>
      </c>
      <c r="BA142" s="108" t="s">
        <v>4080</v>
      </c>
      <c r="BB142" s="182">
        <v>1649101</v>
      </c>
    </row>
    <row r="143" spans="20:54" ht="30.75" thickBot="1" x14ac:dyDescent="0.3">
      <c r="T143" s="21" t="s">
        <v>297</v>
      </c>
      <c r="U143" s="22" t="s">
        <v>296</v>
      </c>
      <c r="AB143" s="71" t="s">
        <v>636</v>
      </c>
      <c r="AC143" s="72" t="s">
        <v>635</v>
      </c>
      <c r="AD143" s="73" t="str">
        <f t="shared" si="17"/>
        <v>08-17</v>
      </c>
      <c r="AE143" s="74">
        <f t="shared" si="18"/>
        <v>17</v>
      </c>
      <c r="AF143" s="71" t="s">
        <v>595</v>
      </c>
      <c r="AG143" s="73" t="s">
        <v>1789</v>
      </c>
      <c r="AK143" s="3" t="str">
        <f t="shared" si="16"/>
        <v/>
      </c>
      <c r="AS143" s="3">
        <v>2630</v>
      </c>
      <c r="AT143" s="3">
        <v>103</v>
      </c>
      <c r="AU143" s="3" t="s">
        <v>3269</v>
      </c>
      <c r="AV143" s="3">
        <v>11.04</v>
      </c>
      <c r="AX143" s="3" t="s">
        <v>2391</v>
      </c>
      <c r="AY143" s="65" t="s">
        <v>2392</v>
      </c>
      <c r="BA143" s="109" t="s">
        <v>4081</v>
      </c>
      <c r="BB143" s="183">
        <v>1649201</v>
      </c>
    </row>
    <row r="144" spans="20:54" ht="15.75" thickBot="1" x14ac:dyDescent="0.3">
      <c r="T144" s="21" t="s">
        <v>299</v>
      </c>
      <c r="U144" s="22" t="s">
        <v>298</v>
      </c>
      <c r="AB144" s="71" t="s">
        <v>636</v>
      </c>
      <c r="AC144" s="72" t="s">
        <v>635</v>
      </c>
      <c r="AD144" s="73" t="str">
        <f t="shared" si="17"/>
        <v>08-18</v>
      </c>
      <c r="AE144" s="74">
        <f t="shared" si="18"/>
        <v>18</v>
      </c>
      <c r="AF144" s="71" t="s">
        <v>653</v>
      </c>
      <c r="AG144" s="73" t="s">
        <v>392</v>
      </c>
      <c r="AK144" s="3" t="str">
        <f t="shared" si="16"/>
        <v/>
      </c>
      <c r="AS144" s="3">
        <v>2640</v>
      </c>
      <c r="AT144" s="3">
        <v>103</v>
      </c>
      <c r="AU144" s="3" t="s">
        <v>3270</v>
      </c>
      <c r="AV144" s="3">
        <v>11.04</v>
      </c>
      <c r="AX144" s="3" t="s">
        <v>2393</v>
      </c>
      <c r="AY144" s="65" t="s">
        <v>2394</v>
      </c>
      <c r="BA144" s="108" t="s">
        <v>4082</v>
      </c>
      <c r="BB144" s="182">
        <v>1649301</v>
      </c>
    </row>
    <row r="145" spans="20:54" ht="15.75" thickBot="1" x14ac:dyDescent="0.3">
      <c r="T145" s="21" t="s">
        <v>301</v>
      </c>
      <c r="U145" s="22" t="s">
        <v>300</v>
      </c>
      <c r="AB145" s="71" t="s">
        <v>636</v>
      </c>
      <c r="AC145" s="72" t="s">
        <v>635</v>
      </c>
      <c r="AD145" s="73" t="str">
        <f t="shared" si="17"/>
        <v>08-19</v>
      </c>
      <c r="AE145" s="74">
        <f t="shared" si="18"/>
        <v>19</v>
      </c>
      <c r="AF145" s="71" t="s">
        <v>654</v>
      </c>
      <c r="AG145" s="73" t="s">
        <v>394</v>
      </c>
      <c r="AK145" s="3" t="str">
        <f t="shared" si="16"/>
        <v/>
      </c>
      <c r="AS145" s="3">
        <v>2651</v>
      </c>
      <c r="AT145" s="3">
        <v>103</v>
      </c>
      <c r="AU145" s="3" t="s">
        <v>3721</v>
      </c>
      <c r="AV145" s="3">
        <v>11.04</v>
      </c>
      <c r="AX145" s="3" t="s">
        <v>2395</v>
      </c>
      <c r="AY145" s="65" t="s">
        <v>2396</v>
      </c>
      <c r="BA145" s="109" t="s">
        <v>4083</v>
      </c>
      <c r="BB145" s="183">
        <v>1649401</v>
      </c>
    </row>
    <row r="146" spans="20:54" ht="15.75" thickBot="1" x14ac:dyDescent="0.3">
      <c r="T146" s="21" t="s">
        <v>303</v>
      </c>
      <c r="U146" s="22" t="s">
        <v>302</v>
      </c>
      <c r="AB146" s="71" t="s">
        <v>636</v>
      </c>
      <c r="AC146" s="72" t="s">
        <v>635</v>
      </c>
      <c r="AD146" s="73" t="str">
        <f t="shared" si="17"/>
        <v>08-20</v>
      </c>
      <c r="AE146" s="74">
        <f t="shared" si="18"/>
        <v>20</v>
      </c>
      <c r="AF146" s="71" t="s">
        <v>655</v>
      </c>
      <c r="AG146" s="73" t="s">
        <v>1790</v>
      </c>
      <c r="AK146" s="3" t="str">
        <f t="shared" si="16"/>
        <v/>
      </c>
      <c r="AS146" s="3">
        <v>2652</v>
      </c>
      <c r="AT146" s="3">
        <v>103</v>
      </c>
      <c r="AU146" s="3" t="s">
        <v>3271</v>
      </c>
      <c r="AV146" s="3">
        <v>11.04</v>
      </c>
      <c r="AX146" s="3" t="s">
        <v>2397</v>
      </c>
      <c r="AY146" s="65" t="s">
        <v>2398</v>
      </c>
      <c r="BA146" s="108" t="s">
        <v>4084</v>
      </c>
      <c r="BB146" s="182">
        <v>1649501</v>
      </c>
    </row>
    <row r="147" spans="20:54" ht="30.75" thickBot="1" x14ac:dyDescent="0.3">
      <c r="T147" s="21" t="s">
        <v>305</v>
      </c>
      <c r="U147" s="22" t="s">
        <v>304</v>
      </c>
      <c r="AB147" s="71" t="s">
        <v>636</v>
      </c>
      <c r="AC147" s="72" t="s">
        <v>635</v>
      </c>
      <c r="AD147" s="73" t="str">
        <f t="shared" si="17"/>
        <v>08-21</v>
      </c>
      <c r="AE147" s="74">
        <f t="shared" si="18"/>
        <v>21</v>
      </c>
      <c r="AF147" s="71" t="s">
        <v>656</v>
      </c>
      <c r="AG147" s="73" t="s">
        <v>440</v>
      </c>
      <c r="AK147" s="3" t="str">
        <f t="shared" si="16"/>
        <v/>
      </c>
      <c r="AS147" s="3">
        <v>2660</v>
      </c>
      <c r="AT147" s="3">
        <v>103</v>
      </c>
      <c r="AU147" s="3" t="s">
        <v>3722</v>
      </c>
      <c r="AV147" s="3">
        <v>11.04</v>
      </c>
      <c r="AX147" s="3" t="s">
        <v>2399</v>
      </c>
      <c r="AY147" s="65" t="s">
        <v>2400</v>
      </c>
      <c r="BA147" s="109" t="s">
        <v>4085</v>
      </c>
      <c r="BB147" s="183">
        <v>1649901</v>
      </c>
    </row>
    <row r="148" spans="20:54" ht="15.75" thickBot="1" x14ac:dyDescent="0.3">
      <c r="T148" s="21" t="s">
        <v>307</v>
      </c>
      <c r="U148" s="22" t="s">
        <v>306</v>
      </c>
      <c r="AB148" s="71" t="s">
        <v>636</v>
      </c>
      <c r="AC148" s="72" t="s">
        <v>635</v>
      </c>
      <c r="AD148" s="73" t="str">
        <f t="shared" si="17"/>
        <v>08-22</v>
      </c>
      <c r="AE148" s="74">
        <f t="shared" si="18"/>
        <v>22</v>
      </c>
      <c r="AF148" s="71" t="s">
        <v>657</v>
      </c>
      <c r="AG148" s="73" t="s">
        <v>1791</v>
      </c>
      <c r="AK148" s="3" t="str">
        <f t="shared" si="16"/>
        <v/>
      </c>
      <c r="AS148" s="3">
        <v>2670</v>
      </c>
      <c r="AT148" s="3">
        <v>103</v>
      </c>
      <c r="AU148" s="3" t="s">
        <v>3723</v>
      </c>
      <c r="AV148" s="3">
        <v>11.04</v>
      </c>
      <c r="AX148" s="3" t="s">
        <v>2401</v>
      </c>
      <c r="AY148" s="65" t="s">
        <v>2402</v>
      </c>
      <c r="BA148" s="108" t="s">
        <v>4086</v>
      </c>
      <c r="BB148" s="182">
        <v>1649902</v>
      </c>
    </row>
    <row r="149" spans="20:54" ht="15.75" thickBot="1" x14ac:dyDescent="0.3">
      <c r="T149" s="21" t="s">
        <v>309</v>
      </c>
      <c r="U149" s="22" t="s">
        <v>308</v>
      </c>
      <c r="AB149" s="71" t="s">
        <v>636</v>
      </c>
      <c r="AC149" s="72" t="s">
        <v>635</v>
      </c>
      <c r="AD149" s="73" t="str">
        <f t="shared" si="17"/>
        <v>08-23</v>
      </c>
      <c r="AE149" s="74">
        <f t="shared" si="18"/>
        <v>23</v>
      </c>
      <c r="AF149" s="71" t="s">
        <v>658</v>
      </c>
      <c r="AG149" s="73" t="s">
        <v>1792</v>
      </c>
      <c r="AK149" s="3" t="str">
        <f t="shared" si="16"/>
        <v/>
      </c>
      <c r="AS149" s="3">
        <v>2680</v>
      </c>
      <c r="AT149" s="3">
        <v>103</v>
      </c>
      <c r="AU149" s="3" t="s">
        <v>3272</v>
      </c>
      <c r="AV149" s="3">
        <v>11.04</v>
      </c>
      <c r="AX149" s="3" t="s">
        <v>2403</v>
      </c>
      <c r="AY149" s="65" t="s">
        <v>2404</v>
      </c>
      <c r="BA149" s="109" t="s">
        <v>4087</v>
      </c>
      <c r="BB149" s="183">
        <v>1649903</v>
      </c>
    </row>
    <row r="150" spans="20:54" ht="15.75" thickBot="1" x14ac:dyDescent="0.3">
      <c r="T150" s="21" t="s">
        <v>311</v>
      </c>
      <c r="U150" s="22" t="s">
        <v>310</v>
      </c>
      <c r="AB150" s="71" t="s">
        <v>660</v>
      </c>
      <c r="AC150" s="72" t="s">
        <v>659</v>
      </c>
      <c r="AD150" s="73" t="str">
        <f t="shared" si="17"/>
        <v>11-1</v>
      </c>
      <c r="AE150" s="74">
        <f t="shared" si="18"/>
        <v>1</v>
      </c>
      <c r="AF150" s="71" t="s">
        <v>661</v>
      </c>
      <c r="AG150" s="73" t="s">
        <v>334</v>
      </c>
      <c r="AK150" s="3" t="str">
        <f t="shared" si="16"/>
        <v/>
      </c>
      <c r="AS150" s="3">
        <v>2711</v>
      </c>
      <c r="AT150" s="3">
        <v>103</v>
      </c>
      <c r="AU150" s="3" t="s">
        <v>2422</v>
      </c>
      <c r="AV150" s="3">
        <v>11.04</v>
      </c>
      <c r="AX150" s="3" t="s">
        <v>2405</v>
      </c>
      <c r="AY150" s="65" t="s">
        <v>2406</v>
      </c>
      <c r="BA150" s="108" t="s">
        <v>3894</v>
      </c>
      <c r="BB150" s="182">
        <v>1649904</v>
      </c>
    </row>
    <row r="151" spans="20:54" ht="15.75" thickBot="1" x14ac:dyDescent="0.3">
      <c r="T151" s="21" t="s">
        <v>313</v>
      </c>
      <c r="U151" s="22" t="s">
        <v>312</v>
      </c>
      <c r="AB151" s="71" t="s">
        <v>663</v>
      </c>
      <c r="AC151" s="72" t="s">
        <v>662</v>
      </c>
      <c r="AD151" s="73" t="str">
        <f t="shared" si="17"/>
        <v>13-1</v>
      </c>
      <c r="AE151" s="74">
        <f t="shared" si="18"/>
        <v>1</v>
      </c>
      <c r="AF151" s="71" t="s">
        <v>664</v>
      </c>
      <c r="AG151" s="73" t="s">
        <v>334</v>
      </c>
      <c r="AK151" s="3" t="str">
        <f t="shared" si="16"/>
        <v/>
      </c>
      <c r="AS151" s="3">
        <v>2712</v>
      </c>
      <c r="AT151" s="3">
        <v>103</v>
      </c>
      <c r="AU151" s="3" t="s">
        <v>3273</v>
      </c>
      <c r="AV151" s="3">
        <v>11.04</v>
      </c>
      <c r="AX151" s="3" t="s">
        <v>2407</v>
      </c>
      <c r="AY151" s="65" t="s">
        <v>2408</v>
      </c>
      <c r="BA151" s="109" t="s">
        <v>4088</v>
      </c>
      <c r="BB151" s="183">
        <v>1651101</v>
      </c>
    </row>
    <row r="152" spans="20:54" ht="15.75" thickBot="1" x14ac:dyDescent="0.3">
      <c r="T152" s="21" t="s">
        <v>315</v>
      </c>
      <c r="U152" s="22" t="s">
        <v>314</v>
      </c>
      <c r="AB152" s="71" t="s">
        <v>663</v>
      </c>
      <c r="AC152" s="72" t="s">
        <v>662</v>
      </c>
      <c r="AD152" s="73" t="str">
        <f t="shared" si="17"/>
        <v>13-2</v>
      </c>
      <c r="AE152" s="74">
        <f t="shared" si="18"/>
        <v>2</v>
      </c>
      <c r="AF152" s="71" t="s">
        <v>665</v>
      </c>
      <c r="AG152" s="73" t="s">
        <v>1793</v>
      </c>
      <c r="AK152" s="3" t="str">
        <f t="shared" si="16"/>
        <v/>
      </c>
      <c r="AS152" s="3">
        <v>2720</v>
      </c>
      <c r="AT152" s="3">
        <v>103</v>
      </c>
      <c r="AU152" s="3" t="s">
        <v>3274</v>
      </c>
      <c r="AV152" s="3">
        <v>11.04</v>
      </c>
      <c r="AX152" s="3" t="s">
        <v>2409</v>
      </c>
      <c r="AY152" s="65" t="s">
        <v>2410</v>
      </c>
      <c r="BA152" s="108" t="s">
        <v>4089</v>
      </c>
      <c r="BB152" s="182">
        <v>1651201</v>
      </c>
    </row>
    <row r="153" spans="20:54" ht="15.75" thickBot="1" x14ac:dyDescent="0.3">
      <c r="T153" s="21" t="s">
        <v>317</v>
      </c>
      <c r="U153" s="22" t="s">
        <v>316</v>
      </c>
      <c r="AB153" s="71" t="s">
        <v>663</v>
      </c>
      <c r="AC153" s="72" t="s">
        <v>662</v>
      </c>
      <c r="AD153" s="73" t="str">
        <f t="shared" si="17"/>
        <v>13-3</v>
      </c>
      <c r="AE153" s="74">
        <f t="shared" si="18"/>
        <v>3</v>
      </c>
      <c r="AF153" s="71" t="s">
        <v>666</v>
      </c>
      <c r="AG153" s="73" t="s">
        <v>1690</v>
      </c>
      <c r="AK153" s="3" t="str">
        <f t="shared" si="16"/>
        <v/>
      </c>
      <c r="AS153" s="3">
        <v>2731</v>
      </c>
      <c r="AT153" s="3">
        <v>103</v>
      </c>
      <c r="AU153" s="3" t="s">
        <v>3724</v>
      </c>
      <c r="AV153" s="3">
        <v>11.04</v>
      </c>
      <c r="AX153" s="3" t="s">
        <v>2411</v>
      </c>
      <c r="AY153" s="65" t="s">
        <v>2412</v>
      </c>
      <c r="BA153" s="109" t="s">
        <v>4090</v>
      </c>
      <c r="BB153" s="183">
        <v>1651301</v>
      </c>
    </row>
    <row r="154" spans="20:54" ht="15.75" thickBot="1" x14ac:dyDescent="0.3">
      <c r="T154" s="21" t="s">
        <v>319</v>
      </c>
      <c r="U154" s="22" t="s">
        <v>318</v>
      </c>
      <c r="AB154" s="71" t="s">
        <v>663</v>
      </c>
      <c r="AC154" s="72" t="s">
        <v>662</v>
      </c>
      <c r="AD154" s="73" t="str">
        <f t="shared" si="17"/>
        <v>13-4</v>
      </c>
      <c r="AE154" s="74">
        <f t="shared" si="18"/>
        <v>4</v>
      </c>
      <c r="AF154" s="71" t="s">
        <v>667</v>
      </c>
      <c r="AG154" s="73" t="s">
        <v>1694</v>
      </c>
      <c r="AK154" s="3" t="str">
        <f t="shared" si="16"/>
        <v/>
      </c>
      <c r="AS154" s="3">
        <v>2732</v>
      </c>
      <c r="AT154" s="3">
        <v>103</v>
      </c>
      <c r="AU154" s="3" t="s">
        <v>3275</v>
      </c>
      <c r="AV154" s="3">
        <v>11.04</v>
      </c>
      <c r="AX154" s="3" t="s">
        <v>2413</v>
      </c>
      <c r="AY154" s="65" t="s">
        <v>2414</v>
      </c>
      <c r="BA154" s="108" t="s">
        <v>4091</v>
      </c>
      <c r="BB154" s="182">
        <v>1651401</v>
      </c>
    </row>
    <row r="155" spans="20:54" ht="30.75" thickBot="1" x14ac:dyDescent="0.3">
      <c r="T155" s="21" t="s">
        <v>321</v>
      </c>
      <c r="U155" s="22" t="s">
        <v>320</v>
      </c>
      <c r="AB155" s="71" t="s">
        <v>663</v>
      </c>
      <c r="AC155" s="72" t="s">
        <v>662</v>
      </c>
      <c r="AD155" s="73" t="str">
        <f t="shared" si="17"/>
        <v>13-5</v>
      </c>
      <c r="AE155" s="74">
        <f t="shared" si="18"/>
        <v>5</v>
      </c>
      <c r="AF155" s="71" t="s">
        <v>668</v>
      </c>
      <c r="AG155" s="73" t="s">
        <v>1794</v>
      </c>
      <c r="AK155" s="3" t="str">
        <f t="shared" si="16"/>
        <v/>
      </c>
      <c r="AS155" s="3">
        <v>2740</v>
      </c>
      <c r="AT155" s="3">
        <v>103</v>
      </c>
      <c r="AU155" s="3" t="s">
        <v>3276</v>
      </c>
      <c r="AV155" s="3">
        <v>11.04</v>
      </c>
      <c r="AX155" s="3" t="s">
        <v>2415</v>
      </c>
      <c r="AY155" s="65" t="s">
        <v>2416</v>
      </c>
      <c r="BA155" s="109" t="s">
        <v>4092</v>
      </c>
      <c r="BB155" s="183">
        <v>1651501</v>
      </c>
    </row>
    <row r="156" spans="20:54" ht="15.75" thickBot="1" x14ac:dyDescent="0.3">
      <c r="T156" s="21" t="s">
        <v>323</v>
      </c>
      <c r="U156" s="22" t="s">
        <v>322</v>
      </c>
      <c r="AB156" s="71" t="s">
        <v>663</v>
      </c>
      <c r="AC156" s="72" t="s">
        <v>662</v>
      </c>
      <c r="AD156" s="73" t="str">
        <f t="shared" si="17"/>
        <v>13-6</v>
      </c>
      <c r="AE156" s="74">
        <f t="shared" si="18"/>
        <v>6</v>
      </c>
      <c r="AF156" s="71" t="s">
        <v>669</v>
      </c>
      <c r="AG156" s="73" t="s">
        <v>1795</v>
      </c>
      <c r="AK156" s="3" t="str">
        <f t="shared" si="16"/>
        <v/>
      </c>
      <c r="AS156" s="3">
        <v>2750</v>
      </c>
      <c r="AT156" s="3">
        <v>103</v>
      </c>
      <c r="AU156" s="3" t="s">
        <v>3725</v>
      </c>
      <c r="AV156" s="3">
        <v>11.04</v>
      </c>
      <c r="AX156" s="3" t="s">
        <v>2417</v>
      </c>
      <c r="AY156" s="65" t="s">
        <v>2418</v>
      </c>
      <c r="BA156" s="108" t="s">
        <v>4093</v>
      </c>
      <c r="BB156" s="182">
        <v>1651601</v>
      </c>
    </row>
    <row r="157" spans="20:54" ht="30.75" thickBot="1" x14ac:dyDescent="0.3">
      <c r="T157" s="21" t="s">
        <v>325</v>
      </c>
      <c r="U157" s="22" t="s">
        <v>324</v>
      </c>
      <c r="AB157" s="71" t="s">
        <v>663</v>
      </c>
      <c r="AC157" s="72" t="s">
        <v>662</v>
      </c>
      <c r="AD157" s="73" t="str">
        <f t="shared" si="17"/>
        <v>13-7</v>
      </c>
      <c r="AE157" s="74">
        <f t="shared" si="18"/>
        <v>7</v>
      </c>
      <c r="AF157" s="71" t="s">
        <v>670</v>
      </c>
      <c r="AG157" s="73" t="s">
        <v>46</v>
      </c>
      <c r="AK157" s="3" t="str">
        <f t="shared" si="16"/>
        <v/>
      </c>
      <c r="AS157" s="3">
        <v>2790</v>
      </c>
      <c r="AT157" s="3">
        <v>103</v>
      </c>
      <c r="AU157" s="3" t="s">
        <v>2436</v>
      </c>
      <c r="AV157" s="3">
        <v>11.04</v>
      </c>
      <c r="AX157" s="3" t="s">
        <v>2419</v>
      </c>
      <c r="AY157" s="65" t="s">
        <v>2420</v>
      </c>
      <c r="BA157" s="109" t="s">
        <v>4094</v>
      </c>
      <c r="BB157" s="183">
        <v>1651901</v>
      </c>
    </row>
    <row r="158" spans="20:54" ht="15.75" thickBot="1" x14ac:dyDescent="0.3">
      <c r="T158" s="21" t="s">
        <v>327</v>
      </c>
      <c r="U158" s="22" t="s">
        <v>326</v>
      </c>
      <c r="AB158" s="71" t="s">
        <v>663</v>
      </c>
      <c r="AC158" s="72" t="s">
        <v>662</v>
      </c>
      <c r="AD158" s="73" t="str">
        <f t="shared" si="17"/>
        <v>13-8</v>
      </c>
      <c r="AE158" s="74">
        <f t="shared" si="18"/>
        <v>8</v>
      </c>
      <c r="AF158" s="71" t="s">
        <v>671</v>
      </c>
      <c r="AG158" s="73" t="s">
        <v>1796</v>
      </c>
      <c r="AK158" s="3" t="str">
        <f t="shared" si="16"/>
        <v/>
      </c>
      <c r="AS158" s="3">
        <v>2811</v>
      </c>
      <c r="AT158" s="3">
        <v>103</v>
      </c>
      <c r="AU158" s="3" t="s">
        <v>3726</v>
      </c>
      <c r="AV158" s="3">
        <v>11.04</v>
      </c>
      <c r="AX158" s="3" t="s">
        <v>2421</v>
      </c>
      <c r="AY158" s="65" t="s">
        <v>2422</v>
      </c>
      <c r="BA158" s="108" t="s">
        <v>4095</v>
      </c>
      <c r="BB158" s="182">
        <v>1659101</v>
      </c>
    </row>
    <row r="159" spans="20:54" ht="30.75" thickBot="1" x14ac:dyDescent="0.3">
      <c r="T159" s="21" t="s">
        <v>329</v>
      </c>
      <c r="U159" s="22" t="s">
        <v>328</v>
      </c>
      <c r="AB159" s="71" t="s">
        <v>663</v>
      </c>
      <c r="AC159" s="72" t="s">
        <v>662</v>
      </c>
      <c r="AD159" s="73" t="str">
        <f t="shared" si="17"/>
        <v>13-9</v>
      </c>
      <c r="AE159" s="74">
        <f t="shared" si="18"/>
        <v>9</v>
      </c>
      <c r="AF159" s="71" t="s">
        <v>672</v>
      </c>
      <c r="AG159" s="73" t="s">
        <v>1797</v>
      </c>
      <c r="AK159" s="3" t="str">
        <f t="shared" si="16"/>
        <v/>
      </c>
      <c r="AS159" s="3">
        <v>2812</v>
      </c>
      <c r="AT159" s="3">
        <v>103</v>
      </c>
      <c r="AU159" s="3" t="s">
        <v>3277</v>
      </c>
      <c r="AV159" s="3">
        <v>11.04</v>
      </c>
      <c r="AX159" s="3" t="s">
        <v>2423</v>
      </c>
      <c r="AY159" s="65" t="s">
        <v>2424</v>
      </c>
      <c r="BA159" s="109" t="s">
        <v>4096</v>
      </c>
      <c r="BB159" s="183">
        <v>1659201</v>
      </c>
    </row>
    <row r="160" spans="20:54" ht="15.75" thickBot="1" x14ac:dyDescent="0.3">
      <c r="T160" s="21" t="s">
        <v>331</v>
      </c>
      <c r="U160" s="22" t="s">
        <v>330</v>
      </c>
      <c r="AB160" s="71" t="s">
        <v>663</v>
      </c>
      <c r="AC160" s="72" t="s">
        <v>662</v>
      </c>
      <c r="AD160" s="73" t="str">
        <f t="shared" si="17"/>
        <v>13-10</v>
      </c>
      <c r="AE160" s="74">
        <f t="shared" si="18"/>
        <v>10</v>
      </c>
      <c r="AF160" s="71" t="s">
        <v>673</v>
      </c>
      <c r="AG160" s="73" t="s">
        <v>1798</v>
      </c>
      <c r="AK160" s="3" t="str">
        <f t="shared" si="16"/>
        <v/>
      </c>
      <c r="AS160" s="3">
        <v>2813</v>
      </c>
      <c r="AT160" s="3">
        <v>103</v>
      </c>
      <c r="AU160" s="3" t="s">
        <v>3727</v>
      </c>
      <c r="AV160" s="3">
        <v>11.04</v>
      </c>
      <c r="AX160" s="3" t="s">
        <v>2425</v>
      </c>
      <c r="AY160" s="65" t="s">
        <v>2426</v>
      </c>
      <c r="BA160" s="108" t="s">
        <v>4097</v>
      </c>
      <c r="BB160" s="182">
        <v>1659301</v>
      </c>
    </row>
    <row r="161" spans="20:54" ht="15.75" thickBot="1" x14ac:dyDescent="0.3">
      <c r="T161" s="21" t="s">
        <v>333</v>
      </c>
      <c r="U161" s="22" t="s">
        <v>332</v>
      </c>
      <c r="AB161" s="71" t="s">
        <v>663</v>
      </c>
      <c r="AC161" s="72" t="s">
        <v>662</v>
      </c>
      <c r="AD161" s="73" t="str">
        <f t="shared" si="17"/>
        <v>13-11</v>
      </c>
      <c r="AE161" s="74">
        <f t="shared" si="18"/>
        <v>11</v>
      </c>
      <c r="AF161" s="71" t="s">
        <v>674</v>
      </c>
      <c r="AG161" s="73" t="s">
        <v>1717</v>
      </c>
      <c r="AK161" s="3" t="str">
        <f t="shared" si="16"/>
        <v/>
      </c>
      <c r="AS161" s="3">
        <v>2814</v>
      </c>
      <c r="AT161" s="3">
        <v>103</v>
      </c>
      <c r="AU161" s="3" t="s">
        <v>3728</v>
      </c>
      <c r="AV161" s="3">
        <v>11.04</v>
      </c>
      <c r="AX161" s="3" t="s">
        <v>2427</v>
      </c>
      <c r="AY161" s="65" t="s">
        <v>2428</v>
      </c>
      <c r="BA161" s="109" t="s">
        <v>4098</v>
      </c>
      <c r="BB161" s="183">
        <v>1659401</v>
      </c>
    </row>
    <row r="162" spans="20:54" ht="15.75" thickBot="1" x14ac:dyDescent="0.3">
      <c r="T162" s="21" t="s">
        <v>335</v>
      </c>
      <c r="U162" s="22" t="s">
        <v>334</v>
      </c>
      <c r="AB162" s="71" t="s">
        <v>663</v>
      </c>
      <c r="AC162" s="72" t="s">
        <v>662</v>
      </c>
      <c r="AD162" s="73" t="str">
        <f t="shared" si="17"/>
        <v>13-12</v>
      </c>
      <c r="AE162" s="74">
        <f t="shared" si="18"/>
        <v>12</v>
      </c>
      <c r="AF162" s="71" t="s">
        <v>675</v>
      </c>
      <c r="AG162" s="73" t="s">
        <v>1799</v>
      </c>
      <c r="AK162" s="3" t="str">
        <f t="shared" si="16"/>
        <v/>
      </c>
      <c r="AS162" s="3">
        <v>2815</v>
      </c>
      <c r="AT162" s="3">
        <v>103</v>
      </c>
      <c r="AU162" s="3" t="s">
        <v>3278</v>
      </c>
      <c r="AV162" s="3">
        <v>11.04</v>
      </c>
      <c r="AX162" s="3" t="s">
        <v>2429</v>
      </c>
      <c r="AY162" s="65" t="s">
        <v>2430</v>
      </c>
      <c r="BA162" s="108" t="s">
        <v>4099</v>
      </c>
      <c r="BB162" s="182">
        <v>1659501</v>
      </c>
    </row>
    <row r="163" spans="20:54" ht="15.75" thickBot="1" x14ac:dyDescent="0.3">
      <c r="T163" s="21" t="s">
        <v>337</v>
      </c>
      <c r="U163" s="22" t="s">
        <v>336</v>
      </c>
      <c r="AB163" s="71" t="s">
        <v>663</v>
      </c>
      <c r="AC163" s="72" t="s">
        <v>662</v>
      </c>
      <c r="AD163" s="73" t="str">
        <f t="shared" si="17"/>
        <v>13-13</v>
      </c>
      <c r="AE163" s="74">
        <f t="shared" si="18"/>
        <v>13</v>
      </c>
      <c r="AF163" s="71" t="s">
        <v>676</v>
      </c>
      <c r="AG163" s="73" t="s">
        <v>146</v>
      </c>
      <c r="AK163" s="3" t="str">
        <f t="shared" si="16"/>
        <v/>
      </c>
      <c r="AS163" s="3">
        <v>2816</v>
      </c>
      <c r="AT163" s="3">
        <v>103</v>
      </c>
      <c r="AU163" s="3" t="s">
        <v>3279</v>
      </c>
      <c r="AV163" s="3">
        <v>11.04</v>
      </c>
      <c r="AX163" s="3" t="s">
        <v>2431</v>
      </c>
      <c r="AY163" s="65" t="s">
        <v>2432</v>
      </c>
      <c r="BA163" s="109" t="s">
        <v>4100</v>
      </c>
      <c r="BB163" s="183">
        <v>1659601</v>
      </c>
    </row>
    <row r="164" spans="20:54" ht="15.75" thickBot="1" x14ac:dyDescent="0.3">
      <c r="T164" s="21" t="s">
        <v>339</v>
      </c>
      <c r="U164" s="22" t="s">
        <v>338</v>
      </c>
      <c r="AB164" s="71" t="s">
        <v>663</v>
      </c>
      <c r="AC164" s="72" t="s">
        <v>662</v>
      </c>
      <c r="AD164" s="73" t="str">
        <f t="shared" si="17"/>
        <v>13-14</v>
      </c>
      <c r="AE164" s="74">
        <f t="shared" si="18"/>
        <v>14</v>
      </c>
      <c r="AF164" s="71" t="s">
        <v>677</v>
      </c>
      <c r="AG164" s="73" t="s">
        <v>1800</v>
      </c>
      <c r="AK164" s="3" t="str">
        <f t="shared" si="16"/>
        <v/>
      </c>
      <c r="AS164" s="3">
        <v>2817</v>
      </c>
      <c r="AT164" s="3">
        <v>103</v>
      </c>
      <c r="AU164" s="3" t="s">
        <v>3729</v>
      </c>
      <c r="AV164" s="3">
        <v>11.04</v>
      </c>
      <c r="AX164" s="3" t="s">
        <v>2433</v>
      </c>
      <c r="AY164" s="65" t="s">
        <v>2434</v>
      </c>
      <c r="BA164" s="108" t="s">
        <v>4101</v>
      </c>
      <c r="BB164" s="182">
        <v>1659901</v>
      </c>
    </row>
    <row r="165" spans="20:54" ht="15.75" thickBot="1" x14ac:dyDescent="0.3">
      <c r="T165" s="21" t="s">
        <v>341</v>
      </c>
      <c r="U165" s="22" t="s">
        <v>340</v>
      </c>
      <c r="AB165" s="71" t="s">
        <v>663</v>
      </c>
      <c r="AC165" s="72" t="s">
        <v>662</v>
      </c>
      <c r="AD165" s="73" t="str">
        <f t="shared" si="17"/>
        <v>13-15</v>
      </c>
      <c r="AE165" s="74">
        <f t="shared" si="18"/>
        <v>15</v>
      </c>
      <c r="AF165" s="71" t="s">
        <v>678</v>
      </c>
      <c r="AG165" s="73" t="s">
        <v>1801</v>
      </c>
      <c r="AK165" s="3" t="str">
        <f t="shared" si="16"/>
        <v/>
      </c>
      <c r="AS165" s="3">
        <v>2818</v>
      </c>
      <c r="AT165" s="3">
        <v>103</v>
      </c>
      <c r="AU165" s="3" t="s">
        <v>3280</v>
      </c>
      <c r="AV165" s="3">
        <v>11.04</v>
      </c>
      <c r="AX165" s="3" t="s">
        <v>2435</v>
      </c>
      <c r="AY165" s="65" t="s">
        <v>2436</v>
      </c>
      <c r="BA165" s="109" t="s">
        <v>4102</v>
      </c>
      <c r="BB165" s="183">
        <v>1660101</v>
      </c>
    </row>
    <row r="166" spans="20:54" ht="30.75" thickBot="1" x14ac:dyDescent="0.3">
      <c r="T166" s="21" t="s">
        <v>343</v>
      </c>
      <c r="U166" s="22" t="s">
        <v>342</v>
      </c>
      <c r="AB166" s="71" t="s">
        <v>663</v>
      </c>
      <c r="AC166" s="72" t="s">
        <v>662</v>
      </c>
      <c r="AD166" s="73" t="str">
        <f t="shared" si="17"/>
        <v>13-16</v>
      </c>
      <c r="AE166" s="74">
        <f t="shared" si="18"/>
        <v>16</v>
      </c>
      <c r="AF166" s="71" t="s">
        <v>679</v>
      </c>
      <c r="AG166" s="73" t="s">
        <v>1802</v>
      </c>
      <c r="AK166" s="3" t="str">
        <f t="shared" si="16"/>
        <v/>
      </c>
      <c r="AS166" s="3">
        <v>2819</v>
      </c>
      <c r="AT166" s="3">
        <v>103</v>
      </c>
      <c r="AU166" s="3" t="s">
        <v>2454</v>
      </c>
      <c r="AV166" s="3">
        <v>11.04</v>
      </c>
      <c r="AX166" s="3" t="s">
        <v>2437</v>
      </c>
      <c r="AY166" s="65" t="s">
        <v>2438</v>
      </c>
      <c r="BA166" s="108" t="s">
        <v>4103</v>
      </c>
      <c r="BB166" s="182">
        <v>1660201</v>
      </c>
    </row>
    <row r="167" spans="20:54" ht="15.75" thickBot="1" x14ac:dyDescent="0.3">
      <c r="T167" s="21" t="s">
        <v>345</v>
      </c>
      <c r="U167" s="22" t="s">
        <v>344</v>
      </c>
      <c r="AB167" s="71" t="s">
        <v>663</v>
      </c>
      <c r="AC167" s="72" t="s">
        <v>662</v>
      </c>
      <c r="AD167" s="73" t="str">
        <f t="shared" si="17"/>
        <v>13-17</v>
      </c>
      <c r="AE167" s="74">
        <f t="shared" si="18"/>
        <v>17</v>
      </c>
      <c r="AF167" s="71" t="s">
        <v>680</v>
      </c>
      <c r="AG167" s="73" t="s">
        <v>1803</v>
      </c>
      <c r="AK167" s="3" t="str">
        <f t="shared" si="16"/>
        <v/>
      </c>
      <c r="AS167" s="3">
        <v>2821</v>
      </c>
      <c r="AT167" s="3">
        <v>103</v>
      </c>
      <c r="AU167" s="3" t="s">
        <v>3281</v>
      </c>
      <c r="AV167" s="3">
        <v>11.04</v>
      </c>
      <c r="AX167" s="3" t="s">
        <v>2439</v>
      </c>
      <c r="AY167" s="65" t="s">
        <v>2440</v>
      </c>
      <c r="BA167" s="109" t="s">
        <v>4104</v>
      </c>
      <c r="BB167" s="183">
        <v>1660301</v>
      </c>
    </row>
    <row r="168" spans="20:54" ht="15.75" thickBot="1" x14ac:dyDescent="0.3">
      <c r="T168" s="21" t="s">
        <v>347</v>
      </c>
      <c r="U168" s="22" t="s">
        <v>346</v>
      </c>
      <c r="AB168" s="71" t="s">
        <v>663</v>
      </c>
      <c r="AC168" s="72" t="s">
        <v>662</v>
      </c>
      <c r="AD168" s="73" t="str">
        <f t="shared" si="17"/>
        <v>13-18</v>
      </c>
      <c r="AE168" s="74">
        <f t="shared" si="18"/>
        <v>18</v>
      </c>
      <c r="AF168" s="71" t="s">
        <v>681</v>
      </c>
      <c r="AG168" s="73" t="s">
        <v>1781</v>
      </c>
      <c r="AK168" s="3" t="str">
        <f t="shared" si="16"/>
        <v/>
      </c>
      <c r="AS168" s="3">
        <v>2822</v>
      </c>
      <c r="AT168" s="3">
        <v>103</v>
      </c>
      <c r="AU168" s="3" t="s">
        <v>3282</v>
      </c>
      <c r="AV168" s="3">
        <v>11.04</v>
      </c>
      <c r="AX168" s="3" t="s">
        <v>2441</v>
      </c>
      <c r="AY168" s="65" t="s">
        <v>2442</v>
      </c>
      <c r="BA168" s="108" t="s">
        <v>4105</v>
      </c>
      <c r="BB168" s="182">
        <v>1660401</v>
      </c>
    </row>
    <row r="169" spans="20:54" ht="30.75" thickBot="1" x14ac:dyDescent="0.3">
      <c r="T169" s="21" t="s">
        <v>349</v>
      </c>
      <c r="U169" s="22" t="s">
        <v>348</v>
      </c>
      <c r="AB169" s="71" t="s">
        <v>663</v>
      </c>
      <c r="AC169" s="72" t="s">
        <v>662</v>
      </c>
      <c r="AD169" s="73" t="str">
        <f t="shared" si="17"/>
        <v>13-19</v>
      </c>
      <c r="AE169" s="74">
        <f t="shared" si="18"/>
        <v>19</v>
      </c>
      <c r="AF169" s="71" t="s">
        <v>682</v>
      </c>
      <c r="AG169" s="73" t="s">
        <v>266</v>
      </c>
      <c r="AK169" s="3" t="str">
        <f t="shared" si="16"/>
        <v/>
      </c>
      <c r="AS169" s="3">
        <v>2823</v>
      </c>
      <c r="AT169" s="3">
        <v>103</v>
      </c>
      <c r="AU169" s="3" t="s">
        <v>3283</v>
      </c>
      <c r="AV169" s="3">
        <v>11.04</v>
      </c>
      <c r="AX169" s="3" t="s">
        <v>2443</v>
      </c>
      <c r="AY169" s="65" t="s">
        <v>2444</v>
      </c>
      <c r="BA169" s="109" t="s">
        <v>4106</v>
      </c>
      <c r="BB169" s="183">
        <v>1661101</v>
      </c>
    </row>
    <row r="170" spans="20:54" ht="15.75" thickBot="1" x14ac:dyDescent="0.3">
      <c r="T170" s="21" t="s">
        <v>351</v>
      </c>
      <c r="U170" s="22" t="s">
        <v>350</v>
      </c>
      <c r="AB170" s="71" t="s">
        <v>663</v>
      </c>
      <c r="AC170" s="72" t="s">
        <v>662</v>
      </c>
      <c r="AD170" s="73" t="str">
        <f t="shared" si="17"/>
        <v>13-20</v>
      </c>
      <c r="AE170" s="74">
        <f t="shared" si="18"/>
        <v>20</v>
      </c>
      <c r="AF170" s="71" t="s">
        <v>683</v>
      </c>
      <c r="AG170" s="73" t="s">
        <v>1804</v>
      </c>
      <c r="AK170" s="3" t="str">
        <f t="shared" si="16"/>
        <v/>
      </c>
      <c r="AS170" s="3">
        <v>2824</v>
      </c>
      <c r="AT170" s="3">
        <v>103</v>
      </c>
      <c r="AU170" s="3" t="s">
        <v>3730</v>
      </c>
      <c r="AV170" s="3">
        <v>11.04</v>
      </c>
      <c r="AX170" s="3" t="s">
        <v>2445</v>
      </c>
      <c r="AY170" s="65" t="s">
        <v>2446</v>
      </c>
      <c r="BA170" s="108" t="s">
        <v>4107</v>
      </c>
      <c r="BB170" s="182">
        <v>1661102</v>
      </c>
    </row>
    <row r="171" spans="20:54" ht="15.75" thickBot="1" x14ac:dyDescent="0.3">
      <c r="T171" s="21" t="s">
        <v>353</v>
      </c>
      <c r="U171" s="22" t="s">
        <v>352</v>
      </c>
      <c r="AB171" s="71" t="s">
        <v>663</v>
      </c>
      <c r="AC171" s="72" t="s">
        <v>662</v>
      </c>
      <c r="AD171" s="73" t="str">
        <f t="shared" si="17"/>
        <v>13-21</v>
      </c>
      <c r="AE171" s="74">
        <f t="shared" si="18"/>
        <v>21</v>
      </c>
      <c r="AF171" s="71" t="s">
        <v>684</v>
      </c>
      <c r="AG171" s="73" t="s">
        <v>280</v>
      </c>
      <c r="AK171" s="3" t="str">
        <f t="shared" si="16"/>
        <v/>
      </c>
      <c r="AS171" s="3">
        <v>2825</v>
      </c>
      <c r="AT171" s="3">
        <v>103</v>
      </c>
      <c r="AU171" s="3" t="s">
        <v>3284</v>
      </c>
      <c r="AV171" s="3">
        <v>11.04</v>
      </c>
      <c r="AX171" s="3" t="s">
        <v>2447</v>
      </c>
      <c r="AY171" s="65" t="s">
        <v>2448</v>
      </c>
      <c r="BA171" s="109" t="s">
        <v>4108</v>
      </c>
      <c r="BB171" s="183">
        <v>1661201</v>
      </c>
    </row>
    <row r="172" spans="20:54" ht="30.75" thickBot="1" x14ac:dyDescent="0.3">
      <c r="T172" s="21" t="s">
        <v>355</v>
      </c>
      <c r="U172" s="22" t="s">
        <v>354</v>
      </c>
      <c r="AB172" s="71" t="s">
        <v>663</v>
      </c>
      <c r="AC172" s="72" t="s">
        <v>662</v>
      </c>
      <c r="AD172" s="73" t="str">
        <f t="shared" si="17"/>
        <v>13-22</v>
      </c>
      <c r="AE172" s="74">
        <f t="shared" si="18"/>
        <v>22</v>
      </c>
      <c r="AF172" s="71" t="s">
        <v>685</v>
      </c>
      <c r="AG172" s="73" t="s">
        <v>1805</v>
      </c>
      <c r="AK172" s="3" t="str">
        <f t="shared" si="16"/>
        <v/>
      </c>
      <c r="AS172" s="3">
        <v>2826</v>
      </c>
      <c r="AT172" s="3">
        <v>103</v>
      </c>
      <c r="AU172" s="3" t="s">
        <v>3731</v>
      </c>
      <c r="AV172" s="3">
        <v>11.04</v>
      </c>
      <c r="AX172" s="3" t="s">
        <v>2449</v>
      </c>
      <c r="AY172" s="65" t="s">
        <v>2450</v>
      </c>
      <c r="BA172" s="108" t="s">
        <v>4109</v>
      </c>
      <c r="BB172" s="182">
        <v>1661301</v>
      </c>
    </row>
    <row r="173" spans="20:54" ht="15.75" thickBot="1" x14ac:dyDescent="0.3">
      <c r="T173" s="21" t="s">
        <v>357</v>
      </c>
      <c r="U173" s="22" t="s">
        <v>356</v>
      </c>
      <c r="AB173" s="71" t="s">
        <v>663</v>
      </c>
      <c r="AC173" s="72" t="s">
        <v>662</v>
      </c>
      <c r="AD173" s="73" t="str">
        <f t="shared" si="17"/>
        <v>13-23</v>
      </c>
      <c r="AE173" s="74">
        <f t="shared" si="18"/>
        <v>23</v>
      </c>
      <c r="AF173" s="71" t="s">
        <v>686</v>
      </c>
      <c r="AG173" s="73" t="s">
        <v>1806</v>
      </c>
      <c r="AK173" s="3" t="str">
        <f t="shared" si="16"/>
        <v/>
      </c>
      <c r="AS173" s="3">
        <v>2829</v>
      </c>
      <c r="AT173" s="3">
        <v>103</v>
      </c>
      <c r="AU173" s="3" t="s">
        <v>2468</v>
      </c>
      <c r="AV173" s="3">
        <v>11.04</v>
      </c>
      <c r="AX173" s="3" t="s">
        <v>2451</v>
      </c>
      <c r="AY173" s="65" t="s">
        <v>2452</v>
      </c>
      <c r="BA173" s="109" t="s">
        <v>4110</v>
      </c>
      <c r="BB173" s="183">
        <v>1661401</v>
      </c>
    </row>
    <row r="174" spans="20:54" ht="30.75" thickBot="1" x14ac:dyDescent="0.3">
      <c r="T174" s="21" t="s">
        <v>359</v>
      </c>
      <c r="U174" s="22" t="s">
        <v>358</v>
      </c>
      <c r="AB174" s="71" t="s">
        <v>663</v>
      </c>
      <c r="AC174" s="72" t="s">
        <v>662</v>
      </c>
      <c r="AD174" s="73" t="str">
        <f t="shared" si="17"/>
        <v>13-24</v>
      </c>
      <c r="AE174" s="74">
        <f t="shared" si="18"/>
        <v>24</v>
      </c>
      <c r="AF174" s="71" t="s">
        <v>687</v>
      </c>
      <c r="AG174" s="73" t="s">
        <v>1784</v>
      </c>
      <c r="AK174" s="3" t="str">
        <f t="shared" si="16"/>
        <v/>
      </c>
      <c r="AS174" s="3">
        <v>2910</v>
      </c>
      <c r="AT174" s="3">
        <v>102</v>
      </c>
      <c r="AU174" s="3" t="s">
        <v>3214</v>
      </c>
      <c r="AV174" s="3">
        <v>6.9</v>
      </c>
      <c r="AX174" s="3" t="s">
        <v>2453</v>
      </c>
      <c r="AY174" s="65" t="s">
        <v>2454</v>
      </c>
      <c r="BA174" s="108" t="s">
        <v>4111</v>
      </c>
      <c r="BB174" s="182">
        <v>1661501</v>
      </c>
    </row>
    <row r="175" spans="20:54" ht="15.75" thickBot="1" x14ac:dyDescent="0.3">
      <c r="T175" s="21" t="s">
        <v>361</v>
      </c>
      <c r="U175" s="22" t="s">
        <v>360</v>
      </c>
      <c r="AB175" s="71" t="s">
        <v>663</v>
      </c>
      <c r="AC175" s="72" t="s">
        <v>662</v>
      </c>
      <c r="AD175" s="73" t="str">
        <f t="shared" si="17"/>
        <v>13-25</v>
      </c>
      <c r="AE175" s="74">
        <f t="shared" si="18"/>
        <v>25</v>
      </c>
      <c r="AF175" s="71" t="s">
        <v>688</v>
      </c>
      <c r="AG175" s="73" t="s">
        <v>356</v>
      </c>
      <c r="AK175" s="3" t="str">
        <f t="shared" si="16"/>
        <v/>
      </c>
      <c r="AS175" s="3">
        <v>2920</v>
      </c>
      <c r="AT175" s="3">
        <v>102</v>
      </c>
      <c r="AU175" s="3" t="s">
        <v>3215</v>
      </c>
      <c r="AV175" s="3">
        <v>6.9</v>
      </c>
      <c r="AX175" s="3" t="s">
        <v>2455</v>
      </c>
      <c r="AY175" s="65" t="s">
        <v>2456</v>
      </c>
      <c r="BA175" s="109" t="s">
        <v>4112</v>
      </c>
      <c r="BB175" s="183">
        <v>1661901</v>
      </c>
    </row>
    <row r="176" spans="20:54" ht="30.75" thickBot="1" x14ac:dyDescent="0.3">
      <c r="T176" s="21" t="s">
        <v>363</v>
      </c>
      <c r="U176" s="22" t="s">
        <v>362</v>
      </c>
      <c r="AB176" s="71" t="s">
        <v>663</v>
      </c>
      <c r="AC176" s="72" t="s">
        <v>662</v>
      </c>
      <c r="AD176" s="73" t="str">
        <f t="shared" si="17"/>
        <v>13-26</v>
      </c>
      <c r="AE176" s="74">
        <f t="shared" si="18"/>
        <v>26</v>
      </c>
      <c r="AF176" s="71" t="s">
        <v>689</v>
      </c>
      <c r="AG176" s="73" t="s">
        <v>1807</v>
      </c>
      <c r="AK176" s="3" t="str">
        <f t="shared" si="16"/>
        <v/>
      </c>
      <c r="AS176" s="3">
        <v>2930</v>
      </c>
      <c r="AT176" s="3">
        <v>102</v>
      </c>
      <c r="AU176" s="3" t="s">
        <v>3732</v>
      </c>
      <c r="AV176" s="3">
        <v>6.9</v>
      </c>
      <c r="AX176" s="3" t="s">
        <v>2457</v>
      </c>
      <c r="AY176" s="65" t="s">
        <v>2458</v>
      </c>
      <c r="BA176" s="108" t="s">
        <v>4113</v>
      </c>
      <c r="BB176" s="182">
        <v>1663001</v>
      </c>
    </row>
    <row r="177" spans="20:54" ht="15.75" thickBot="1" x14ac:dyDescent="0.3">
      <c r="T177" s="21" t="s">
        <v>365</v>
      </c>
      <c r="U177" s="22" t="s">
        <v>364</v>
      </c>
      <c r="AB177" s="71" t="s">
        <v>663</v>
      </c>
      <c r="AC177" s="72" t="s">
        <v>662</v>
      </c>
      <c r="AD177" s="73" t="str">
        <f t="shared" si="17"/>
        <v>13-27</v>
      </c>
      <c r="AE177" s="74">
        <f t="shared" si="18"/>
        <v>27</v>
      </c>
      <c r="AF177" s="71" t="s">
        <v>690</v>
      </c>
      <c r="AG177" s="73" t="s">
        <v>1808</v>
      </c>
      <c r="AK177" s="3" t="str">
        <f t="shared" si="16"/>
        <v/>
      </c>
      <c r="AS177" s="3">
        <v>3011</v>
      </c>
      <c r="AT177" s="3">
        <v>102</v>
      </c>
      <c r="AU177" s="3" t="s">
        <v>3216</v>
      </c>
      <c r="AV177" s="3">
        <v>6.9</v>
      </c>
      <c r="AX177" s="3" t="s">
        <v>2459</v>
      </c>
      <c r="AY177" s="65" t="s">
        <v>2460</v>
      </c>
      <c r="BA177" s="109" t="s">
        <v>4114</v>
      </c>
      <c r="BB177" s="183">
        <v>1671101</v>
      </c>
    </row>
    <row r="178" spans="20:54" ht="30.75" thickBot="1" x14ac:dyDescent="0.3">
      <c r="T178" s="21" t="s">
        <v>367</v>
      </c>
      <c r="U178" s="22" t="s">
        <v>366</v>
      </c>
      <c r="AB178" s="71" t="s">
        <v>663</v>
      </c>
      <c r="AC178" s="72" t="s">
        <v>662</v>
      </c>
      <c r="AD178" s="73" t="str">
        <f t="shared" si="17"/>
        <v>13-28</v>
      </c>
      <c r="AE178" s="74">
        <f t="shared" si="18"/>
        <v>28</v>
      </c>
      <c r="AF178" s="71" t="s">
        <v>691</v>
      </c>
      <c r="AG178" s="73" t="s">
        <v>384</v>
      </c>
      <c r="AK178" s="3" t="str">
        <f t="shared" si="16"/>
        <v/>
      </c>
      <c r="AS178" s="3">
        <v>3012</v>
      </c>
      <c r="AT178" s="3">
        <v>102</v>
      </c>
      <c r="AU178" s="3" t="s">
        <v>3733</v>
      </c>
      <c r="AV178" s="3">
        <v>6.9</v>
      </c>
      <c r="AX178" s="3" t="s">
        <v>2461</v>
      </c>
      <c r="AY178" s="65" t="s">
        <v>2462</v>
      </c>
      <c r="BA178" s="108" t="s">
        <v>4115</v>
      </c>
      <c r="BB178" s="182">
        <v>1671201</v>
      </c>
    </row>
    <row r="179" spans="20:54" ht="30.75" thickBot="1" x14ac:dyDescent="0.3">
      <c r="T179" s="21" t="s">
        <v>369</v>
      </c>
      <c r="U179" s="22" t="s">
        <v>368</v>
      </c>
      <c r="AB179" s="71" t="s">
        <v>663</v>
      </c>
      <c r="AC179" s="72" t="s">
        <v>662</v>
      </c>
      <c r="AD179" s="73" t="str">
        <f t="shared" si="17"/>
        <v>13-29</v>
      </c>
      <c r="AE179" s="74">
        <f t="shared" si="18"/>
        <v>29</v>
      </c>
      <c r="AF179" s="71" t="s">
        <v>692</v>
      </c>
      <c r="AG179" s="73" t="s">
        <v>1809</v>
      </c>
      <c r="AK179" s="3" t="str">
        <f t="shared" si="16"/>
        <v/>
      </c>
      <c r="AS179" s="3">
        <v>3020</v>
      </c>
      <c r="AT179" s="3">
        <v>102</v>
      </c>
      <c r="AU179" s="3" t="s">
        <v>3734</v>
      </c>
      <c r="AV179" s="3">
        <v>6.9</v>
      </c>
      <c r="AX179" s="3" t="s">
        <v>2463</v>
      </c>
      <c r="AY179" s="65" t="s">
        <v>2464</v>
      </c>
      <c r="BA179" s="109" t="s">
        <v>4116</v>
      </c>
      <c r="BB179" s="183">
        <v>1671301</v>
      </c>
    </row>
    <row r="180" spans="20:54" ht="30.75" thickBot="1" x14ac:dyDescent="0.3">
      <c r="T180" s="21" t="s">
        <v>371</v>
      </c>
      <c r="U180" s="22" t="s">
        <v>370</v>
      </c>
      <c r="AB180" s="71" t="s">
        <v>663</v>
      </c>
      <c r="AC180" s="72" t="s">
        <v>662</v>
      </c>
      <c r="AD180" s="73" t="str">
        <f t="shared" si="17"/>
        <v>13-30</v>
      </c>
      <c r="AE180" s="74">
        <f t="shared" si="18"/>
        <v>30</v>
      </c>
      <c r="AF180" s="71" t="s">
        <v>693</v>
      </c>
      <c r="AG180" s="73" t="s">
        <v>1810</v>
      </c>
      <c r="AK180" s="3" t="str">
        <f t="shared" si="16"/>
        <v/>
      </c>
      <c r="AS180" s="3">
        <v>3030</v>
      </c>
      <c r="AT180" s="3">
        <v>102</v>
      </c>
      <c r="AU180" s="3" t="s">
        <v>3217</v>
      </c>
      <c r="AV180" s="3">
        <v>6.9</v>
      </c>
      <c r="AX180" s="3" t="s">
        <v>2465</v>
      </c>
      <c r="AY180" s="65" t="s">
        <v>2466</v>
      </c>
      <c r="BA180" s="108" t="s">
        <v>4117</v>
      </c>
      <c r="BB180" s="182">
        <v>1671401</v>
      </c>
    </row>
    <row r="181" spans="20:54" ht="30.75" thickBot="1" x14ac:dyDescent="0.3">
      <c r="T181" s="21" t="s">
        <v>373</v>
      </c>
      <c r="U181" s="22" t="s">
        <v>372</v>
      </c>
      <c r="AB181" s="71" t="s">
        <v>663</v>
      </c>
      <c r="AC181" s="72" t="s">
        <v>662</v>
      </c>
      <c r="AD181" s="73" t="str">
        <f t="shared" si="17"/>
        <v>13-31</v>
      </c>
      <c r="AE181" s="74">
        <f t="shared" si="18"/>
        <v>31</v>
      </c>
      <c r="AF181" s="71" t="s">
        <v>694</v>
      </c>
      <c r="AG181" s="73" t="s">
        <v>1811</v>
      </c>
      <c r="AK181" s="3" t="str">
        <f t="shared" si="16"/>
        <v/>
      </c>
      <c r="AS181" s="3">
        <v>3040</v>
      </c>
      <c r="AT181" s="3">
        <v>102</v>
      </c>
      <c r="AU181" s="3" t="s">
        <v>3218</v>
      </c>
      <c r="AV181" s="3">
        <v>6.9</v>
      </c>
      <c r="AX181" s="3" t="s">
        <v>2467</v>
      </c>
      <c r="AY181" s="65" t="s">
        <v>2468</v>
      </c>
      <c r="BA181" s="109" t="s">
        <v>4118</v>
      </c>
      <c r="BB181" s="183">
        <v>1671501</v>
      </c>
    </row>
    <row r="182" spans="20:54" ht="15.75" thickBot="1" x14ac:dyDescent="0.3">
      <c r="T182" s="21" t="s">
        <v>375</v>
      </c>
      <c r="U182" s="22" t="s">
        <v>374</v>
      </c>
      <c r="AB182" s="71" t="s">
        <v>663</v>
      </c>
      <c r="AC182" s="72" t="s">
        <v>662</v>
      </c>
      <c r="AD182" s="73" t="str">
        <f t="shared" si="17"/>
        <v>13-32</v>
      </c>
      <c r="AE182" s="74">
        <f t="shared" si="18"/>
        <v>32</v>
      </c>
      <c r="AF182" s="71" t="s">
        <v>695</v>
      </c>
      <c r="AG182" s="73" t="s">
        <v>1812</v>
      </c>
      <c r="AK182" s="3" t="str">
        <f t="shared" si="16"/>
        <v/>
      </c>
      <c r="AS182" s="3">
        <v>3091</v>
      </c>
      <c r="AT182" s="3">
        <v>102</v>
      </c>
      <c r="AU182" s="3" t="s">
        <v>3219</v>
      </c>
      <c r="AV182" s="3">
        <v>6.9</v>
      </c>
      <c r="AX182" s="3" t="s">
        <v>2469</v>
      </c>
      <c r="AY182" s="65" t="s">
        <v>2470</v>
      </c>
      <c r="BA182" s="108" t="s">
        <v>4119</v>
      </c>
      <c r="BB182" s="182">
        <v>1671901</v>
      </c>
    </row>
    <row r="183" spans="20:54" ht="30.75" thickBot="1" x14ac:dyDescent="0.3">
      <c r="T183" s="21" t="s">
        <v>377</v>
      </c>
      <c r="U183" s="22" t="s">
        <v>376</v>
      </c>
      <c r="AB183" s="71" t="s">
        <v>663</v>
      </c>
      <c r="AC183" s="72" t="s">
        <v>662</v>
      </c>
      <c r="AD183" s="73" t="str">
        <f t="shared" si="17"/>
        <v>13-33</v>
      </c>
      <c r="AE183" s="74">
        <f t="shared" si="18"/>
        <v>33</v>
      </c>
      <c r="AF183" s="71" t="s">
        <v>696</v>
      </c>
      <c r="AG183" s="73" t="s">
        <v>1759</v>
      </c>
      <c r="AK183" s="3" t="str">
        <f t="shared" si="16"/>
        <v/>
      </c>
      <c r="AS183" s="3">
        <v>3092</v>
      </c>
      <c r="AT183" s="3">
        <v>102</v>
      </c>
      <c r="AU183" s="3" t="s">
        <v>3220</v>
      </c>
      <c r="AV183" s="3">
        <v>6.9</v>
      </c>
      <c r="AX183" s="3" t="s">
        <v>2471</v>
      </c>
      <c r="AY183" s="65" t="s">
        <v>2472</v>
      </c>
      <c r="BA183" s="109" t="s">
        <v>4120</v>
      </c>
      <c r="BB183" s="183">
        <v>1672201</v>
      </c>
    </row>
    <row r="184" spans="20:54" ht="30.75" thickBot="1" x14ac:dyDescent="0.3">
      <c r="T184" s="21" t="s">
        <v>379</v>
      </c>
      <c r="U184" s="22" t="s">
        <v>378</v>
      </c>
      <c r="AB184" s="71" t="s">
        <v>663</v>
      </c>
      <c r="AC184" s="72" t="s">
        <v>662</v>
      </c>
      <c r="AD184" s="73" t="str">
        <f t="shared" si="17"/>
        <v>13-34</v>
      </c>
      <c r="AE184" s="74">
        <f t="shared" si="18"/>
        <v>34</v>
      </c>
      <c r="AF184" s="71" t="s">
        <v>697</v>
      </c>
      <c r="AG184" s="73" t="s">
        <v>388</v>
      </c>
      <c r="AK184" s="3" t="str">
        <f t="shared" si="16"/>
        <v/>
      </c>
      <c r="AS184" s="3">
        <v>3099</v>
      </c>
      <c r="AT184" s="3">
        <v>102</v>
      </c>
      <c r="AU184" s="3" t="s">
        <v>2490</v>
      </c>
      <c r="AV184" s="3">
        <v>6.9</v>
      </c>
      <c r="AX184" s="3" t="s">
        <v>2473</v>
      </c>
      <c r="AY184" s="65" t="s">
        <v>2474</v>
      </c>
      <c r="BA184" s="108" t="s">
        <v>4121</v>
      </c>
      <c r="BB184" s="182">
        <v>1681001</v>
      </c>
    </row>
    <row r="185" spans="20:54" ht="15.75" thickBot="1" x14ac:dyDescent="0.3">
      <c r="T185" s="21" t="s">
        <v>381</v>
      </c>
      <c r="U185" s="22" t="s">
        <v>380</v>
      </c>
      <c r="AB185" s="71" t="s">
        <v>663</v>
      </c>
      <c r="AC185" s="72" t="s">
        <v>662</v>
      </c>
      <c r="AD185" s="73" t="str">
        <f t="shared" si="17"/>
        <v>13-35</v>
      </c>
      <c r="AE185" s="74">
        <f t="shared" si="18"/>
        <v>35</v>
      </c>
      <c r="AF185" s="71" t="s">
        <v>698</v>
      </c>
      <c r="AG185" s="73" t="s">
        <v>1813</v>
      </c>
      <c r="AK185" s="3" t="str">
        <f t="shared" si="16"/>
        <v/>
      </c>
      <c r="AS185" s="3">
        <v>3110</v>
      </c>
      <c r="AT185" s="3">
        <v>103</v>
      </c>
      <c r="AU185" s="3" t="s">
        <v>3285</v>
      </c>
      <c r="AV185" s="3">
        <v>11.04</v>
      </c>
      <c r="AX185" s="3" t="s">
        <v>2475</v>
      </c>
      <c r="AY185" s="65" t="s">
        <v>2476</v>
      </c>
      <c r="BA185" s="109" t="s">
        <v>4122</v>
      </c>
      <c r="BB185" s="183">
        <v>1682001</v>
      </c>
    </row>
    <row r="186" spans="20:54" ht="30.75" thickBot="1" x14ac:dyDescent="0.3">
      <c r="T186" s="21" t="s">
        <v>383</v>
      </c>
      <c r="U186" s="22" t="s">
        <v>382</v>
      </c>
      <c r="AB186" s="71" t="s">
        <v>663</v>
      </c>
      <c r="AC186" s="72" t="s">
        <v>662</v>
      </c>
      <c r="AD186" s="73" t="str">
        <f t="shared" si="17"/>
        <v>13-36</v>
      </c>
      <c r="AE186" s="74">
        <f t="shared" si="18"/>
        <v>36</v>
      </c>
      <c r="AF186" s="71" t="s">
        <v>699</v>
      </c>
      <c r="AG186" s="73" t="s">
        <v>1814</v>
      </c>
      <c r="AK186" s="3" t="str">
        <f t="shared" si="16"/>
        <v/>
      </c>
      <c r="AS186" s="3">
        <v>3120</v>
      </c>
      <c r="AT186" s="3">
        <v>103</v>
      </c>
      <c r="AU186" s="3" t="s">
        <v>3286</v>
      </c>
      <c r="AV186" s="3">
        <v>11.04</v>
      </c>
      <c r="AX186" s="3" t="s">
        <v>2477</v>
      </c>
      <c r="AY186" s="65" t="s">
        <v>2478</v>
      </c>
      <c r="BA186" s="108" t="s">
        <v>4123</v>
      </c>
      <c r="BB186" s="182">
        <v>1691001</v>
      </c>
    </row>
    <row r="187" spans="20:54" ht="15.75" thickBot="1" x14ac:dyDescent="0.3">
      <c r="T187" s="21" t="s">
        <v>385</v>
      </c>
      <c r="U187" s="22" t="s">
        <v>384</v>
      </c>
      <c r="AB187" s="71" t="s">
        <v>663</v>
      </c>
      <c r="AC187" s="72" t="s">
        <v>662</v>
      </c>
      <c r="AD187" s="73" t="str">
        <f t="shared" si="17"/>
        <v>13-37</v>
      </c>
      <c r="AE187" s="74">
        <f t="shared" si="18"/>
        <v>37</v>
      </c>
      <c r="AF187" s="71" t="s">
        <v>700</v>
      </c>
      <c r="AG187" s="73" t="s">
        <v>1815</v>
      </c>
      <c r="AK187" s="3" t="str">
        <f t="shared" si="16"/>
        <v/>
      </c>
      <c r="AS187" s="3">
        <v>3210</v>
      </c>
      <c r="AT187" s="3">
        <v>103</v>
      </c>
      <c r="AU187" s="3" t="s">
        <v>3287</v>
      </c>
      <c r="AV187" s="3">
        <v>11.04</v>
      </c>
      <c r="AX187" s="3" t="s">
        <v>2479</v>
      </c>
      <c r="AY187" s="65" t="s">
        <v>2480</v>
      </c>
      <c r="BA187" s="109" t="s">
        <v>4124</v>
      </c>
      <c r="BB187" s="183">
        <v>1692001</v>
      </c>
    </row>
    <row r="188" spans="20:54" ht="15.75" thickBot="1" x14ac:dyDescent="0.3">
      <c r="T188" s="21" t="s">
        <v>387</v>
      </c>
      <c r="U188" s="22" t="s">
        <v>386</v>
      </c>
      <c r="AB188" s="71" t="s">
        <v>663</v>
      </c>
      <c r="AC188" s="72" t="s">
        <v>662</v>
      </c>
      <c r="AD188" s="73" t="str">
        <f t="shared" si="17"/>
        <v>13-38</v>
      </c>
      <c r="AE188" s="74">
        <f t="shared" si="18"/>
        <v>38</v>
      </c>
      <c r="AF188" s="71" t="s">
        <v>701</v>
      </c>
      <c r="AG188" s="73" t="s">
        <v>426</v>
      </c>
      <c r="AK188" s="3" t="str">
        <f t="shared" si="16"/>
        <v/>
      </c>
      <c r="AS188" s="3">
        <v>3220</v>
      </c>
      <c r="AT188" s="3">
        <v>103</v>
      </c>
      <c r="AU188" s="3" t="s">
        <v>3288</v>
      </c>
      <c r="AV188" s="3">
        <v>11.04</v>
      </c>
      <c r="AX188" s="3" t="s">
        <v>2481</v>
      </c>
      <c r="AY188" s="65" t="s">
        <v>2482</v>
      </c>
      <c r="BA188" s="108" t="s">
        <v>4125</v>
      </c>
      <c r="BB188" s="182">
        <v>1701001</v>
      </c>
    </row>
    <row r="189" spans="20:54" ht="15.75" thickBot="1" x14ac:dyDescent="0.3">
      <c r="T189" s="21" t="s">
        <v>389</v>
      </c>
      <c r="U189" s="22" t="s">
        <v>388</v>
      </c>
      <c r="AB189" s="71" t="s">
        <v>663</v>
      </c>
      <c r="AC189" s="72" t="s">
        <v>662</v>
      </c>
      <c r="AD189" s="73" t="str">
        <f t="shared" si="17"/>
        <v>13-39</v>
      </c>
      <c r="AE189" s="74">
        <f t="shared" si="18"/>
        <v>39</v>
      </c>
      <c r="AF189" s="71" t="s">
        <v>702</v>
      </c>
      <c r="AG189" s="73" t="s">
        <v>1816</v>
      </c>
      <c r="AK189" s="3" t="str">
        <f t="shared" si="16"/>
        <v/>
      </c>
      <c r="AS189" s="3">
        <v>3230</v>
      </c>
      <c r="AT189" s="3">
        <v>103</v>
      </c>
      <c r="AU189" s="3" t="s">
        <v>3735</v>
      </c>
      <c r="AV189" s="3">
        <v>11.04</v>
      </c>
      <c r="AX189" s="3" t="s">
        <v>2483</v>
      </c>
      <c r="AY189" s="65" t="s">
        <v>2484</v>
      </c>
      <c r="BA189" s="109" t="s">
        <v>4126</v>
      </c>
      <c r="BB189" s="183">
        <v>1702001</v>
      </c>
    </row>
    <row r="190" spans="20:54" ht="15.75" thickBot="1" x14ac:dyDescent="0.3">
      <c r="T190" s="21" t="s">
        <v>391</v>
      </c>
      <c r="U190" s="22" t="s">
        <v>390</v>
      </c>
      <c r="AB190" s="71" t="s">
        <v>663</v>
      </c>
      <c r="AC190" s="72" t="s">
        <v>662</v>
      </c>
      <c r="AD190" s="73" t="str">
        <f t="shared" si="17"/>
        <v>13-40</v>
      </c>
      <c r="AE190" s="74">
        <f t="shared" si="18"/>
        <v>40</v>
      </c>
      <c r="AF190" s="71" t="s">
        <v>703</v>
      </c>
      <c r="AG190" s="73" t="s">
        <v>450</v>
      </c>
      <c r="AK190" s="3" t="str">
        <f t="shared" si="16"/>
        <v/>
      </c>
      <c r="AS190" s="3">
        <v>3240</v>
      </c>
      <c r="AT190" s="3">
        <v>103</v>
      </c>
      <c r="AU190" s="3" t="s">
        <v>3736</v>
      </c>
      <c r="AV190" s="3">
        <v>11.04</v>
      </c>
      <c r="AX190" s="3" t="s">
        <v>2485</v>
      </c>
      <c r="AY190" s="65" t="s">
        <v>2486</v>
      </c>
      <c r="BA190" s="108" t="s">
        <v>4127</v>
      </c>
      <c r="BB190" s="182">
        <v>1711001</v>
      </c>
    </row>
    <row r="191" spans="20:54" ht="30.75" thickBot="1" x14ac:dyDescent="0.3">
      <c r="T191" s="21" t="s">
        <v>393</v>
      </c>
      <c r="U191" s="22" t="s">
        <v>392</v>
      </c>
      <c r="AB191" s="71" t="s">
        <v>663</v>
      </c>
      <c r="AC191" s="72" t="s">
        <v>662</v>
      </c>
      <c r="AD191" s="73" t="str">
        <f t="shared" si="17"/>
        <v>13-41</v>
      </c>
      <c r="AE191" s="74">
        <f t="shared" si="18"/>
        <v>41</v>
      </c>
      <c r="AF191" s="71" t="s">
        <v>704</v>
      </c>
      <c r="AG191" s="73" t="s">
        <v>462</v>
      </c>
      <c r="AK191" s="3" t="str">
        <f t="shared" ref="AK191:AK250" si="19">IFERROR(VLOOKUP(AJ67,$M$10:$P$1128,3,0),"")</f>
        <v/>
      </c>
      <c r="AS191" s="3">
        <v>3250</v>
      </c>
      <c r="AT191" s="3">
        <v>103</v>
      </c>
      <c r="AU191" s="3" t="s">
        <v>3737</v>
      </c>
      <c r="AV191" s="3">
        <v>11.04</v>
      </c>
      <c r="AX191" s="3" t="s">
        <v>2487</v>
      </c>
      <c r="AY191" s="65" t="s">
        <v>2488</v>
      </c>
      <c r="BA191" s="109" t="s">
        <v>4128</v>
      </c>
      <c r="BB191" s="183">
        <v>1711201</v>
      </c>
    </row>
    <row r="192" spans="20:54" ht="15.75" thickBot="1" x14ac:dyDescent="0.3">
      <c r="T192" s="21" t="s">
        <v>395</v>
      </c>
      <c r="U192" s="22" t="s">
        <v>394</v>
      </c>
      <c r="AB192" s="71" t="s">
        <v>663</v>
      </c>
      <c r="AC192" s="72" t="s">
        <v>662</v>
      </c>
      <c r="AD192" s="73" t="str">
        <f t="shared" si="17"/>
        <v>13-42</v>
      </c>
      <c r="AE192" s="74">
        <f t="shared" si="18"/>
        <v>42</v>
      </c>
      <c r="AF192" s="71" t="s">
        <v>705</v>
      </c>
      <c r="AG192" s="73" t="s">
        <v>1817</v>
      </c>
      <c r="AK192" s="3" t="str">
        <f t="shared" si="19"/>
        <v/>
      </c>
      <c r="AS192" s="3">
        <v>3290</v>
      </c>
      <c r="AT192" s="3">
        <v>103</v>
      </c>
      <c r="AU192" s="3" t="s">
        <v>2506</v>
      </c>
      <c r="AV192" s="3">
        <v>11.04</v>
      </c>
      <c r="AX192" s="3" t="s">
        <v>2489</v>
      </c>
      <c r="AY192" s="65" t="s">
        <v>2490</v>
      </c>
      <c r="BA192" s="108" t="s">
        <v>4129</v>
      </c>
      <c r="BB192" s="182">
        <v>1713001</v>
      </c>
    </row>
    <row r="193" spans="20:54" ht="15.75" thickBot="1" x14ac:dyDescent="0.3">
      <c r="T193" s="21" t="s">
        <v>397</v>
      </c>
      <c r="U193" s="22" t="s">
        <v>396</v>
      </c>
      <c r="AB193" s="71" t="s">
        <v>663</v>
      </c>
      <c r="AC193" s="72" t="s">
        <v>662</v>
      </c>
      <c r="AD193" s="73" t="str">
        <f t="shared" si="17"/>
        <v>13-43</v>
      </c>
      <c r="AE193" s="74">
        <f t="shared" si="18"/>
        <v>43</v>
      </c>
      <c r="AF193" s="71" t="s">
        <v>706</v>
      </c>
      <c r="AG193" s="73" t="s">
        <v>1818</v>
      </c>
      <c r="AK193" s="3" t="str">
        <f t="shared" si="19"/>
        <v/>
      </c>
      <c r="AS193" s="3">
        <v>3311</v>
      </c>
      <c r="AT193" s="3">
        <v>304</v>
      </c>
      <c r="AU193" s="3" t="s">
        <v>3738</v>
      </c>
      <c r="AV193" s="3">
        <v>9.66</v>
      </c>
      <c r="AX193" s="3" t="s">
        <v>2491</v>
      </c>
      <c r="AY193" s="65" t="s">
        <v>2492</v>
      </c>
      <c r="BA193" s="109" t="s">
        <v>4130</v>
      </c>
      <c r="BB193" s="183">
        <v>1721001</v>
      </c>
    </row>
    <row r="194" spans="20:54" ht="15.75" thickBot="1" x14ac:dyDescent="0.3">
      <c r="T194" s="21" t="s">
        <v>399</v>
      </c>
      <c r="U194" s="22" t="s">
        <v>398</v>
      </c>
      <c r="AB194" s="71" t="s">
        <v>663</v>
      </c>
      <c r="AC194" s="72" t="s">
        <v>662</v>
      </c>
      <c r="AD194" s="73" t="str">
        <f t="shared" si="17"/>
        <v>13-44</v>
      </c>
      <c r="AE194" s="74">
        <f t="shared" si="18"/>
        <v>44</v>
      </c>
      <c r="AF194" s="71" t="s">
        <v>707</v>
      </c>
      <c r="AG194" s="73" t="s">
        <v>1775</v>
      </c>
      <c r="AK194" s="3" t="str">
        <f t="shared" si="19"/>
        <v/>
      </c>
      <c r="AS194" s="3">
        <v>3312</v>
      </c>
      <c r="AT194" s="3">
        <v>304</v>
      </c>
      <c r="AU194" s="3" t="s">
        <v>3739</v>
      </c>
      <c r="AV194" s="3">
        <v>9.66</v>
      </c>
      <c r="AX194" s="3" t="s">
        <v>2493</v>
      </c>
      <c r="AY194" s="65" t="s">
        <v>2494</v>
      </c>
      <c r="BA194" s="108" t="s">
        <v>4131</v>
      </c>
      <c r="BB194" s="182">
        <v>1722001</v>
      </c>
    </row>
    <row r="195" spans="20:54" ht="15.75" thickBot="1" x14ac:dyDescent="0.3">
      <c r="T195" s="21" t="s">
        <v>401</v>
      </c>
      <c r="U195" s="22" t="s">
        <v>400</v>
      </c>
      <c r="AB195" s="71" t="s">
        <v>663</v>
      </c>
      <c r="AC195" s="72" t="s">
        <v>662</v>
      </c>
      <c r="AD195" s="73" t="str">
        <f t="shared" ref="AD195:AD258" si="20">CONCATENATE(AC195,"-",AE195)</f>
        <v>13-45</v>
      </c>
      <c r="AE195" s="74">
        <f t="shared" ref="AE195:AE258" si="21">IF(AB195=AB194,1+AE194,1)</f>
        <v>45</v>
      </c>
      <c r="AF195" s="71" t="s">
        <v>708</v>
      </c>
      <c r="AG195" s="73" t="s">
        <v>1819</v>
      </c>
      <c r="AK195" s="3" t="str">
        <f t="shared" si="19"/>
        <v/>
      </c>
      <c r="AS195" s="3">
        <v>3313</v>
      </c>
      <c r="AT195" s="3">
        <v>304</v>
      </c>
      <c r="AU195" s="3" t="s">
        <v>3392</v>
      </c>
      <c r="AV195" s="3">
        <v>9.66</v>
      </c>
      <c r="AX195" s="3" t="s">
        <v>2495</v>
      </c>
      <c r="AY195" s="65" t="s">
        <v>2496</v>
      </c>
      <c r="BA195" s="109" t="s">
        <v>4132</v>
      </c>
      <c r="BB195" s="183">
        <v>1723001</v>
      </c>
    </row>
    <row r="196" spans="20:54" ht="15.75" thickBot="1" x14ac:dyDescent="0.3">
      <c r="T196" s="21" t="s">
        <v>403</v>
      </c>
      <c r="U196" s="22" t="s">
        <v>402</v>
      </c>
      <c r="AB196" s="71" t="s">
        <v>710</v>
      </c>
      <c r="AC196" s="72" t="s">
        <v>709</v>
      </c>
      <c r="AD196" s="73" t="str">
        <f t="shared" si="20"/>
        <v>15-1</v>
      </c>
      <c r="AE196" s="74">
        <f t="shared" si="21"/>
        <v>1</v>
      </c>
      <c r="AF196" s="71" t="s">
        <v>711</v>
      </c>
      <c r="AG196" s="73" t="s">
        <v>334</v>
      </c>
      <c r="AK196" s="3" t="str">
        <f t="shared" si="19"/>
        <v/>
      </c>
      <c r="AS196" s="3">
        <v>3314</v>
      </c>
      <c r="AT196" s="3">
        <v>304</v>
      </c>
      <c r="AU196" s="3" t="s">
        <v>3740</v>
      </c>
      <c r="AV196" s="3">
        <v>9.66</v>
      </c>
      <c r="AX196" s="3" t="s">
        <v>2497</v>
      </c>
      <c r="AY196" s="65" t="s">
        <v>2498</v>
      </c>
      <c r="BA196" s="108" t="s">
        <v>4133</v>
      </c>
      <c r="BB196" s="182">
        <v>1724001</v>
      </c>
    </row>
    <row r="197" spans="20:54" ht="15.75" thickBot="1" x14ac:dyDescent="0.3">
      <c r="T197" s="21" t="s">
        <v>405</v>
      </c>
      <c r="U197" s="22" t="s">
        <v>404</v>
      </c>
      <c r="AB197" s="71" t="s">
        <v>710</v>
      </c>
      <c r="AC197" s="72" t="s">
        <v>709</v>
      </c>
      <c r="AD197" s="73" t="str">
        <f t="shared" si="20"/>
        <v>15-2</v>
      </c>
      <c r="AE197" s="74">
        <f t="shared" si="21"/>
        <v>2</v>
      </c>
      <c r="AF197" s="71" t="s">
        <v>712</v>
      </c>
      <c r="AG197" s="73" t="s">
        <v>1820</v>
      </c>
      <c r="AK197" s="3" t="str">
        <f t="shared" si="19"/>
        <v/>
      </c>
      <c r="AS197" s="3">
        <v>3315</v>
      </c>
      <c r="AT197" s="3">
        <v>304</v>
      </c>
      <c r="AU197" s="3" t="s">
        <v>3741</v>
      </c>
      <c r="AV197" s="3">
        <v>9.66</v>
      </c>
      <c r="AX197" s="3" t="s">
        <v>2499</v>
      </c>
      <c r="AY197" s="65" t="s">
        <v>2500</v>
      </c>
      <c r="BA197" s="109" t="s">
        <v>4134</v>
      </c>
      <c r="BB197" s="183">
        <v>1729001</v>
      </c>
    </row>
    <row r="198" spans="20:54" ht="15.75" thickBot="1" x14ac:dyDescent="0.3">
      <c r="T198" s="21" t="s">
        <v>407</v>
      </c>
      <c r="U198" s="22" t="s">
        <v>406</v>
      </c>
      <c r="AB198" s="71" t="s">
        <v>710</v>
      </c>
      <c r="AC198" s="72" t="s">
        <v>709</v>
      </c>
      <c r="AD198" s="73" t="str">
        <f t="shared" si="20"/>
        <v>15-3</v>
      </c>
      <c r="AE198" s="74">
        <f t="shared" si="21"/>
        <v>3</v>
      </c>
      <c r="AF198" s="71" t="s">
        <v>713</v>
      </c>
      <c r="AG198" s="73" t="s">
        <v>30</v>
      </c>
      <c r="AK198" s="3" t="str">
        <f t="shared" si="19"/>
        <v/>
      </c>
      <c r="AS198" s="3">
        <v>3319</v>
      </c>
      <c r="AT198" s="3">
        <v>304</v>
      </c>
      <c r="AU198" s="3" t="s">
        <v>2518</v>
      </c>
      <c r="AV198" s="3">
        <v>9.66</v>
      </c>
      <c r="AX198" s="3" t="s">
        <v>2501</v>
      </c>
      <c r="AY198" s="65" t="s">
        <v>2502</v>
      </c>
      <c r="BA198" s="108" t="s">
        <v>4135</v>
      </c>
      <c r="BB198" s="182">
        <v>1731001</v>
      </c>
    </row>
    <row r="199" spans="20:54" ht="30.75" thickBot="1" x14ac:dyDescent="0.3">
      <c r="T199" s="21" t="s">
        <v>409</v>
      </c>
      <c r="U199" s="22" t="s">
        <v>408</v>
      </c>
      <c r="AB199" s="71" t="s">
        <v>710</v>
      </c>
      <c r="AC199" s="72" t="s">
        <v>709</v>
      </c>
      <c r="AD199" s="73" t="str">
        <f t="shared" si="20"/>
        <v>15-4</v>
      </c>
      <c r="AE199" s="74">
        <f t="shared" si="21"/>
        <v>4</v>
      </c>
      <c r="AF199" s="71" t="s">
        <v>714</v>
      </c>
      <c r="AG199" s="73" t="s">
        <v>1697</v>
      </c>
      <c r="AK199" s="3" t="str">
        <f t="shared" si="19"/>
        <v/>
      </c>
      <c r="AS199" s="3">
        <v>3320</v>
      </c>
      <c r="AT199" s="3">
        <v>304</v>
      </c>
      <c r="AU199" s="3" t="s">
        <v>3742</v>
      </c>
      <c r="AV199" s="3">
        <v>9.66</v>
      </c>
      <c r="AX199" s="3" t="s">
        <v>2503</v>
      </c>
      <c r="AY199" s="65" t="s">
        <v>2504</v>
      </c>
      <c r="BA199" s="109" t="s">
        <v>4136</v>
      </c>
      <c r="BB199" s="183">
        <v>1732001</v>
      </c>
    </row>
    <row r="200" spans="20:54" ht="15.75" thickBot="1" x14ac:dyDescent="0.3">
      <c r="T200" s="21" t="s">
        <v>411</v>
      </c>
      <c r="U200" s="22" t="s">
        <v>410</v>
      </c>
      <c r="AB200" s="71" t="s">
        <v>710</v>
      </c>
      <c r="AC200" s="72" t="s">
        <v>709</v>
      </c>
      <c r="AD200" s="73" t="str">
        <f t="shared" si="20"/>
        <v>15-5</v>
      </c>
      <c r="AE200" s="74">
        <f t="shared" si="21"/>
        <v>5</v>
      </c>
      <c r="AF200" s="71" t="s">
        <v>715</v>
      </c>
      <c r="AG200" s="73" t="s">
        <v>56</v>
      </c>
      <c r="AK200" s="3" t="str">
        <f t="shared" si="19"/>
        <v/>
      </c>
      <c r="AS200" s="3">
        <v>3511</v>
      </c>
      <c r="AT200" s="3">
        <v>103</v>
      </c>
      <c r="AU200" s="3" t="s">
        <v>3289</v>
      </c>
      <c r="AV200" s="3">
        <v>11.04</v>
      </c>
      <c r="AX200" s="3" t="s">
        <v>2505</v>
      </c>
      <c r="AY200" s="65" t="s">
        <v>2506</v>
      </c>
      <c r="BA200" s="108" t="s">
        <v>4137</v>
      </c>
      <c r="BB200" s="182">
        <v>1741101</v>
      </c>
    </row>
    <row r="201" spans="20:54" ht="30.75" thickBot="1" x14ac:dyDescent="0.3">
      <c r="T201" s="21" t="s">
        <v>413</v>
      </c>
      <c r="U201" s="22" t="s">
        <v>412</v>
      </c>
      <c r="AB201" s="71" t="s">
        <v>710</v>
      </c>
      <c r="AC201" s="72" t="s">
        <v>709</v>
      </c>
      <c r="AD201" s="73" t="str">
        <f t="shared" si="20"/>
        <v>15-6</v>
      </c>
      <c r="AE201" s="74">
        <f t="shared" si="21"/>
        <v>6</v>
      </c>
      <c r="AF201" s="71" t="s">
        <v>716</v>
      </c>
      <c r="AG201" s="73" t="s">
        <v>64</v>
      </c>
      <c r="AK201" s="3" t="str">
        <f t="shared" si="19"/>
        <v/>
      </c>
      <c r="AS201" s="3">
        <v>3512</v>
      </c>
      <c r="AT201" s="3">
        <v>103</v>
      </c>
      <c r="AU201" s="3" t="s">
        <v>3290</v>
      </c>
      <c r="AV201" s="3">
        <v>11.04</v>
      </c>
      <c r="AX201" s="3" t="s">
        <v>2507</v>
      </c>
      <c r="AY201" s="65" t="s">
        <v>2508</v>
      </c>
      <c r="BA201" s="109" t="s">
        <v>4138</v>
      </c>
      <c r="BB201" s="183">
        <v>1741201</v>
      </c>
    </row>
    <row r="202" spans="20:54" ht="15.75" thickBot="1" x14ac:dyDescent="0.3">
      <c r="T202" s="21" t="s">
        <v>415</v>
      </c>
      <c r="U202" s="22" t="s">
        <v>414</v>
      </c>
      <c r="AB202" s="71" t="s">
        <v>710</v>
      </c>
      <c r="AC202" s="72" t="s">
        <v>709</v>
      </c>
      <c r="AD202" s="73" t="str">
        <f t="shared" si="20"/>
        <v>15-7</v>
      </c>
      <c r="AE202" s="74">
        <f t="shared" si="21"/>
        <v>7</v>
      </c>
      <c r="AF202" s="71" t="s">
        <v>717</v>
      </c>
      <c r="AG202" s="73" t="s">
        <v>1821</v>
      </c>
      <c r="AK202" s="3" t="str">
        <f t="shared" si="19"/>
        <v/>
      </c>
      <c r="AS202" s="3">
        <v>3513</v>
      </c>
      <c r="AT202" s="3">
        <v>304</v>
      </c>
      <c r="AU202" s="3" t="s">
        <v>3393</v>
      </c>
      <c r="AV202" s="3">
        <v>9.66</v>
      </c>
      <c r="AX202" s="3" t="s">
        <v>2509</v>
      </c>
      <c r="AY202" s="65" t="s">
        <v>2510</v>
      </c>
      <c r="BA202" s="108" t="s">
        <v>4139</v>
      </c>
      <c r="BB202" s="182">
        <v>1741301</v>
      </c>
    </row>
    <row r="203" spans="20:54" ht="30.75" thickBot="1" x14ac:dyDescent="0.3">
      <c r="T203" s="21" t="s">
        <v>417</v>
      </c>
      <c r="U203" s="22" t="s">
        <v>416</v>
      </c>
      <c r="AB203" s="71" t="s">
        <v>710</v>
      </c>
      <c r="AC203" s="72" t="s">
        <v>709</v>
      </c>
      <c r="AD203" s="73" t="str">
        <f t="shared" si="20"/>
        <v>15-8</v>
      </c>
      <c r="AE203" s="74">
        <f t="shared" si="21"/>
        <v>8</v>
      </c>
      <c r="AF203" s="71" t="s">
        <v>718</v>
      </c>
      <c r="AG203" s="73" t="s">
        <v>68</v>
      </c>
      <c r="AK203" s="3" t="str">
        <f t="shared" si="19"/>
        <v/>
      </c>
      <c r="AS203" s="3">
        <v>3514</v>
      </c>
      <c r="AT203" s="3">
        <v>204</v>
      </c>
      <c r="AU203" s="3" t="s">
        <v>3318</v>
      </c>
      <c r="AV203" s="3">
        <v>11.04</v>
      </c>
      <c r="AX203" s="3" t="s">
        <v>2511</v>
      </c>
      <c r="AY203" s="65" t="s">
        <v>2512</v>
      </c>
      <c r="BA203" s="109" t="s">
        <v>4140</v>
      </c>
      <c r="BB203" s="183">
        <v>1741401</v>
      </c>
    </row>
    <row r="204" spans="20:54" ht="15.75" thickBot="1" x14ac:dyDescent="0.3">
      <c r="T204" s="21" t="s">
        <v>419</v>
      </c>
      <c r="U204" s="22" t="s">
        <v>418</v>
      </c>
      <c r="AB204" s="71" t="s">
        <v>710</v>
      </c>
      <c r="AC204" s="72" t="s">
        <v>709</v>
      </c>
      <c r="AD204" s="73" t="str">
        <f t="shared" si="20"/>
        <v>15-9</v>
      </c>
      <c r="AE204" s="74">
        <f t="shared" si="21"/>
        <v>9</v>
      </c>
      <c r="AF204" s="71" t="s">
        <v>719</v>
      </c>
      <c r="AG204" s="73" t="s">
        <v>1822</v>
      </c>
      <c r="AK204" s="3" t="str">
        <f t="shared" si="19"/>
        <v/>
      </c>
      <c r="AS204" s="3">
        <v>3530</v>
      </c>
      <c r="AT204" s="3">
        <v>304</v>
      </c>
      <c r="AU204" s="3" t="s">
        <v>3394</v>
      </c>
      <c r="AV204" s="3">
        <v>9.66</v>
      </c>
      <c r="AX204" s="3" t="s">
        <v>2513</v>
      </c>
      <c r="AY204" s="65" t="s">
        <v>2514</v>
      </c>
      <c r="BA204" s="108" t="s">
        <v>4141</v>
      </c>
      <c r="BB204" s="182">
        <v>1742101</v>
      </c>
    </row>
    <row r="205" spans="20:54" ht="30.75" thickBot="1" x14ac:dyDescent="0.3">
      <c r="T205" s="21" t="s">
        <v>421</v>
      </c>
      <c r="U205" s="22" t="s">
        <v>420</v>
      </c>
      <c r="AB205" s="71" t="s">
        <v>710</v>
      </c>
      <c r="AC205" s="72" t="s">
        <v>709</v>
      </c>
      <c r="AD205" s="73" t="str">
        <f t="shared" si="20"/>
        <v>15-10</v>
      </c>
      <c r="AE205" s="74">
        <f t="shared" si="21"/>
        <v>10</v>
      </c>
      <c r="AF205" s="71" t="s">
        <v>534</v>
      </c>
      <c r="AG205" s="73" t="s">
        <v>1823</v>
      </c>
      <c r="AK205" s="3" t="str">
        <f t="shared" si="19"/>
        <v/>
      </c>
      <c r="AS205" s="3">
        <v>3700</v>
      </c>
      <c r="AT205" s="3">
        <v>304</v>
      </c>
      <c r="AU205" s="3" t="s">
        <v>3743</v>
      </c>
      <c r="AV205" s="3">
        <v>9.66</v>
      </c>
      <c r="AX205" s="3" t="s">
        <v>2515</v>
      </c>
      <c r="AY205" s="65" t="s">
        <v>2516</v>
      </c>
      <c r="BA205" s="109" t="s">
        <v>4142</v>
      </c>
      <c r="BB205" s="183">
        <v>1743001</v>
      </c>
    </row>
    <row r="206" spans="20:54" ht="30.75" thickBot="1" x14ac:dyDescent="0.3">
      <c r="T206" s="21" t="s">
        <v>423</v>
      </c>
      <c r="U206" s="22" t="s">
        <v>422</v>
      </c>
      <c r="AB206" s="71" t="s">
        <v>710</v>
      </c>
      <c r="AC206" s="72" t="s">
        <v>709</v>
      </c>
      <c r="AD206" s="73" t="str">
        <f t="shared" si="20"/>
        <v>15-11</v>
      </c>
      <c r="AE206" s="74">
        <f t="shared" si="21"/>
        <v>11</v>
      </c>
      <c r="AF206" s="71" t="s">
        <v>720</v>
      </c>
      <c r="AG206" s="73" t="s">
        <v>1824</v>
      </c>
      <c r="AK206" s="3" t="str">
        <f t="shared" si="19"/>
        <v/>
      </c>
      <c r="AS206" s="3">
        <v>3811</v>
      </c>
      <c r="AT206" s="3">
        <v>304</v>
      </c>
      <c r="AU206" s="3" t="s">
        <v>3395</v>
      </c>
      <c r="AV206" s="3">
        <v>9.66</v>
      </c>
      <c r="AX206" s="3" t="s">
        <v>2517</v>
      </c>
      <c r="AY206" s="65" t="s">
        <v>2518</v>
      </c>
      <c r="BA206" s="108" t="s">
        <v>4143</v>
      </c>
      <c r="BB206" s="182">
        <v>1749001</v>
      </c>
    </row>
    <row r="207" spans="20:54" ht="15.75" thickBot="1" x14ac:dyDescent="0.3">
      <c r="T207" s="21" t="s">
        <v>425</v>
      </c>
      <c r="U207" s="22" t="s">
        <v>424</v>
      </c>
      <c r="AB207" s="71" t="s">
        <v>710</v>
      </c>
      <c r="AC207" s="72" t="s">
        <v>709</v>
      </c>
      <c r="AD207" s="73" t="str">
        <f t="shared" si="20"/>
        <v>15-12</v>
      </c>
      <c r="AE207" s="74">
        <f t="shared" si="21"/>
        <v>12</v>
      </c>
      <c r="AF207" s="71" t="s">
        <v>721</v>
      </c>
      <c r="AG207" s="73" t="s">
        <v>1825</v>
      </c>
      <c r="AK207" s="3" t="str">
        <f t="shared" si="19"/>
        <v/>
      </c>
      <c r="AS207" s="3">
        <v>3812</v>
      </c>
      <c r="AT207" s="3">
        <v>304</v>
      </c>
      <c r="AU207" s="3" t="s">
        <v>3396</v>
      </c>
      <c r="AV207" s="3">
        <v>9.66</v>
      </c>
      <c r="AX207" s="3" t="s">
        <v>2519</v>
      </c>
      <c r="AY207" s="65" t="s">
        <v>2520</v>
      </c>
      <c r="BA207" s="109" t="s">
        <v>4144</v>
      </c>
      <c r="BB207" s="183">
        <v>1749101</v>
      </c>
    </row>
    <row r="208" spans="20:54" ht="15.75" thickBot="1" x14ac:dyDescent="0.3">
      <c r="T208" s="21" t="s">
        <v>427</v>
      </c>
      <c r="U208" s="22" t="s">
        <v>426</v>
      </c>
      <c r="AB208" s="71" t="s">
        <v>710</v>
      </c>
      <c r="AC208" s="72" t="s">
        <v>709</v>
      </c>
      <c r="AD208" s="73" t="str">
        <f t="shared" si="20"/>
        <v>15-13</v>
      </c>
      <c r="AE208" s="74">
        <f t="shared" si="21"/>
        <v>13</v>
      </c>
      <c r="AF208" s="71" t="s">
        <v>538</v>
      </c>
      <c r="AG208" s="73" t="s">
        <v>1826</v>
      </c>
      <c r="AK208" s="3" t="str">
        <f t="shared" si="19"/>
        <v/>
      </c>
      <c r="AS208" s="3">
        <v>3821</v>
      </c>
      <c r="AT208" s="3">
        <v>103</v>
      </c>
      <c r="AU208" s="3" t="s">
        <v>3291</v>
      </c>
      <c r="AV208" s="3">
        <v>11.04</v>
      </c>
      <c r="AX208" s="3" t="s">
        <v>2521</v>
      </c>
      <c r="AY208" s="65" t="s">
        <v>2522</v>
      </c>
      <c r="BA208" s="108" t="s">
        <v>4145</v>
      </c>
      <c r="BB208" s="182">
        <v>1749901</v>
      </c>
    </row>
    <row r="209" spans="20:54" ht="15.75" thickBot="1" x14ac:dyDescent="0.3">
      <c r="T209" s="21" t="s">
        <v>429</v>
      </c>
      <c r="U209" s="22" t="s">
        <v>428</v>
      </c>
      <c r="AB209" s="71" t="s">
        <v>710</v>
      </c>
      <c r="AC209" s="72" t="s">
        <v>709</v>
      </c>
      <c r="AD209" s="73" t="str">
        <f t="shared" si="20"/>
        <v>15-14</v>
      </c>
      <c r="AE209" s="74">
        <f t="shared" si="21"/>
        <v>14</v>
      </c>
      <c r="AF209" s="71" t="s">
        <v>722</v>
      </c>
      <c r="AG209" s="73" t="s">
        <v>1827</v>
      </c>
      <c r="AK209" s="3" t="str">
        <f t="shared" si="19"/>
        <v/>
      </c>
      <c r="AS209" s="3">
        <v>3822</v>
      </c>
      <c r="AT209" s="3">
        <v>103</v>
      </c>
      <c r="AU209" s="3" t="s">
        <v>3292</v>
      </c>
      <c r="AV209" s="3">
        <v>11.04</v>
      </c>
      <c r="AX209" s="3" t="s">
        <v>2523</v>
      </c>
      <c r="AY209" s="65" t="s">
        <v>2524</v>
      </c>
      <c r="BA209" s="109" t="s">
        <v>4146</v>
      </c>
      <c r="BB209" s="183">
        <v>1751101</v>
      </c>
    </row>
    <row r="210" spans="20:54" ht="15.75" thickBot="1" x14ac:dyDescent="0.3">
      <c r="T210" s="21" t="s">
        <v>431</v>
      </c>
      <c r="U210" s="22" t="s">
        <v>430</v>
      </c>
      <c r="AB210" s="71" t="s">
        <v>710</v>
      </c>
      <c r="AC210" s="72" t="s">
        <v>709</v>
      </c>
      <c r="AD210" s="73" t="str">
        <f t="shared" si="20"/>
        <v>15-15</v>
      </c>
      <c r="AE210" s="74">
        <f t="shared" si="21"/>
        <v>15</v>
      </c>
      <c r="AF210" s="71" t="s">
        <v>723</v>
      </c>
      <c r="AG210" s="73" t="s">
        <v>1828</v>
      </c>
      <c r="AK210" s="3" t="str">
        <f t="shared" si="19"/>
        <v/>
      </c>
      <c r="AS210" s="3">
        <v>3830</v>
      </c>
      <c r="AT210" s="3">
        <v>103</v>
      </c>
      <c r="AU210" s="3" t="s">
        <v>3293</v>
      </c>
      <c r="AV210" s="3">
        <v>11.04</v>
      </c>
      <c r="AX210" s="3" t="s">
        <v>2525</v>
      </c>
      <c r="AY210" s="65" t="s">
        <v>2526</v>
      </c>
      <c r="BA210" s="108" t="s">
        <v>4147</v>
      </c>
      <c r="BB210" s="182">
        <v>1751201</v>
      </c>
    </row>
    <row r="211" spans="20:54" ht="15.75" thickBot="1" x14ac:dyDescent="0.3">
      <c r="T211" s="21" t="s">
        <v>433</v>
      </c>
      <c r="U211" s="22" t="s">
        <v>432</v>
      </c>
      <c r="AB211" s="71" t="s">
        <v>710</v>
      </c>
      <c r="AC211" s="72" t="s">
        <v>709</v>
      </c>
      <c r="AD211" s="73" t="str">
        <f t="shared" si="20"/>
        <v>15-16</v>
      </c>
      <c r="AE211" s="74">
        <f t="shared" si="21"/>
        <v>16</v>
      </c>
      <c r="AF211" s="71" t="s">
        <v>724</v>
      </c>
      <c r="AG211" s="73" t="s">
        <v>1713</v>
      </c>
      <c r="AK211" s="3" t="str">
        <f t="shared" si="19"/>
        <v/>
      </c>
      <c r="AS211" s="3">
        <v>4111</v>
      </c>
      <c r="AT211" s="3">
        <v>302</v>
      </c>
      <c r="AU211" s="3" t="s">
        <v>3353</v>
      </c>
      <c r="AV211" s="3">
        <v>6.9</v>
      </c>
      <c r="AX211" s="3" t="s">
        <v>2527</v>
      </c>
      <c r="AY211" s="65" t="s">
        <v>2528</v>
      </c>
      <c r="BA211" s="109" t="s">
        <v>4148</v>
      </c>
      <c r="BB211" s="183">
        <v>1751301</v>
      </c>
    </row>
    <row r="212" spans="20:54" ht="30.75" thickBot="1" x14ac:dyDescent="0.3">
      <c r="T212" s="21" t="s">
        <v>435</v>
      </c>
      <c r="U212" s="22" t="s">
        <v>434</v>
      </c>
      <c r="AB212" s="71" t="s">
        <v>710</v>
      </c>
      <c r="AC212" s="72" t="s">
        <v>709</v>
      </c>
      <c r="AD212" s="73" t="str">
        <f t="shared" si="20"/>
        <v>15-17</v>
      </c>
      <c r="AE212" s="74">
        <f t="shared" si="21"/>
        <v>17</v>
      </c>
      <c r="AF212" s="71" t="s">
        <v>725</v>
      </c>
      <c r="AG212" s="73" t="s">
        <v>1829</v>
      </c>
      <c r="AK212" s="3" t="str">
        <f t="shared" si="19"/>
        <v/>
      </c>
      <c r="AS212" s="3">
        <v>4112</v>
      </c>
      <c r="AT212" s="3">
        <v>302</v>
      </c>
      <c r="AU212" s="3" t="s">
        <v>3354</v>
      </c>
      <c r="AV212" s="3">
        <v>6.9</v>
      </c>
      <c r="AX212" s="3" t="s">
        <v>2529</v>
      </c>
      <c r="AY212" s="65" t="s">
        <v>2530</v>
      </c>
      <c r="BA212" s="108" t="s">
        <v>4149</v>
      </c>
      <c r="BB212" s="182">
        <v>1751401</v>
      </c>
    </row>
    <row r="213" spans="20:54" ht="15.75" thickBot="1" x14ac:dyDescent="0.3">
      <c r="T213" s="21" t="s">
        <v>437</v>
      </c>
      <c r="U213" s="22" t="s">
        <v>436</v>
      </c>
      <c r="AB213" s="71" t="s">
        <v>710</v>
      </c>
      <c r="AC213" s="72" t="s">
        <v>709</v>
      </c>
      <c r="AD213" s="73" t="str">
        <f t="shared" si="20"/>
        <v>15-18</v>
      </c>
      <c r="AE213" s="74">
        <f t="shared" si="21"/>
        <v>18</v>
      </c>
      <c r="AF213" s="71" t="s">
        <v>726</v>
      </c>
      <c r="AG213" s="73" t="s">
        <v>1830</v>
      </c>
      <c r="AK213" s="3" t="str">
        <f t="shared" si="19"/>
        <v/>
      </c>
      <c r="AS213" s="3">
        <v>4210</v>
      </c>
      <c r="AT213" s="3">
        <v>302</v>
      </c>
      <c r="AU213" s="3" t="s">
        <v>3355</v>
      </c>
      <c r="AV213" s="3">
        <v>7.6</v>
      </c>
      <c r="AX213" s="3" t="s">
        <v>2531</v>
      </c>
      <c r="AY213" s="65" t="s">
        <v>2532</v>
      </c>
      <c r="BA213" s="109" t="s">
        <v>4150</v>
      </c>
      <c r="BB213" s="183">
        <v>1751501</v>
      </c>
    </row>
    <row r="214" spans="20:54" ht="15.75" thickBot="1" x14ac:dyDescent="0.3">
      <c r="T214" s="21" t="s">
        <v>439</v>
      </c>
      <c r="U214" s="22" t="s">
        <v>438</v>
      </c>
      <c r="AB214" s="71" t="s">
        <v>710</v>
      </c>
      <c r="AC214" s="72" t="s">
        <v>709</v>
      </c>
      <c r="AD214" s="73" t="str">
        <f t="shared" si="20"/>
        <v>15-19</v>
      </c>
      <c r="AE214" s="74">
        <f t="shared" si="21"/>
        <v>19</v>
      </c>
      <c r="AF214" s="71" t="s">
        <v>727</v>
      </c>
      <c r="AG214" s="73" t="s">
        <v>118</v>
      </c>
      <c r="AK214" s="3" t="str">
        <f t="shared" si="19"/>
        <v/>
      </c>
      <c r="AS214" s="3">
        <v>4220</v>
      </c>
      <c r="AT214" s="3">
        <v>302</v>
      </c>
      <c r="AU214" s="3" t="s">
        <v>3356</v>
      </c>
      <c r="AV214" s="3">
        <v>7.6</v>
      </c>
      <c r="AX214" s="3" t="s">
        <v>2533</v>
      </c>
      <c r="AY214" s="65" t="s">
        <v>2534</v>
      </c>
      <c r="BA214" s="108" t="s">
        <v>4151</v>
      </c>
      <c r="BB214" s="182">
        <v>1752101</v>
      </c>
    </row>
    <row r="215" spans="20:54" ht="15.75" thickBot="1" x14ac:dyDescent="0.3">
      <c r="T215" s="21" t="s">
        <v>441</v>
      </c>
      <c r="U215" s="22" t="s">
        <v>440</v>
      </c>
      <c r="AB215" s="71" t="s">
        <v>710</v>
      </c>
      <c r="AC215" s="72" t="s">
        <v>709</v>
      </c>
      <c r="AD215" s="73" t="str">
        <f t="shared" si="20"/>
        <v>15-20</v>
      </c>
      <c r="AE215" s="74">
        <f t="shared" si="21"/>
        <v>20</v>
      </c>
      <c r="AF215" s="71" t="s">
        <v>728</v>
      </c>
      <c r="AG215" s="73" t="s">
        <v>1831</v>
      </c>
      <c r="AK215" s="3" t="str">
        <f t="shared" si="19"/>
        <v/>
      </c>
      <c r="AS215" s="3">
        <v>4290</v>
      </c>
      <c r="AT215" s="3">
        <v>302</v>
      </c>
      <c r="AU215" s="3" t="s">
        <v>3357</v>
      </c>
      <c r="AV215" s="3">
        <v>7.6</v>
      </c>
      <c r="AX215" s="3" t="s">
        <v>2535</v>
      </c>
      <c r="AY215" s="65" t="s">
        <v>2536</v>
      </c>
      <c r="BA215" s="109" t="s">
        <v>3895</v>
      </c>
      <c r="BB215" s="183">
        <v>1772201</v>
      </c>
    </row>
    <row r="216" spans="20:54" ht="15.75" thickBot="1" x14ac:dyDescent="0.3">
      <c r="T216" s="21" t="s">
        <v>443</v>
      </c>
      <c r="U216" s="22" t="s">
        <v>442</v>
      </c>
      <c r="AB216" s="71" t="s">
        <v>710</v>
      </c>
      <c r="AC216" s="72" t="s">
        <v>709</v>
      </c>
      <c r="AD216" s="73" t="str">
        <f t="shared" si="20"/>
        <v>15-21</v>
      </c>
      <c r="AE216" s="74">
        <f t="shared" si="21"/>
        <v>21</v>
      </c>
      <c r="AF216" s="71" t="s">
        <v>729</v>
      </c>
      <c r="AG216" s="73" t="s">
        <v>120</v>
      </c>
      <c r="AK216" s="3" t="str">
        <f t="shared" si="19"/>
        <v/>
      </c>
      <c r="AS216" s="3">
        <v>4311</v>
      </c>
      <c r="AT216" s="3">
        <v>302</v>
      </c>
      <c r="AU216" s="3" t="s">
        <v>3358</v>
      </c>
      <c r="AV216" s="3">
        <v>6.9</v>
      </c>
      <c r="AX216" s="3" t="s">
        <v>2537</v>
      </c>
      <c r="AY216" s="65" t="s">
        <v>2538</v>
      </c>
      <c r="BA216" s="108" t="s">
        <v>4152</v>
      </c>
      <c r="BB216" s="182">
        <v>1772901</v>
      </c>
    </row>
    <row r="217" spans="20:54" ht="15.75" thickBot="1" x14ac:dyDescent="0.3">
      <c r="T217" s="21" t="s">
        <v>445</v>
      </c>
      <c r="U217" s="22" t="s">
        <v>444</v>
      </c>
      <c r="AB217" s="71" t="s">
        <v>710</v>
      </c>
      <c r="AC217" s="72" t="s">
        <v>709</v>
      </c>
      <c r="AD217" s="73" t="str">
        <f t="shared" si="20"/>
        <v>15-22</v>
      </c>
      <c r="AE217" s="74">
        <f t="shared" si="21"/>
        <v>22</v>
      </c>
      <c r="AF217" s="71" t="s">
        <v>730</v>
      </c>
      <c r="AG217" s="73" t="s">
        <v>1832</v>
      </c>
      <c r="AK217" s="3" t="str">
        <f t="shared" si="19"/>
        <v/>
      </c>
      <c r="AS217" s="3">
        <v>4312</v>
      </c>
      <c r="AT217" s="3">
        <v>302</v>
      </c>
      <c r="AU217" s="3" t="s">
        <v>3359</v>
      </c>
      <c r="AV217" s="3">
        <v>6.9</v>
      </c>
      <c r="AX217" s="3" t="s">
        <v>2539</v>
      </c>
      <c r="AY217" s="65" t="s">
        <v>2540</v>
      </c>
      <c r="BA217" s="109" t="s">
        <v>4153</v>
      </c>
      <c r="BB217" s="183">
        <v>1772902</v>
      </c>
    </row>
    <row r="218" spans="20:54" ht="15.75" thickBot="1" x14ac:dyDescent="0.3">
      <c r="T218" s="21" t="s">
        <v>447</v>
      </c>
      <c r="U218" s="22" t="s">
        <v>446</v>
      </c>
      <c r="AB218" s="71" t="s">
        <v>710</v>
      </c>
      <c r="AC218" s="72" t="s">
        <v>709</v>
      </c>
      <c r="AD218" s="73" t="str">
        <f t="shared" si="20"/>
        <v>15-23</v>
      </c>
      <c r="AE218" s="74">
        <f t="shared" si="21"/>
        <v>23</v>
      </c>
      <c r="AF218" s="71" t="s">
        <v>731</v>
      </c>
      <c r="AG218" s="73" t="s">
        <v>1833</v>
      </c>
      <c r="AK218" s="3" t="str">
        <f t="shared" si="19"/>
        <v/>
      </c>
      <c r="AS218" s="3">
        <v>4321</v>
      </c>
      <c r="AT218" s="3">
        <v>302</v>
      </c>
      <c r="AU218" s="3" t="s">
        <v>3360</v>
      </c>
      <c r="AV218" s="3">
        <v>6.9</v>
      </c>
      <c r="AX218" s="3" t="s">
        <v>2541</v>
      </c>
      <c r="AY218" s="65" t="s">
        <v>2542</v>
      </c>
      <c r="BA218" s="108" t="s">
        <v>4154</v>
      </c>
      <c r="BB218" s="182">
        <v>1774001</v>
      </c>
    </row>
    <row r="219" spans="20:54" ht="15.75" thickBot="1" x14ac:dyDescent="0.3">
      <c r="T219" s="21" t="s">
        <v>449</v>
      </c>
      <c r="U219" s="22" t="s">
        <v>448</v>
      </c>
      <c r="AB219" s="71" t="s">
        <v>710</v>
      </c>
      <c r="AC219" s="72" t="s">
        <v>709</v>
      </c>
      <c r="AD219" s="73" t="str">
        <f t="shared" si="20"/>
        <v>15-24</v>
      </c>
      <c r="AE219" s="74">
        <f t="shared" si="21"/>
        <v>24</v>
      </c>
      <c r="AF219" s="71" t="s">
        <v>732</v>
      </c>
      <c r="AG219" s="73" t="s">
        <v>1717</v>
      </c>
      <c r="AK219" s="3" t="str">
        <f t="shared" si="19"/>
        <v/>
      </c>
      <c r="AS219" s="3">
        <v>4322</v>
      </c>
      <c r="AT219" s="3">
        <v>302</v>
      </c>
      <c r="AU219" s="3" t="s">
        <v>3744</v>
      </c>
      <c r="AV219" s="3">
        <v>6.9</v>
      </c>
      <c r="AX219" s="3" t="s">
        <v>2543</v>
      </c>
      <c r="AY219" s="65" t="s">
        <v>2544</v>
      </c>
      <c r="BA219" s="109" t="s">
        <v>4155</v>
      </c>
      <c r="BB219" s="183">
        <v>1781001</v>
      </c>
    </row>
    <row r="220" spans="20:54" ht="15.75" thickBot="1" x14ac:dyDescent="0.3">
      <c r="T220" s="21" t="s">
        <v>451</v>
      </c>
      <c r="U220" s="22" t="s">
        <v>450</v>
      </c>
      <c r="AB220" s="71" t="s">
        <v>710</v>
      </c>
      <c r="AC220" s="72" t="s">
        <v>709</v>
      </c>
      <c r="AD220" s="73" t="str">
        <f t="shared" si="20"/>
        <v>15-25</v>
      </c>
      <c r="AE220" s="74">
        <f t="shared" si="21"/>
        <v>25</v>
      </c>
      <c r="AF220" s="71" t="s">
        <v>733</v>
      </c>
      <c r="AG220" s="73" t="s">
        <v>102</v>
      </c>
      <c r="AK220" s="3" t="str">
        <f t="shared" si="19"/>
        <v/>
      </c>
      <c r="AS220" s="3">
        <v>4329</v>
      </c>
      <c r="AT220" s="3">
        <v>302</v>
      </c>
      <c r="AU220" s="3" t="s">
        <v>3361</v>
      </c>
      <c r="AV220" s="3">
        <v>6.9</v>
      </c>
      <c r="AX220" s="3" t="s">
        <v>2545</v>
      </c>
      <c r="AY220" s="65" t="s">
        <v>2546</v>
      </c>
      <c r="BA220" s="108" t="s">
        <v>4156</v>
      </c>
      <c r="BB220" s="182">
        <v>1781002</v>
      </c>
    </row>
    <row r="221" spans="20:54" ht="30.75" thickBot="1" x14ac:dyDescent="0.3">
      <c r="T221" s="21" t="s">
        <v>453</v>
      </c>
      <c r="U221" s="22" t="s">
        <v>452</v>
      </c>
      <c r="AB221" s="71" t="s">
        <v>710</v>
      </c>
      <c r="AC221" s="72" t="s">
        <v>709</v>
      </c>
      <c r="AD221" s="73" t="str">
        <f t="shared" si="20"/>
        <v>15-26</v>
      </c>
      <c r="AE221" s="74">
        <f t="shared" si="21"/>
        <v>26</v>
      </c>
      <c r="AF221" s="71" t="s">
        <v>734</v>
      </c>
      <c r="AG221" s="73" t="s">
        <v>448</v>
      </c>
      <c r="AK221" s="3" t="str">
        <f t="shared" si="19"/>
        <v/>
      </c>
      <c r="AS221" s="3">
        <v>4330</v>
      </c>
      <c r="AT221" s="3">
        <v>302</v>
      </c>
      <c r="AU221" s="3" t="s">
        <v>3745</v>
      </c>
      <c r="AV221" s="3">
        <v>7.6</v>
      </c>
      <c r="AX221" s="3" t="s">
        <v>2547</v>
      </c>
      <c r="AY221" s="65" t="s">
        <v>2548</v>
      </c>
      <c r="BA221" s="109" t="s">
        <v>4157</v>
      </c>
      <c r="BB221" s="183">
        <v>1791101</v>
      </c>
    </row>
    <row r="222" spans="20:54" ht="15.75" thickBot="1" x14ac:dyDescent="0.3">
      <c r="T222" s="21" t="s">
        <v>455</v>
      </c>
      <c r="U222" s="22" t="s">
        <v>454</v>
      </c>
      <c r="AB222" s="71" t="s">
        <v>710</v>
      </c>
      <c r="AC222" s="72" t="s">
        <v>709</v>
      </c>
      <c r="AD222" s="73" t="str">
        <f t="shared" si="20"/>
        <v>15-27</v>
      </c>
      <c r="AE222" s="74">
        <f t="shared" si="21"/>
        <v>27</v>
      </c>
      <c r="AF222" s="71" t="s">
        <v>735</v>
      </c>
      <c r="AG222" s="73" t="s">
        <v>1834</v>
      </c>
      <c r="AK222" s="3" t="str">
        <f t="shared" si="19"/>
        <v/>
      </c>
      <c r="AS222" s="3">
        <v>4390</v>
      </c>
      <c r="AT222" s="3">
        <v>302</v>
      </c>
      <c r="AU222" s="3" t="s">
        <v>3746</v>
      </c>
      <c r="AV222" s="3">
        <v>7.6</v>
      </c>
      <c r="AX222" s="3" t="s">
        <v>2549</v>
      </c>
      <c r="AY222" s="65" t="s">
        <v>2550</v>
      </c>
      <c r="BA222" s="108" t="s">
        <v>4158</v>
      </c>
      <c r="BB222" s="182">
        <v>1791201</v>
      </c>
    </row>
    <row r="223" spans="20:54" ht="15.75" thickBot="1" x14ac:dyDescent="0.3">
      <c r="T223" s="21" t="s">
        <v>457</v>
      </c>
      <c r="U223" s="22" t="s">
        <v>456</v>
      </c>
      <c r="AB223" s="71" t="s">
        <v>710</v>
      </c>
      <c r="AC223" s="72" t="s">
        <v>709</v>
      </c>
      <c r="AD223" s="73" t="str">
        <f t="shared" si="20"/>
        <v>15-28</v>
      </c>
      <c r="AE223" s="74">
        <f t="shared" si="21"/>
        <v>28</v>
      </c>
      <c r="AF223" s="71" t="s">
        <v>736</v>
      </c>
      <c r="AG223" s="73" t="s">
        <v>1835</v>
      </c>
      <c r="AK223" s="3" t="str">
        <f t="shared" si="19"/>
        <v/>
      </c>
      <c r="AS223" s="3">
        <v>4511</v>
      </c>
      <c r="AT223" s="3">
        <v>202</v>
      </c>
      <c r="AU223" s="3" t="s">
        <v>3309</v>
      </c>
      <c r="AV223" s="3">
        <v>6.9</v>
      </c>
      <c r="AX223" s="3" t="s">
        <v>2551</v>
      </c>
      <c r="AY223" s="65" t="s">
        <v>2552</v>
      </c>
      <c r="BA223" s="109" t="s">
        <v>4159</v>
      </c>
      <c r="BB223" s="183">
        <v>1799001</v>
      </c>
    </row>
    <row r="224" spans="20:54" ht="15.75" thickBot="1" x14ac:dyDescent="0.3">
      <c r="T224" s="21" t="s">
        <v>459</v>
      </c>
      <c r="U224" s="22" t="s">
        <v>458</v>
      </c>
      <c r="AB224" s="71" t="s">
        <v>710</v>
      </c>
      <c r="AC224" s="72" t="s">
        <v>709</v>
      </c>
      <c r="AD224" s="73" t="str">
        <f t="shared" si="20"/>
        <v>15-29</v>
      </c>
      <c r="AE224" s="74">
        <f t="shared" si="21"/>
        <v>29</v>
      </c>
      <c r="AF224" s="71" t="s">
        <v>737</v>
      </c>
      <c r="AG224" s="73" t="s">
        <v>1836</v>
      </c>
      <c r="AK224" s="3" t="str">
        <f t="shared" si="19"/>
        <v/>
      </c>
      <c r="AS224" s="3">
        <v>4512</v>
      </c>
      <c r="AT224" s="3">
        <v>202</v>
      </c>
      <c r="AU224" s="3" t="s">
        <v>3310</v>
      </c>
      <c r="AV224" s="3">
        <v>6.9</v>
      </c>
      <c r="AX224" s="3" t="s">
        <v>2553</v>
      </c>
      <c r="AY224" s="65" t="s">
        <v>2554</v>
      </c>
      <c r="BA224" s="108" t="s">
        <v>4160</v>
      </c>
      <c r="BB224" s="182">
        <v>1799002</v>
      </c>
    </row>
    <row r="225" spans="20:54" ht="15.75" thickBot="1" x14ac:dyDescent="0.3">
      <c r="T225" s="21" t="s">
        <v>461</v>
      </c>
      <c r="U225" s="22" t="s">
        <v>460</v>
      </c>
      <c r="AB225" s="71" t="s">
        <v>710</v>
      </c>
      <c r="AC225" s="72" t="s">
        <v>709</v>
      </c>
      <c r="AD225" s="73" t="str">
        <f t="shared" si="20"/>
        <v>15-30</v>
      </c>
      <c r="AE225" s="74">
        <f t="shared" si="21"/>
        <v>30</v>
      </c>
      <c r="AF225" s="71" t="s">
        <v>738</v>
      </c>
      <c r="AG225" s="73" t="s">
        <v>134</v>
      </c>
      <c r="AK225" s="3" t="str">
        <f t="shared" si="19"/>
        <v/>
      </c>
      <c r="AS225" s="3">
        <v>4520</v>
      </c>
      <c r="AT225" s="3">
        <v>304</v>
      </c>
      <c r="AU225" s="3" t="s">
        <v>2578</v>
      </c>
      <c r="AV225" s="3">
        <v>9.66</v>
      </c>
      <c r="AX225" s="3" t="s">
        <v>2555</v>
      </c>
      <c r="AY225" s="65" t="s">
        <v>2556</v>
      </c>
      <c r="BA225" s="109" t="s">
        <v>4161</v>
      </c>
      <c r="BB225" s="183">
        <v>1801101</v>
      </c>
    </row>
    <row r="226" spans="20:54" ht="15.75" thickBot="1" x14ac:dyDescent="0.3">
      <c r="T226" s="21" t="s">
        <v>463</v>
      </c>
      <c r="U226" s="22" t="s">
        <v>462</v>
      </c>
      <c r="AB226" s="71" t="s">
        <v>710</v>
      </c>
      <c r="AC226" s="72" t="s">
        <v>709</v>
      </c>
      <c r="AD226" s="73" t="str">
        <f t="shared" si="20"/>
        <v>15-31</v>
      </c>
      <c r="AE226" s="74">
        <f t="shared" si="21"/>
        <v>31</v>
      </c>
      <c r="AF226" s="71" t="s">
        <v>739</v>
      </c>
      <c r="AG226" s="73" t="s">
        <v>1837</v>
      </c>
      <c r="AK226" s="3" t="str">
        <f t="shared" si="19"/>
        <v/>
      </c>
      <c r="AS226" s="3">
        <v>4530</v>
      </c>
      <c r="AT226" s="3">
        <v>204</v>
      </c>
      <c r="AU226" s="3" t="s">
        <v>3747</v>
      </c>
      <c r="AV226" s="3">
        <v>11.04</v>
      </c>
      <c r="AX226" s="3" t="s">
        <v>2557</v>
      </c>
      <c r="AY226" s="65" t="s">
        <v>2558</v>
      </c>
      <c r="BA226" s="108" t="s">
        <v>4162</v>
      </c>
      <c r="BB226" s="182">
        <v>1801201</v>
      </c>
    </row>
    <row r="227" spans="20:54" ht="15.75" thickBot="1" x14ac:dyDescent="0.3">
      <c r="T227" s="21" t="s">
        <v>465</v>
      </c>
      <c r="U227" s="22" t="s">
        <v>464</v>
      </c>
      <c r="AB227" s="71" t="s">
        <v>710</v>
      </c>
      <c r="AC227" s="72" t="s">
        <v>709</v>
      </c>
      <c r="AD227" s="73" t="str">
        <f t="shared" si="20"/>
        <v>15-32</v>
      </c>
      <c r="AE227" s="74">
        <f t="shared" si="21"/>
        <v>32</v>
      </c>
      <c r="AF227" s="71" t="s">
        <v>740</v>
      </c>
      <c r="AG227" s="73" t="s">
        <v>1838</v>
      </c>
      <c r="AK227" s="3" t="str">
        <f t="shared" si="19"/>
        <v/>
      </c>
      <c r="AS227" s="3">
        <v>4542</v>
      </c>
      <c r="AT227" s="3">
        <v>304</v>
      </c>
      <c r="AU227" s="3" t="s">
        <v>3748</v>
      </c>
      <c r="AV227" s="3">
        <v>9.66</v>
      </c>
      <c r="AX227" s="3" t="s">
        <v>2559</v>
      </c>
      <c r="AY227" s="65" t="s">
        <v>2560</v>
      </c>
      <c r="BA227" s="109" t="s">
        <v>4163</v>
      </c>
      <c r="BB227" s="183">
        <v>1802101</v>
      </c>
    </row>
    <row r="228" spans="20:54" ht="15.75" thickBot="1" x14ac:dyDescent="0.3">
      <c r="T228" s="21" t="s">
        <v>467</v>
      </c>
      <c r="U228" s="22" t="s">
        <v>466</v>
      </c>
      <c r="AB228" s="71" t="s">
        <v>710</v>
      </c>
      <c r="AC228" s="72" t="s">
        <v>709</v>
      </c>
      <c r="AD228" s="73" t="str">
        <f t="shared" si="20"/>
        <v>15-33</v>
      </c>
      <c r="AE228" s="74">
        <f t="shared" si="21"/>
        <v>33</v>
      </c>
      <c r="AF228" s="71" t="s">
        <v>741</v>
      </c>
      <c r="AG228" s="73" t="s">
        <v>146</v>
      </c>
      <c r="AK228" s="3" t="str">
        <f t="shared" si="19"/>
        <v/>
      </c>
      <c r="AS228" s="3">
        <v>4610</v>
      </c>
      <c r="AT228" s="3">
        <v>304</v>
      </c>
      <c r="AU228" s="3" t="s">
        <v>3397</v>
      </c>
      <c r="AV228" s="3">
        <v>9.66</v>
      </c>
      <c r="AX228" s="3" t="s">
        <v>2561</v>
      </c>
      <c r="AY228" s="65" t="s">
        <v>2562</v>
      </c>
      <c r="BA228" s="108" t="s">
        <v>4164</v>
      </c>
      <c r="BB228" s="182">
        <v>1802201</v>
      </c>
    </row>
    <row r="229" spans="20:54" ht="15.75" thickBot="1" x14ac:dyDescent="0.3">
      <c r="T229" s="21" t="s">
        <v>469</v>
      </c>
      <c r="U229" s="22" t="s">
        <v>468</v>
      </c>
      <c r="AB229" s="71" t="s">
        <v>710</v>
      </c>
      <c r="AC229" s="72" t="s">
        <v>709</v>
      </c>
      <c r="AD229" s="73" t="str">
        <f t="shared" si="20"/>
        <v>15-34</v>
      </c>
      <c r="AE229" s="74">
        <f t="shared" si="21"/>
        <v>34</v>
      </c>
      <c r="AF229" s="71" t="s">
        <v>742</v>
      </c>
      <c r="AG229" s="73" t="s">
        <v>1800</v>
      </c>
      <c r="AK229" s="3" t="str">
        <f t="shared" si="19"/>
        <v/>
      </c>
      <c r="AS229" s="3">
        <v>4631</v>
      </c>
      <c r="AT229" s="3">
        <v>201</v>
      </c>
      <c r="AU229" s="3" t="s">
        <v>3304</v>
      </c>
      <c r="AV229" s="3">
        <v>4.1399999999999997</v>
      </c>
      <c r="AX229" s="3" t="s">
        <v>2563</v>
      </c>
      <c r="AY229" s="65" t="s">
        <v>2564</v>
      </c>
      <c r="BA229" s="109" t="s">
        <v>4165</v>
      </c>
      <c r="BB229" s="183">
        <v>1804101</v>
      </c>
    </row>
    <row r="230" spans="20:54" ht="15.75" thickBot="1" x14ac:dyDescent="0.3">
      <c r="T230" s="21" t="s">
        <v>471</v>
      </c>
      <c r="U230" s="22" t="s">
        <v>470</v>
      </c>
      <c r="AB230" s="71" t="s">
        <v>710</v>
      </c>
      <c r="AC230" s="72" t="s">
        <v>709</v>
      </c>
      <c r="AD230" s="73" t="str">
        <f t="shared" si="20"/>
        <v>15-35</v>
      </c>
      <c r="AE230" s="74">
        <f t="shared" si="21"/>
        <v>35</v>
      </c>
      <c r="AF230" s="71" t="s">
        <v>743</v>
      </c>
      <c r="AG230" s="73" t="s">
        <v>1839</v>
      </c>
      <c r="AK230" s="3" t="str">
        <f t="shared" si="19"/>
        <v/>
      </c>
      <c r="AS230" s="3">
        <v>4641</v>
      </c>
      <c r="AT230" s="3">
        <v>204</v>
      </c>
      <c r="AU230" s="3" t="s">
        <v>3749</v>
      </c>
      <c r="AV230" s="3">
        <v>11.04</v>
      </c>
      <c r="AX230" s="3" t="s">
        <v>2565</v>
      </c>
      <c r="AY230" s="65" t="s">
        <v>2566</v>
      </c>
      <c r="BA230" s="108" t="s">
        <v>4166</v>
      </c>
      <c r="BB230" s="182">
        <v>1804201</v>
      </c>
    </row>
    <row r="231" spans="20:54" ht="15.75" thickBot="1" x14ac:dyDescent="0.3">
      <c r="T231" s="21" t="s">
        <v>473</v>
      </c>
      <c r="U231" s="22" t="s">
        <v>472</v>
      </c>
      <c r="AB231" s="71" t="s">
        <v>710</v>
      </c>
      <c r="AC231" s="72" t="s">
        <v>709</v>
      </c>
      <c r="AD231" s="73" t="str">
        <f t="shared" si="20"/>
        <v>15-36</v>
      </c>
      <c r="AE231" s="74">
        <f t="shared" si="21"/>
        <v>36</v>
      </c>
      <c r="AF231" s="71" t="s">
        <v>744</v>
      </c>
      <c r="AG231" s="73" t="s">
        <v>1840</v>
      </c>
      <c r="AK231" s="3" t="str">
        <f t="shared" si="19"/>
        <v/>
      </c>
      <c r="AS231" s="3">
        <v>4642</v>
      </c>
      <c r="AT231" s="3">
        <v>204</v>
      </c>
      <c r="AU231" s="3" t="s">
        <v>3319</v>
      </c>
      <c r="AV231" s="3">
        <v>11.04</v>
      </c>
      <c r="AX231" s="3" t="s">
        <v>2567</v>
      </c>
      <c r="AY231" s="65" t="s">
        <v>2568</v>
      </c>
      <c r="BA231" s="109" t="s">
        <v>4167</v>
      </c>
      <c r="BB231" s="183">
        <v>1804301</v>
      </c>
    </row>
    <row r="232" spans="20:54" ht="15.75" thickBot="1" x14ac:dyDescent="0.3">
      <c r="T232" s="21" t="s">
        <v>475</v>
      </c>
      <c r="U232" s="22" t="s">
        <v>474</v>
      </c>
      <c r="AB232" s="71" t="s">
        <v>710</v>
      </c>
      <c r="AC232" s="72" t="s">
        <v>709</v>
      </c>
      <c r="AD232" s="73" t="str">
        <f t="shared" si="20"/>
        <v>15-37</v>
      </c>
      <c r="AE232" s="74">
        <f t="shared" si="21"/>
        <v>37</v>
      </c>
      <c r="AF232" s="71" t="s">
        <v>745</v>
      </c>
      <c r="AG232" s="73" t="s">
        <v>182</v>
      </c>
      <c r="AK232" s="3" t="str">
        <f t="shared" si="19"/>
        <v/>
      </c>
      <c r="AS232" s="3">
        <v>4643</v>
      </c>
      <c r="AT232" s="3">
        <v>204</v>
      </c>
      <c r="AU232" s="3" t="s">
        <v>3320</v>
      </c>
      <c r="AV232" s="3">
        <v>11.04</v>
      </c>
      <c r="AX232" s="3" t="s">
        <v>2569</v>
      </c>
      <c r="AY232" s="65" t="s">
        <v>2570</v>
      </c>
      <c r="BA232" s="108" t="s">
        <v>4168</v>
      </c>
      <c r="BB232" s="182">
        <v>1804401</v>
      </c>
    </row>
    <row r="233" spans="20:54" ht="30.75" thickBot="1" x14ac:dyDescent="0.3">
      <c r="T233" s="21" t="s">
        <v>477</v>
      </c>
      <c r="U233" s="22" t="s">
        <v>476</v>
      </c>
      <c r="AB233" s="71" t="s">
        <v>710</v>
      </c>
      <c r="AC233" s="72" t="s">
        <v>709</v>
      </c>
      <c r="AD233" s="73" t="str">
        <f t="shared" si="20"/>
        <v>15-38</v>
      </c>
      <c r="AE233" s="74">
        <f t="shared" si="21"/>
        <v>38</v>
      </c>
      <c r="AF233" s="71" t="s">
        <v>746</v>
      </c>
      <c r="AG233" s="73" t="s">
        <v>1779</v>
      </c>
      <c r="AK233" s="3" t="str">
        <f t="shared" si="19"/>
        <v/>
      </c>
      <c r="AS233" s="3">
        <v>4644</v>
      </c>
      <c r="AT233" s="3">
        <v>204</v>
      </c>
      <c r="AU233" s="3" t="s">
        <v>3750</v>
      </c>
      <c r="AV233" s="3">
        <v>11.04</v>
      </c>
      <c r="AX233" s="3" t="s">
        <v>2571</v>
      </c>
      <c r="AY233" s="65" t="s">
        <v>2572</v>
      </c>
      <c r="BA233" s="109" t="s">
        <v>4169</v>
      </c>
      <c r="BB233" s="183">
        <v>1804501</v>
      </c>
    </row>
    <row r="234" spans="20:54" ht="15.75" thickBot="1" x14ac:dyDescent="0.3">
      <c r="T234" s="21" t="s">
        <v>479</v>
      </c>
      <c r="U234" s="22" t="s">
        <v>478</v>
      </c>
      <c r="AB234" s="71" t="s">
        <v>710</v>
      </c>
      <c r="AC234" s="72" t="s">
        <v>709</v>
      </c>
      <c r="AD234" s="73" t="str">
        <f t="shared" si="20"/>
        <v>15-39</v>
      </c>
      <c r="AE234" s="74">
        <f t="shared" si="21"/>
        <v>39</v>
      </c>
      <c r="AF234" s="71" t="s">
        <v>747</v>
      </c>
      <c r="AG234" s="73" t="s">
        <v>1841</v>
      </c>
      <c r="AK234" s="3" t="str">
        <f t="shared" si="19"/>
        <v/>
      </c>
      <c r="AS234" s="3">
        <v>4651</v>
      </c>
      <c r="AT234" s="3">
        <v>204</v>
      </c>
      <c r="AU234" s="3" t="s">
        <v>3321</v>
      </c>
      <c r="AV234" s="3">
        <v>11.04</v>
      </c>
      <c r="AX234" s="3" t="s">
        <v>2573</v>
      </c>
      <c r="AY234" s="65" t="s">
        <v>2574</v>
      </c>
      <c r="BA234" s="108" t="s">
        <v>4170</v>
      </c>
      <c r="BB234" s="182">
        <v>1804601</v>
      </c>
    </row>
    <row r="235" spans="20:54" ht="15.75" thickBot="1" x14ac:dyDescent="0.3">
      <c r="T235" s="21" t="s">
        <v>481</v>
      </c>
      <c r="U235" s="22" t="s">
        <v>480</v>
      </c>
      <c r="AB235" s="71" t="s">
        <v>710</v>
      </c>
      <c r="AC235" s="72" t="s">
        <v>709</v>
      </c>
      <c r="AD235" s="73" t="str">
        <f t="shared" si="20"/>
        <v>15-40</v>
      </c>
      <c r="AE235" s="74">
        <f t="shared" si="21"/>
        <v>40</v>
      </c>
      <c r="AF235" s="71" t="s">
        <v>748</v>
      </c>
      <c r="AG235" s="73" t="s">
        <v>194</v>
      </c>
      <c r="AK235" s="3" t="str">
        <f t="shared" si="19"/>
        <v/>
      </c>
      <c r="AS235" s="3">
        <v>4652</v>
      </c>
      <c r="AT235" s="3">
        <v>204</v>
      </c>
      <c r="AU235" s="3" t="s">
        <v>3322</v>
      </c>
      <c r="AV235" s="3">
        <v>11.04</v>
      </c>
      <c r="AX235" s="3" t="s">
        <v>2575</v>
      </c>
      <c r="AY235" s="65" t="s">
        <v>2576</v>
      </c>
      <c r="BA235" s="109" t="s">
        <v>4171</v>
      </c>
      <c r="BB235" s="183">
        <v>1805001</v>
      </c>
    </row>
    <row r="236" spans="20:54" ht="15.75" thickBot="1" x14ac:dyDescent="0.3">
      <c r="T236" s="21" t="s">
        <v>483</v>
      </c>
      <c r="U236" s="22" t="s">
        <v>482</v>
      </c>
      <c r="AB236" s="71" t="s">
        <v>710</v>
      </c>
      <c r="AC236" s="72" t="s">
        <v>709</v>
      </c>
      <c r="AD236" s="73" t="str">
        <f t="shared" si="20"/>
        <v>15-41</v>
      </c>
      <c r="AE236" s="74">
        <f t="shared" si="21"/>
        <v>41</v>
      </c>
      <c r="AF236" s="71" t="s">
        <v>749</v>
      </c>
      <c r="AG236" s="73" t="s">
        <v>1842</v>
      </c>
      <c r="AK236" s="3" t="str">
        <f t="shared" si="19"/>
        <v/>
      </c>
      <c r="AS236" s="3">
        <v>4653</v>
      </c>
      <c r="AT236" s="3">
        <v>204</v>
      </c>
      <c r="AU236" s="3" t="s">
        <v>3323</v>
      </c>
      <c r="AV236" s="3">
        <v>11.04</v>
      </c>
      <c r="AX236" s="3" t="s">
        <v>2577</v>
      </c>
      <c r="AY236" s="65" t="s">
        <v>2578</v>
      </c>
      <c r="BA236" s="108" t="s">
        <v>4172</v>
      </c>
      <c r="BB236" s="182">
        <v>1806001</v>
      </c>
    </row>
    <row r="237" spans="20:54" ht="30.75" thickBot="1" x14ac:dyDescent="0.3">
      <c r="T237" s="21" t="s">
        <v>485</v>
      </c>
      <c r="U237" s="22" t="s">
        <v>484</v>
      </c>
      <c r="AB237" s="71" t="s">
        <v>710</v>
      </c>
      <c r="AC237" s="72" t="s">
        <v>709</v>
      </c>
      <c r="AD237" s="73" t="str">
        <f t="shared" si="20"/>
        <v>15-42</v>
      </c>
      <c r="AE237" s="74">
        <f t="shared" si="21"/>
        <v>42</v>
      </c>
      <c r="AF237" s="71" t="s">
        <v>750</v>
      </c>
      <c r="AG237" s="73" t="s">
        <v>196</v>
      </c>
      <c r="AK237" s="3" t="str">
        <f t="shared" si="19"/>
        <v/>
      </c>
      <c r="AS237" s="3">
        <v>4659</v>
      </c>
      <c r="AT237" s="3">
        <v>204</v>
      </c>
      <c r="AU237" s="3" t="s">
        <v>2612</v>
      </c>
      <c r="AV237" s="3">
        <v>11.04</v>
      </c>
      <c r="AX237" s="3" t="s">
        <v>2579</v>
      </c>
      <c r="AY237" s="65" t="s">
        <v>2580</v>
      </c>
      <c r="BA237" s="109" t="s">
        <v>4173</v>
      </c>
      <c r="BB237" s="183">
        <v>1822001</v>
      </c>
    </row>
    <row r="238" spans="20:54" ht="15.75" thickBot="1" x14ac:dyDescent="0.3">
      <c r="T238" s="21" t="s">
        <v>487</v>
      </c>
      <c r="U238" s="22" t="s">
        <v>486</v>
      </c>
      <c r="AB238" s="71" t="s">
        <v>710</v>
      </c>
      <c r="AC238" s="72" t="s">
        <v>709</v>
      </c>
      <c r="AD238" s="73" t="str">
        <f t="shared" si="20"/>
        <v>15-43</v>
      </c>
      <c r="AE238" s="74">
        <f t="shared" si="21"/>
        <v>43</v>
      </c>
      <c r="AF238" s="71" t="s">
        <v>751</v>
      </c>
      <c r="AG238" s="73" t="s">
        <v>1843</v>
      </c>
      <c r="AK238" s="3" t="str">
        <f t="shared" si="19"/>
        <v/>
      </c>
      <c r="AS238" s="3">
        <v>4662</v>
      </c>
      <c r="AT238" s="3">
        <v>204</v>
      </c>
      <c r="AU238" s="3" t="s">
        <v>3751</v>
      </c>
      <c r="AV238" s="3">
        <v>11.04</v>
      </c>
      <c r="AX238" s="3" t="s">
        <v>2581</v>
      </c>
      <c r="AY238" s="65" t="s">
        <v>2582</v>
      </c>
      <c r="BA238" s="108" t="s">
        <v>4174</v>
      </c>
      <c r="BB238" s="182">
        <v>1823001</v>
      </c>
    </row>
    <row r="239" spans="20:54" ht="30.75" thickBot="1" x14ac:dyDescent="0.3">
      <c r="T239" s="21" t="s">
        <v>489</v>
      </c>
      <c r="U239" s="22" t="s">
        <v>488</v>
      </c>
      <c r="AB239" s="71" t="s">
        <v>710</v>
      </c>
      <c r="AC239" s="72" t="s">
        <v>709</v>
      </c>
      <c r="AD239" s="73" t="str">
        <f t="shared" si="20"/>
        <v>15-44</v>
      </c>
      <c r="AE239" s="74">
        <f t="shared" si="21"/>
        <v>44</v>
      </c>
      <c r="AF239" s="71" t="s">
        <v>752</v>
      </c>
      <c r="AG239" s="73" t="s">
        <v>1844</v>
      </c>
      <c r="AK239" s="3" t="str">
        <f t="shared" si="19"/>
        <v/>
      </c>
      <c r="AS239" s="3">
        <v>4664</v>
      </c>
      <c r="AT239" s="3">
        <v>204</v>
      </c>
      <c r="AU239" s="3" t="s">
        <v>3752</v>
      </c>
      <c r="AV239" s="3">
        <v>11.04</v>
      </c>
      <c r="AX239" s="3" t="s">
        <v>2583</v>
      </c>
      <c r="AY239" s="65" t="s">
        <v>2584</v>
      </c>
      <c r="BA239" s="109" t="s">
        <v>4175</v>
      </c>
      <c r="BB239" s="183">
        <v>1829101</v>
      </c>
    </row>
    <row r="240" spans="20:54" ht="15.75" thickBot="1" x14ac:dyDescent="0.3">
      <c r="T240" s="21" t="s">
        <v>491</v>
      </c>
      <c r="U240" s="22" t="s">
        <v>490</v>
      </c>
      <c r="AB240" s="71" t="s">
        <v>710</v>
      </c>
      <c r="AC240" s="72" t="s">
        <v>709</v>
      </c>
      <c r="AD240" s="73" t="str">
        <f t="shared" si="20"/>
        <v>15-45</v>
      </c>
      <c r="AE240" s="74">
        <f t="shared" si="21"/>
        <v>45</v>
      </c>
      <c r="AF240" s="71" t="s">
        <v>753</v>
      </c>
      <c r="AG240" s="73" t="s">
        <v>1845</v>
      </c>
      <c r="AK240" s="3" t="str">
        <f t="shared" si="19"/>
        <v/>
      </c>
      <c r="AS240" s="3">
        <v>4665</v>
      </c>
      <c r="AT240" s="3">
        <v>204</v>
      </c>
      <c r="AU240" s="3" t="s">
        <v>3324</v>
      </c>
      <c r="AV240" s="3">
        <v>11.04</v>
      </c>
      <c r="AX240" s="3" t="s">
        <v>2585</v>
      </c>
      <c r="AY240" s="65" t="s">
        <v>2586</v>
      </c>
      <c r="BA240" s="108" t="s">
        <v>4176</v>
      </c>
      <c r="BB240" s="182">
        <v>1829901</v>
      </c>
    </row>
    <row r="241" spans="20:54" ht="30.75" thickBot="1" x14ac:dyDescent="0.3">
      <c r="T241" s="21" t="s">
        <v>493</v>
      </c>
      <c r="U241" s="22" t="s">
        <v>492</v>
      </c>
      <c r="AB241" s="71" t="s">
        <v>710</v>
      </c>
      <c r="AC241" s="72" t="s">
        <v>709</v>
      </c>
      <c r="AD241" s="73" t="str">
        <f t="shared" si="20"/>
        <v>15-46</v>
      </c>
      <c r="AE241" s="74">
        <f t="shared" si="21"/>
        <v>46</v>
      </c>
      <c r="AF241" s="71" t="s">
        <v>571</v>
      </c>
      <c r="AG241" s="73" t="s">
        <v>1735</v>
      </c>
      <c r="AK241" s="3" t="str">
        <f t="shared" si="19"/>
        <v/>
      </c>
      <c r="AS241" s="3">
        <v>4669</v>
      </c>
      <c r="AT241" s="3">
        <v>204</v>
      </c>
      <c r="AU241" s="3" t="s">
        <v>2624</v>
      </c>
      <c r="AV241" s="3">
        <v>11.04</v>
      </c>
      <c r="AX241" s="3" t="s">
        <v>2587</v>
      </c>
      <c r="AY241" s="65" t="s">
        <v>2588</v>
      </c>
      <c r="BA241" s="109" t="s">
        <v>4177</v>
      </c>
      <c r="BB241" s="183">
        <v>1829902</v>
      </c>
    </row>
    <row r="242" spans="20:54" ht="15.75" thickBot="1" x14ac:dyDescent="0.3">
      <c r="T242" s="21" t="s">
        <v>495</v>
      </c>
      <c r="U242" s="22" t="s">
        <v>494</v>
      </c>
      <c r="AB242" s="71" t="s">
        <v>710</v>
      </c>
      <c r="AC242" s="72" t="s">
        <v>709</v>
      </c>
      <c r="AD242" s="73" t="str">
        <f t="shared" si="20"/>
        <v>15-47</v>
      </c>
      <c r="AE242" s="74">
        <f t="shared" si="21"/>
        <v>47</v>
      </c>
      <c r="AF242" s="71" t="s">
        <v>754</v>
      </c>
      <c r="AG242" s="73" t="s">
        <v>1846</v>
      </c>
      <c r="AK242" s="3" t="str">
        <f t="shared" si="19"/>
        <v/>
      </c>
      <c r="AS242" s="3">
        <v>4690</v>
      </c>
      <c r="AT242" s="3">
        <v>204</v>
      </c>
      <c r="AU242" s="3" t="s">
        <v>3325</v>
      </c>
      <c r="AV242" s="3">
        <v>11.04</v>
      </c>
      <c r="AX242" s="3" t="s">
        <v>2589</v>
      </c>
      <c r="AY242" s="65" t="s">
        <v>2590</v>
      </c>
      <c r="BA242" s="108" t="s">
        <v>4178</v>
      </c>
      <c r="BB242" s="182">
        <v>1841101</v>
      </c>
    </row>
    <row r="243" spans="20:54" ht="15.75" thickBot="1" x14ac:dyDescent="0.3">
      <c r="T243" s="21" t="s">
        <v>497</v>
      </c>
      <c r="U243" s="22" t="s">
        <v>496</v>
      </c>
      <c r="AB243" s="71" t="s">
        <v>710</v>
      </c>
      <c r="AC243" s="72" t="s">
        <v>709</v>
      </c>
      <c r="AD243" s="73" t="str">
        <f t="shared" si="20"/>
        <v>15-48</v>
      </c>
      <c r="AE243" s="74">
        <f t="shared" si="21"/>
        <v>48</v>
      </c>
      <c r="AF243" s="71" t="s">
        <v>755</v>
      </c>
      <c r="AG243" s="73" t="s">
        <v>1737</v>
      </c>
      <c r="AK243" s="3" t="str">
        <f t="shared" si="19"/>
        <v/>
      </c>
      <c r="AS243" s="3">
        <v>4721</v>
      </c>
      <c r="AT243" s="3">
        <v>201</v>
      </c>
      <c r="AU243" s="3" t="s">
        <v>3753</v>
      </c>
      <c r="AV243" s="3">
        <v>4.1399999999999997</v>
      </c>
      <c r="AX243" s="3" t="s">
        <v>2591</v>
      </c>
      <c r="AY243" s="65" t="s">
        <v>2592</v>
      </c>
      <c r="BA243" s="109" t="s">
        <v>4179</v>
      </c>
      <c r="BB243" s="183">
        <v>1841201</v>
      </c>
    </row>
    <row r="244" spans="20:54" ht="30.75" thickBot="1" x14ac:dyDescent="0.3">
      <c r="T244" s="21" t="s">
        <v>499</v>
      </c>
      <c r="U244" s="22" t="s">
        <v>498</v>
      </c>
      <c r="AB244" s="71" t="s">
        <v>710</v>
      </c>
      <c r="AC244" s="72" t="s">
        <v>709</v>
      </c>
      <c r="AD244" s="73" t="str">
        <f t="shared" si="20"/>
        <v>15-49</v>
      </c>
      <c r="AE244" s="74">
        <f t="shared" si="21"/>
        <v>49</v>
      </c>
      <c r="AF244" s="71" t="s">
        <v>756</v>
      </c>
      <c r="AG244" s="73" t="s">
        <v>1847</v>
      </c>
      <c r="AK244" s="3" t="str">
        <f t="shared" si="19"/>
        <v/>
      </c>
      <c r="AS244" s="3">
        <v>4722</v>
      </c>
      <c r="AT244" s="3">
        <v>201</v>
      </c>
      <c r="AU244" s="3" t="s">
        <v>3305</v>
      </c>
      <c r="AV244" s="3">
        <v>4.1399999999999997</v>
      </c>
      <c r="AX244" s="3" t="s">
        <v>2593</v>
      </c>
      <c r="AY244" s="65" t="s">
        <v>2594</v>
      </c>
      <c r="BA244" s="108" t="s">
        <v>4180</v>
      </c>
      <c r="BB244" s="182">
        <v>1841202</v>
      </c>
    </row>
    <row r="245" spans="20:54" ht="15.75" thickBot="1" x14ac:dyDescent="0.3">
      <c r="T245" s="21" t="s">
        <v>501</v>
      </c>
      <c r="U245" s="22" t="s">
        <v>500</v>
      </c>
      <c r="AB245" s="71" t="s">
        <v>710</v>
      </c>
      <c r="AC245" s="72" t="s">
        <v>709</v>
      </c>
      <c r="AD245" s="73" t="str">
        <f t="shared" si="20"/>
        <v>15-50</v>
      </c>
      <c r="AE245" s="74">
        <f t="shared" si="21"/>
        <v>50</v>
      </c>
      <c r="AF245" s="71" t="s">
        <v>757</v>
      </c>
      <c r="AG245" s="73" t="s">
        <v>240</v>
      </c>
      <c r="AK245" s="3" t="str">
        <f t="shared" si="19"/>
        <v/>
      </c>
      <c r="AS245" s="3">
        <v>4723</v>
      </c>
      <c r="AT245" s="3">
        <v>201</v>
      </c>
      <c r="AU245" s="3" t="s">
        <v>3754</v>
      </c>
      <c r="AV245" s="3">
        <v>4.1399999999999997</v>
      </c>
      <c r="AX245" s="3" t="s">
        <v>2595</v>
      </c>
      <c r="AY245" s="65" t="s">
        <v>2596</v>
      </c>
      <c r="BA245" s="109" t="s">
        <v>4181</v>
      </c>
      <c r="BB245" s="183">
        <v>1841203</v>
      </c>
    </row>
    <row r="246" spans="20:54" ht="15.75" thickBot="1" x14ac:dyDescent="0.3">
      <c r="T246" s="21" t="s">
        <v>503</v>
      </c>
      <c r="U246" s="22" t="s">
        <v>502</v>
      </c>
      <c r="AB246" s="71" t="s">
        <v>710</v>
      </c>
      <c r="AC246" s="72" t="s">
        <v>709</v>
      </c>
      <c r="AD246" s="73" t="str">
        <f t="shared" si="20"/>
        <v>15-51</v>
      </c>
      <c r="AE246" s="74">
        <f t="shared" si="21"/>
        <v>51</v>
      </c>
      <c r="AF246" s="71" t="s">
        <v>758</v>
      </c>
      <c r="AG246" s="73" t="s">
        <v>1848</v>
      </c>
      <c r="AK246" s="3" t="str">
        <f t="shared" si="19"/>
        <v/>
      </c>
      <c r="AS246" s="3">
        <v>4729</v>
      </c>
      <c r="AT246" s="3">
        <v>201</v>
      </c>
      <c r="AU246" s="3" t="s">
        <v>3306</v>
      </c>
      <c r="AV246" s="3">
        <v>4.1399999999999997</v>
      </c>
      <c r="AX246" s="3" t="s">
        <v>2597</v>
      </c>
      <c r="AY246" s="65" t="s">
        <v>2598</v>
      </c>
      <c r="BA246" s="108" t="s">
        <v>4182</v>
      </c>
      <c r="BB246" s="182">
        <v>1841204</v>
      </c>
    </row>
    <row r="247" spans="20:54" ht="15.75" thickBot="1" x14ac:dyDescent="0.3">
      <c r="T247" s="21" t="s">
        <v>505</v>
      </c>
      <c r="U247" s="22" t="s">
        <v>504</v>
      </c>
      <c r="AB247" s="71" t="s">
        <v>710</v>
      </c>
      <c r="AC247" s="72" t="s">
        <v>709</v>
      </c>
      <c r="AD247" s="73" t="str">
        <f t="shared" si="20"/>
        <v>15-52</v>
      </c>
      <c r="AE247" s="74">
        <f t="shared" si="21"/>
        <v>52</v>
      </c>
      <c r="AF247" s="71" t="s">
        <v>759</v>
      </c>
      <c r="AG247" s="73" t="s">
        <v>1740</v>
      </c>
      <c r="AK247" s="3" t="str">
        <f t="shared" si="19"/>
        <v/>
      </c>
      <c r="AS247" s="3">
        <v>4731</v>
      </c>
      <c r="AT247" s="3">
        <v>203</v>
      </c>
      <c r="AU247" s="3" t="s">
        <v>3755</v>
      </c>
      <c r="AV247" s="3">
        <v>13.8</v>
      </c>
      <c r="AX247" s="3" t="s">
        <v>2599</v>
      </c>
      <c r="AY247" s="65" t="s">
        <v>2600</v>
      </c>
      <c r="BA247" s="109" t="s">
        <v>4183</v>
      </c>
      <c r="BB247" s="183">
        <v>1841205</v>
      </c>
    </row>
    <row r="248" spans="20:54" ht="30.75" thickBot="1" x14ac:dyDescent="0.3">
      <c r="T248" s="21" t="s">
        <v>507</v>
      </c>
      <c r="U248" s="22" t="s">
        <v>506</v>
      </c>
      <c r="AB248" s="71" t="s">
        <v>710</v>
      </c>
      <c r="AC248" s="72" t="s">
        <v>709</v>
      </c>
      <c r="AD248" s="73" t="str">
        <f t="shared" si="20"/>
        <v>15-53</v>
      </c>
      <c r="AE248" s="74">
        <f t="shared" si="21"/>
        <v>53</v>
      </c>
      <c r="AF248" s="71" t="s">
        <v>760</v>
      </c>
      <c r="AG248" s="73" t="s">
        <v>1804</v>
      </c>
      <c r="AK248" s="3" t="str">
        <f t="shared" si="19"/>
        <v/>
      </c>
      <c r="AS248" s="3">
        <v>4732</v>
      </c>
      <c r="AT248" s="3">
        <v>204</v>
      </c>
      <c r="AU248" s="3" t="s">
        <v>3756</v>
      </c>
      <c r="AV248" s="3">
        <v>11.04</v>
      </c>
      <c r="AX248" s="3" t="s">
        <v>2601</v>
      </c>
      <c r="AY248" s="65" t="s">
        <v>2602</v>
      </c>
      <c r="BA248" s="108" t="s">
        <v>4184</v>
      </c>
      <c r="BB248" s="182">
        <v>1841301</v>
      </c>
    </row>
    <row r="249" spans="20:54" ht="15.75" thickBot="1" x14ac:dyDescent="0.3">
      <c r="T249" s="23" t="s">
        <v>1602</v>
      </c>
      <c r="U249" s="64"/>
      <c r="AB249" s="71" t="s">
        <v>710</v>
      </c>
      <c r="AC249" s="72" t="s">
        <v>709</v>
      </c>
      <c r="AD249" s="73" t="str">
        <f t="shared" si="20"/>
        <v>15-54</v>
      </c>
      <c r="AE249" s="74">
        <f t="shared" si="21"/>
        <v>54</v>
      </c>
      <c r="AF249" s="71" t="s">
        <v>761</v>
      </c>
      <c r="AG249" s="73" t="s">
        <v>278</v>
      </c>
      <c r="AK249" s="3" t="str">
        <f t="shared" si="19"/>
        <v/>
      </c>
      <c r="AS249" s="3">
        <v>4741</v>
      </c>
      <c r="AT249" s="3">
        <v>204</v>
      </c>
      <c r="AU249" s="3" t="s">
        <v>3757</v>
      </c>
      <c r="AV249" s="3">
        <v>11.04</v>
      </c>
      <c r="AX249" s="3" t="s">
        <v>2603</v>
      </c>
      <c r="AY249" s="65" t="s">
        <v>2604</v>
      </c>
      <c r="BA249" s="109" t="s">
        <v>4185</v>
      </c>
      <c r="BB249" s="183">
        <v>1841401</v>
      </c>
    </row>
    <row r="250" spans="20:54" ht="30.75" thickBot="1" x14ac:dyDescent="0.3">
      <c r="AB250" s="71" t="s">
        <v>710</v>
      </c>
      <c r="AC250" s="72" t="s">
        <v>709</v>
      </c>
      <c r="AD250" s="73" t="str">
        <f t="shared" si="20"/>
        <v>15-55</v>
      </c>
      <c r="AE250" s="74">
        <f t="shared" si="21"/>
        <v>55</v>
      </c>
      <c r="AF250" s="71" t="s">
        <v>762</v>
      </c>
      <c r="AG250" s="73" t="s">
        <v>284</v>
      </c>
      <c r="AK250" s="3" t="str">
        <f t="shared" si="19"/>
        <v/>
      </c>
      <c r="AS250" s="3">
        <v>4742</v>
      </c>
      <c r="AT250" s="3">
        <v>204</v>
      </c>
      <c r="AU250" s="3" t="s">
        <v>3326</v>
      </c>
      <c r="AV250" s="3">
        <v>11.04</v>
      </c>
      <c r="AX250" s="3" t="s">
        <v>2605</v>
      </c>
      <c r="AY250" s="65" t="s">
        <v>2606</v>
      </c>
      <c r="BA250" s="108" t="s">
        <v>4186</v>
      </c>
      <c r="BB250" s="182">
        <v>1841501</v>
      </c>
    </row>
    <row r="251" spans="20:54" ht="30.75" thickBot="1" x14ac:dyDescent="0.3">
      <c r="AB251" s="71" t="s">
        <v>710</v>
      </c>
      <c r="AC251" s="72" t="s">
        <v>709</v>
      </c>
      <c r="AD251" s="73" t="str">
        <f t="shared" si="20"/>
        <v>15-56</v>
      </c>
      <c r="AE251" s="74">
        <f t="shared" si="21"/>
        <v>56</v>
      </c>
      <c r="AF251" s="71" t="s">
        <v>763</v>
      </c>
      <c r="AG251" s="73" t="s">
        <v>1849</v>
      </c>
      <c r="AS251" s="3">
        <v>4751</v>
      </c>
      <c r="AT251" s="3">
        <v>204</v>
      </c>
      <c r="AU251" s="3" t="s">
        <v>3327</v>
      </c>
      <c r="AV251" s="3">
        <v>11.04</v>
      </c>
      <c r="AX251" s="3" t="s">
        <v>2607</v>
      </c>
      <c r="AY251" s="65" t="s">
        <v>2608</v>
      </c>
      <c r="BA251" s="109" t="s">
        <v>4187</v>
      </c>
      <c r="BB251" s="183">
        <v>1842101</v>
      </c>
    </row>
    <row r="252" spans="20:54" ht="15.75" thickBot="1" x14ac:dyDescent="0.3">
      <c r="AB252" s="71" t="s">
        <v>710</v>
      </c>
      <c r="AC252" s="72" t="s">
        <v>709</v>
      </c>
      <c r="AD252" s="73" t="str">
        <f t="shared" si="20"/>
        <v>15-57</v>
      </c>
      <c r="AE252" s="74">
        <f t="shared" si="21"/>
        <v>57</v>
      </c>
      <c r="AF252" s="71" t="s">
        <v>764</v>
      </c>
      <c r="AG252" s="73" t="s">
        <v>288</v>
      </c>
      <c r="AS252" s="3">
        <v>4753</v>
      </c>
      <c r="AT252" s="3">
        <v>204</v>
      </c>
      <c r="AU252" s="3" t="s">
        <v>3758</v>
      </c>
      <c r="AV252" s="3">
        <v>11.04</v>
      </c>
      <c r="AX252" s="3" t="s">
        <v>2609</v>
      </c>
      <c r="AY252" s="65" t="s">
        <v>2610</v>
      </c>
      <c r="BA252" s="108" t="s">
        <v>4188</v>
      </c>
      <c r="BB252" s="182">
        <v>1851201</v>
      </c>
    </row>
    <row r="253" spans="20:54" ht="15.75" thickBot="1" x14ac:dyDescent="0.3">
      <c r="AB253" s="71" t="s">
        <v>710</v>
      </c>
      <c r="AC253" s="72" t="s">
        <v>709</v>
      </c>
      <c r="AD253" s="73" t="str">
        <f t="shared" si="20"/>
        <v>15-58</v>
      </c>
      <c r="AE253" s="74">
        <f t="shared" si="21"/>
        <v>58</v>
      </c>
      <c r="AF253" s="71" t="s">
        <v>765</v>
      </c>
      <c r="AG253" s="73" t="s">
        <v>1850</v>
      </c>
      <c r="AS253" s="3">
        <v>4754</v>
      </c>
      <c r="AT253" s="3">
        <v>204</v>
      </c>
      <c r="AU253" s="3" t="s">
        <v>3759</v>
      </c>
      <c r="AV253" s="3">
        <v>11.04</v>
      </c>
      <c r="AX253" s="3" t="s">
        <v>2611</v>
      </c>
      <c r="AY253" s="65" t="s">
        <v>2612</v>
      </c>
      <c r="BA253" s="109" t="s">
        <v>4189</v>
      </c>
      <c r="BB253" s="183">
        <v>1851301</v>
      </c>
    </row>
    <row r="254" spans="20:54" ht="30.75" thickBot="1" x14ac:dyDescent="0.3">
      <c r="AB254" s="71" t="s">
        <v>710</v>
      </c>
      <c r="AC254" s="72" t="s">
        <v>709</v>
      </c>
      <c r="AD254" s="73" t="str">
        <f t="shared" si="20"/>
        <v>15-59</v>
      </c>
      <c r="AE254" s="74">
        <f t="shared" si="21"/>
        <v>59</v>
      </c>
      <c r="AF254" s="71" t="s">
        <v>766</v>
      </c>
      <c r="AG254" s="73" t="s">
        <v>1742</v>
      </c>
      <c r="AS254" s="3">
        <v>4755</v>
      </c>
      <c r="AT254" s="3">
        <v>204</v>
      </c>
      <c r="AU254" s="3" t="s">
        <v>3760</v>
      </c>
      <c r="AV254" s="3">
        <v>11.04</v>
      </c>
      <c r="AX254" s="3" t="s">
        <v>2613</v>
      </c>
      <c r="AY254" s="65" t="s">
        <v>2614</v>
      </c>
      <c r="BA254" s="108" t="s">
        <v>4190</v>
      </c>
      <c r="BB254" s="182">
        <v>1852101</v>
      </c>
    </row>
    <row r="255" spans="20:54" ht="15.75" thickBot="1" x14ac:dyDescent="0.3">
      <c r="AB255" s="71" t="s">
        <v>710</v>
      </c>
      <c r="AC255" s="72" t="s">
        <v>709</v>
      </c>
      <c r="AD255" s="73" t="str">
        <f t="shared" si="20"/>
        <v>15-60</v>
      </c>
      <c r="AE255" s="74">
        <f t="shared" si="21"/>
        <v>60</v>
      </c>
      <c r="AF255" s="71" t="s">
        <v>767</v>
      </c>
      <c r="AG255" s="73" t="s">
        <v>1851</v>
      </c>
      <c r="AS255" s="3">
        <v>4759</v>
      </c>
      <c r="AT255" s="3">
        <v>204</v>
      </c>
      <c r="AU255" s="3" t="s">
        <v>3328</v>
      </c>
      <c r="AV255" s="3">
        <v>11.04</v>
      </c>
      <c r="AX255" s="3" t="s">
        <v>2615</v>
      </c>
      <c r="AY255" s="65" t="s">
        <v>2616</v>
      </c>
      <c r="BA255" s="109" t="s">
        <v>4191</v>
      </c>
      <c r="BB255" s="183">
        <v>1852201</v>
      </c>
    </row>
    <row r="256" spans="20:54" ht="45.75" thickBot="1" x14ac:dyDescent="0.3">
      <c r="AB256" s="71" t="s">
        <v>710</v>
      </c>
      <c r="AC256" s="72" t="s">
        <v>709</v>
      </c>
      <c r="AD256" s="73" t="str">
        <f t="shared" si="20"/>
        <v>15-61</v>
      </c>
      <c r="AE256" s="74">
        <f t="shared" si="21"/>
        <v>61</v>
      </c>
      <c r="AF256" s="71" t="s">
        <v>768</v>
      </c>
      <c r="AG256" s="73" t="s">
        <v>302</v>
      </c>
      <c r="AS256" s="3">
        <v>4762</v>
      </c>
      <c r="AT256" s="3">
        <v>204</v>
      </c>
      <c r="AU256" s="3" t="s">
        <v>3761</v>
      </c>
      <c r="AV256" s="3">
        <v>11.04</v>
      </c>
      <c r="AX256" s="3" t="s">
        <v>2617</v>
      </c>
      <c r="AY256" s="65" t="s">
        <v>2618</v>
      </c>
      <c r="BA256" s="108" t="s">
        <v>4192</v>
      </c>
      <c r="BB256" s="182">
        <v>1852301</v>
      </c>
    </row>
    <row r="257" spans="28:54" ht="45.75" thickBot="1" x14ac:dyDescent="0.3">
      <c r="AB257" s="71" t="s">
        <v>710</v>
      </c>
      <c r="AC257" s="72" t="s">
        <v>709</v>
      </c>
      <c r="AD257" s="73" t="str">
        <f t="shared" si="20"/>
        <v>15-62</v>
      </c>
      <c r="AE257" s="74">
        <f t="shared" si="21"/>
        <v>62</v>
      </c>
      <c r="AF257" s="71" t="s">
        <v>769</v>
      </c>
      <c r="AG257" s="73" t="s">
        <v>1852</v>
      </c>
      <c r="AS257" s="3">
        <v>4769</v>
      </c>
      <c r="AT257" s="3">
        <v>204</v>
      </c>
      <c r="AU257" s="3" t="s">
        <v>3762</v>
      </c>
      <c r="AV257" s="3">
        <v>11.04</v>
      </c>
      <c r="AX257" s="3" t="s">
        <v>2619</v>
      </c>
      <c r="AY257" s="65" t="s">
        <v>2620</v>
      </c>
      <c r="BA257" s="109" t="s">
        <v>4193</v>
      </c>
      <c r="BB257" s="183">
        <v>1853101</v>
      </c>
    </row>
    <row r="258" spans="28:54" ht="15.75" thickBot="1" x14ac:dyDescent="0.3">
      <c r="AB258" s="71" t="s">
        <v>710</v>
      </c>
      <c r="AC258" s="72" t="s">
        <v>709</v>
      </c>
      <c r="AD258" s="73" t="str">
        <f t="shared" si="20"/>
        <v>15-63</v>
      </c>
      <c r="AE258" s="74">
        <f t="shared" si="21"/>
        <v>63</v>
      </c>
      <c r="AF258" s="71" t="s">
        <v>770</v>
      </c>
      <c r="AG258" s="73" t="s">
        <v>318</v>
      </c>
      <c r="AS258" s="3">
        <v>4771</v>
      </c>
      <c r="AT258" s="3">
        <v>204</v>
      </c>
      <c r="AU258" s="3" t="s">
        <v>3329</v>
      </c>
      <c r="AV258" s="3">
        <v>11.04</v>
      </c>
      <c r="AX258" s="3" t="s">
        <v>2621</v>
      </c>
      <c r="AY258" s="65" t="s">
        <v>2622</v>
      </c>
      <c r="BA258" s="108" t="s">
        <v>4194</v>
      </c>
      <c r="BB258" s="182">
        <v>1853201</v>
      </c>
    </row>
    <row r="259" spans="28:54" ht="15.75" thickBot="1" x14ac:dyDescent="0.3">
      <c r="AB259" s="71" t="s">
        <v>710</v>
      </c>
      <c r="AC259" s="72" t="s">
        <v>709</v>
      </c>
      <c r="AD259" s="73" t="str">
        <f t="shared" ref="AD259:AD322" si="22">CONCATENATE(AC259,"-",AE259)</f>
        <v>15-64</v>
      </c>
      <c r="AE259" s="74">
        <f t="shared" ref="AE259:AE322" si="23">IF(AB259=AB258,1+AE258,1)</f>
        <v>64</v>
      </c>
      <c r="AF259" s="71" t="s">
        <v>771</v>
      </c>
      <c r="AG259" s="73" t="s">
        <v>322</v>
      </c>
      <c r="AS259" s="3">
        <v>4772</v>
      </c>
      <c r="AT259" s="3">
        <v>204</v>
      </c>
      <c r="AU259" s="3" t="s">
        <v>2670</v>
      </c>
      <c r="AV259" s="3">
        <v>11.04</v>
      </c>
      <c r="AX259" s="3" t="s">
        <v>2623</v>
      </c>
      <c r="AY259" s="65" t="s">
        <v>2624</v>
      </c>
      <c r="BA259" s="109" t="s">
        <v>4195</v>
      </c>
      <c r="BB259" s="183">
        <v>1854101</v>
      </c>
    </row>
    <row r="260" spans="28:54" ht="15.75" thickBot="1" x14ac:dyDescent="0.3">
      <c r="AB260" s="71" t="s">
        <v>710</v>
      </c>
      <c r="AC260" s="72" t="s">
        <v>709</v>
      </c>
      <c r="AD260" s="73" t="str">
        <f t="shared" si="22"/>
        <v>15-65</v>
      </c>
      <c r="AE260" s="74">
        <f t="shared" si="23"/>
        <v>65</v>
      </c>
      <c r="AF260" s="71" t="s">
        <v>772</v>
      </c>
      <c r="AG260" s="73" t="s">
        <v>1853</v>
      </c>
      <c r="AS260" s="3">
        <v>4774</v>
      </c>
      <c r="AT260" s="3">
        <v>204</v>
      </c>
      <c r="AU260" s="3" t="s">
        <v>3763</v>
      </c>
      <c r="AV260" s="3">
        <v>11.04</v>
      </c>
      <c r="AX260" s="3" t="s">
        <v>2625</v>
      </c>
      <c r="AY260" s="65" t="s">
        <v>2626</v>
      </c>
      <c r="BA260" s="108" t="s">
        <v>4196</v>
      </c>
      <c r="BB260" s="182">
        <v>1854201</v>
      </c>
    </row>
    <row r="261" spans="28:54" ht="30.75" thickBot="1" x14ac:dyDescent="0.3">
      <c r="AB261" s="71" t="s">
        <v>710</v>
      </c>
      <c r="AC261" s="72" t="s">
        <v>709</v>
      </c>
      <c r="AD261" s="73" t="str">
        <f t="shared" si="22"/>
        <v>15-66</v>
      </c>
      <c r="AE261" s="74">
        <f t="shared" si="23"/>
        <v>66</v>
      </c>
      <c r="AF261" s="71" t="s">
        <v>773</v>
      </c>
      <c r="AG261" s="73" t="s">
        <v>1854</v>
      </c>
      <c r="AS261" s="3">
        <v>4775</v>
      </c>
      <c r="AT261" s="3">
        <v>204</v>
      </c>
      <c r="AU261" s="3" t="s">
        <v>3330</v>
      </c>
      <c r="AV261" s="3">
        <v>11.04</v>
      </c>
      <c r="AX261" s="3" t="s">
        <v>2627</v>
      </c>
      <c r="AY261" s="65" t="s">
        <v>2628</v>
      </c>
      <c r="BA261" s="109" t="s">
        <v>4197</v>
      </c>
      <c r="BB261" s="183">
        <v>1854301</v>
      </c>
    </row>
    <row r="262" spans="28:54" ht="45.75" thickBot="1" x14ac:dyDescent="0.3">
      <c r="AB262" s="71" t="s">
        <v>710</v>
      </c>
      <c r="AC262" s="72" t="s">
        <v>709</v>
      </c>
      <c r="AD262" s="73" t="str">
        <f t="shared" si="22"/>
        <v>15-67</v>
      </c>
      <c r="AE262" s="74">
        <f t="shared" si="23"/>
        <v>67</v>
      </c>
      <c r="AF262" s="71" t="s">
        <v>774</v>
      </c>
      <c r="AG262" s="73" t="s">
        <v>1855</v>
      </c>
      <c r="AS262" s="3">
        <v>4782</v>
      </c>
      <c r="AT262" s="3">
        <v>204</v>
      </c>
      <c r="AU262" s="3" t="s">
        <v>3331</v>
      </c>
      <c r="AV262" s="3">
        <v>11.04</v>
      </c>
      <c r="AX262" s="3" t="s">
        <v>2629</v>
      </c>
      <c r="AY262" s="65" t="s">
        <v>2630</v>
      </c>
      <c r="BA262" s="108" t="s">
        <v>4198</v>
      </c>
      <c r="BB262" s="182">
        <v>1854401</v>
      </c>
    </row>
    <row r="263" spans="28:54" ht="30.75" thickBot="1" x14ac:dyDescent="0.3">
      <c r="AB263" s="71" t="s">
        <v>710</v>
      </c>
      <c r="AC263" s="72" t="s">
        <v>709</v>
      </c>
      <c r="AD263" s="73" t="str">
        <f t="shared" si="22"/>
        <v>15-68</v>
      </c>
      <c r="AE263" s="74">
        <f t="shared" si="23"/>
        <v>68</v>
      </c>
      <c r="AF263" s="71" t="s">
        <v>775</v>
      </c>
      <c r="AG263" s="73" t="s">
        <v>1856</v>
      </c>
      <c r="AS263" s="3">
        <v>4789</v>
      </c>
      <c r="AT263" s="3">
        <v>204</v>
      </c>
      <c r="AU263" s="3" t="s">
        <v>3332</v>
      </c>
      <c r="AV263" s="3">
        <v>11.04</v>
      </c>
      <c r="AX263" s="3" t="s">
        <v>2631</v>
      </c>
      <c r="AY263" s="65" t="s">
        <v>2632</v>
      </c>
      <c r="BA263" s="109" t="s">
        <v>4199</v>
      </c>
      <c r="BB263" s="183">
        <v>1855101</v>
      </c>
    </row>
    <row r="264" spans="28:54" ht="30.75" thickBot="1" x14ac:dyDescent="0.3">
      <c r="AB264" s="71" t="s">
        <v>710</v>
      </c>
      <c r="AC264" s="72" t="s">
        <v>709</v>
      </c>
      <c r="AD264" s="73" t="str">
        <f t="shared" si="22"/>
        <v>15-69</v>
      </c>
      <c r="AE264" s="74">
        <f t="shared" si="23"/>
        <v>69</v>
      </c>
      <c r="AF264" s="71" t="s">
        <v>776</v>
      </c>
      <c r="AG264" s="73" t="s">
        <v>332</v>
      </c>
      <c r="AS264" s="3">
        <v>4911</v>
      </c>
      <c r="AT264" s="3">
        <v>301</v>
      </c>
      <c r="AU264" s="3" t="s">
        <v>3337</v>
      </c>
      <c r="AV264" s="3">
        <v>4.1399999999999997</v>
      </c>
      <c r="AX264" s="3" t="s">
        <v>2633</v>
      </c>
      <c r="AY264" s="65" t="s">
        <v>2634</v>
      </c>
      <c r="BA264" s="108" t="s">
        <v>4200</v>
      </c>
      <c r="BB264" s="182">
        <v>1855301</v>
      </c>
    </row>
    <row r="265" spans="28:54" ht="45.75" thickBot="1" x14ac:dyDescent="0.3">
      <c r="AB265" s="71" t="s">
        <v>710</v>
      </c>
      <c r="AC265" s="72" t="s">
        <v>709</v>
      </c>
      <c r="AD265" s="73" t="str">
        <f t="shared" si="22"/>
        <v>15-70</v>
      </c>
      <c r="AE265" s="74">
        <f t="shared" si="23"/>
        <v>70</v>
      </c>
      <c r="AF265" s="71" t="s">
        <v>777</v>
      </c>
      <c r="AG265" s="73" t="s">
        <v>1857</v>
      </c>
      <c r="AS265" s="3">
        <v>4912</v>
      </c>
      <c r="AT265" s="3">
        <v>301</v>
      </c>
      <c r="AU265" s="3" t="s">
        <v>3338</v>
      </c>
      <c r="AV265" s="3">
        <v>4.1399999999999997</v>
      </c>
      <c r="AX265" s="3" t="s">
        <v>2635</v>
      </c>
      <c r="AY265" s="65" t="s">
        <v>2636</v>
      </c>
      <c r="BA265" s="109" t="s">
        <v>4201</v>
      </c>
      <c r="BB265" s="183">
        <v>1855901</v>
      </c>
    </row>
    <row r="266" spans="28:54" ht="30.75" thickBot="1" x14ac:dyDescent="0.3">
      <c r="AB266" s="71" t="s">
        <v>710</v>
      </c>
      <c r="AC266" s="72" t="s">
        <v>709</v>
      </c>
      <c r="AD266" s="73" t="str">
        <f t="shared" si="22"/>
        <v>15-71</v>
      </c>
      <c r="AE266" s="74">
        <f t="shared" si="23"/>
        <v>71</v>
      </c>
      <c r="AF266" s="71" t="s">
        <v>778</v>
      </c>
      <c r="AG266" s="73" t="s">
        <v>1858</v>
      </c>
      <c r="AS266" s="3">
        <v>4921</v>
      </c>
      <c r="AT266" s="3">
        <v>301</v>
      </c>
      <c r="AU266" s="3" t="s">
        <v>3339</v>
      </c>
      <c r="AV266" s="3">
        <v>4.1399999999999997</v>
      </c>
      <c r="AX266" s="3" t="s">
        <v>2637</v>
      </c>
      <c r="AY266" s="65" t="s">
        <v>2638</v>
      </c>
      <c r="BA266" s="108" t="s">
        <v>4202</v>
      </c>
      <c r="BB266" s="182">
        <v>1856001</v>
      </c>
    </row>
    <row r="267" spans="28:54" ht="30.75" thickBot="1" x14ac:dyDescent="0.3">
      <c r="AB267" s="71" t="s">
        <v>710</v>
      </c>
      <c r="AC267" s="72" t="s">
        <v>709</v>
      </c>
      <c r="AD267" s="73" t="str">
        <f t="shared" si="22"/>
        <v>15-72</v>
      </c>
      <c r="AE267" s="74">
        <f t="shared" si="23"/>
        <v>72</v>
      </c>
      <c r="AF267" s="71" t="s">
        <v>779</v>
      </c>
      <c r="AG267" s="73" t="s">
        <v>342</v>
      </c>
      <c r="AS267" s="3">
        <v>4922</v>
      </c>
      <c r="AT267" s="3">
        <v>301</v>
      </c>
      <c r="AU267" s="3" t="s">
        <v>3340</v>
      </c>
      <c r="AV267" s="3">
        <v>4.1399999999999997</v>
      </c>
      <c r="AX267" s="3" t="s">
        <v>2639</v>
      </c>
      <c r="AY267" s="65" t="s">
        <v>2640</v>
      </c>
      <c r="BA267" s="109" t="s">
        <v>4203</v>
      </c>
      <c r="BB267" s="183">
        <v>1881001</v>
      </c>
    </row>
    <row r="268" spans="28:54" ht="15.75" thickBot="1" x14ac:dyDescent="0.3">
      <c r="AB268" s="71" t="s">
        <v>710</v>
      </c>
      <c r="AC268" s="72" t="s">
        <v>709</v>
      </c>
      <c r="AD268" s="73" t="str">
        <f t="shared" si="22"/>
        <v>15-73</v>
      </c>
      <c r="AE268" s="74">
        <f t="shared" si="23"/>
        <v>73</v>
      </c>
      <c r="AF268" s="71" t="s">
        <v>780</v>
      </c>
      <c r="AG268" s="73" t="s">
        <v>1859</v>
      </c>
      <c r="AS268" s="3">
        <v>4923</v>
      </c>
      <c r="AT268" s="3">
        <v>301</v>
      </c>
      <c r="AU268" s="3" t="s">
        <v>3341</v>
      </c>
      <c r="AV268" s="3">
        <v>4.1399999999999997</v>
      </c>
      <c r="AX268" s="3" t="s">
        <v>2641</v>
      </c>
      <c r="AY268" s="65" t="s">
        <v>2642</v>
      </c>
      <c r="BA268" s="108" t="s">
        <v>4204</v>
      </c>
      <c r="BB268" s="182">
        <v>1889001</v>
      </c>
    </row>
    <row r="269" spans="28:54" ht="30.75" thickBot="1" x14ac:dyDescent="0.3">
      <c r="AB269" s="71" t="s">
        <v>710</v>
      </c>
      <c r="AC269" s="72" t="s">
        <v>709</v>
      </c>
      <c r="AD269" s="73" t="str">
        <f t="shared" si="22"/>
        <v>15-74</v>
      </c>
      <c r="AE269" s="74">
        <f t="shared" si="23"/>
        <v>74</v>
      </c>
      <c r="AF269" s="71" t="s">
        <v>781</v>
      </c>
      <c r="AG269" s="73" t="s">
        <v>1860</v>
      </c>
      <c r="AS269" s="3">
        <v>4930</v>
      </c>
      <c r="AT269" s="3">
        <v>301</v>
      </c>
      <c r="AU269" s="3" t="s">
        <v>3342</v>
      </c>
      <c r="AV269" s="3">
        <v>4.1399999999999997</v>
      </c>
      <c r="AX269" s="3" t="s">
        <v>2643</v>
      </c>
      <c r="AY269" s="65" t="s">
        <v>2644</v>
      </c>
      <c r="BA269" s="109" t="s">
        <v>4205</v>
      </c>
      <c r="BB269" s="183">
        <v>1900101</v>
      </c>
    </row>
    <row r="270" spans="28:54" ht="45.75" thickBot="1" x14ac:dyDescent="0.3">
      <c r="AB270" s="71" t="s">
        <v>710</v>
      </c>
      <c r="AC270" s="72" t="s">
        <v>709</v>
      </c>
      <c r="AD270" s="73" t="str">
        <f t="shared" si="22"/>
        <v>15-75</v>
      </c>
      <c r="AE270" s="74">
        <f t="shared" si="23"/>
        <v>75</v>
      </c>
      <c r="AF270" s="71" t="s">
        <v>782</v>
      </c>
      <c r="AG270" s="73" t="s">
        <v>356</v>
      </c>
      <c r="AS270" s="3">
        <v>5011</v>
      </c>
      <c r="AT270" s="3">
        <v>301</v>
      </c>
      <c r="AU270" s="3" t="s">
        <v>3343</v>
      </c>
      <c r="AV270" s="3">
        <v>4.1399999999999997</v>
      </c>
      <c r="AX270" s="3" t="s">
        <v>2645</v>
      </c>
      <c r="AY270" s="65" t="s">
        <v>2646</v>
      </c>
      <c r="BA270" s="108" t="s">
        <v>4206</v>
      </c>
      <c r="BB270" s="182">
        <v>1900301</v>
      </c>
    </row>
    <row r="271" spans="28:54" ht="30.75" thickBot="1" x14ac:dyDescent="0.3">
      <c r="AB271" s="71" t="s">
        <v>710</v>
      </c>
      <c r="AC271" s="72" t="s">
        <v>709</v>
      </c>
      <c r="AD271" s="73" t="str">
        <f t="shared" si="22"/>
        <v>15-76</v>
      </c>
      <c r="AE271" s="74">
        <f t="shared" si="23"/>
        <v>76</v>
      </c>
      <c r="AF271" s="71" t="s">
        <v>783</v>
      </c>
      <c r="AG271" s="73" t="s">
        <v>366</v>
      </c>
      <c r="AS271" s="3">
        <v>5012</v>
      </c>
      <c r="AT271" s="3">
        <v>301</v>
      </c>
      <c r="AU271" s="3" t="s">
        <v>3764</v>
      </c>
      <c r="AV271" s="3">
        <v>4.1399999999999997</v>
      </c>
      <c r="AX271" s="3" t="s">
        <v>2647</v>
      </c>
      <c r="AY271" s="65" t="s">
        <v>2648</v>
      </c>
      <c r="BA271" s="109" t="s">
        <v>4207</v>
      </c>
      <c r="BB271" s="183">
        <v>1900401</v>
      </c>
    </row>
    <row r="272" spans="28:54" ht="30.75" thickBot="1" x14ac:dyDescent="0.3">
      <c r="AB272" s="71" t="s">
        <v>710</v>
      </c>
      <c r="AC272" s="72" t="s">
        <v>709</v>
      </c>
      <c r="AD272" s="73" t="str">
        <f t="shared" si="22"/>
        <v>15-77</v>
      </c>
      <c r="AE272" s="74">
        <f t="shared" si="23"/>
        <v>77</v>
      </c>
      <c r="AF272" s="71" t="s">
        <v>784</v>
      </c>
      <c r="AG272" s="73" t="s">
        <v>1807</v>
      </c>
      <c r="AS272" s="3">
        <v>5021</v>
      </c>
      <c r="AT272" s="3">
        <v>301</v>
      </c>
      <c r="AU272" s="3" t="s">
        <v>3344</v>
      </c>
      <c r="AV272" s="3">
        <v>4.1399999999999997</v>
      </c>
      <c r="AX272" s="3" t="s">
        <v>2649</v>
      </c>
      <c r="AY272" s="65" t="s">
        <v>2650</v>
      </c>
      <c r="BA272" s="108" t="s">
        <v>4208</v>
      </c>
      <c r="BB272" s="182">
        <v>1910101</v>
      </c>
    </row>
    <row r="273" spans="28:54" ht="30.75" thickBot="1" x14ac:dyDescent="0.3">
      <c r="AB273" s="71" t="s">
        <v>710</v>
      </c>
      <c r="AC273" s="72" t="s">
        <v>709</v>
      </c>
      <c r="AD273" s="73" t="str">
        <f t="shared" si="22"/>
        <v>15-78</v>
      </c>
      <c r="AE273" s="74">
        <f t="shared" si="23"/>
        <v>78</v>
      </c>
      <c r="AF273" s="71" t="s">
        <v>785</v>
      </c>
      <c r="AG273" s="73" t="s">
        <v>1861</v>
      </c>
      <c r="AS273" s="3">
        <v>5022</v>
      </c>
      <c r="AT273" s="3">
        <v>301</v>
      </c>
      <c r="AU273" s="3" t="s">
        <v>3345</v>
      </c>
      <c r="AV273" s="3">
        <v>4.1399999999999997</v>
      </c>
      <c r="AX273" s="3" t="s">
        <v>2651</v>
      </c>
      <c r="AY273" s="65" t="s">
        <v>2652</v>
      </c>
      <c r="BA273" s="109" t="s">
        <v>4209</v>
      </c>
      <c r="BB273" s="183">
        <v>1910201</v>
      </c>
    </row>
    <row r="274" spans="28:54" ht="30.75" thickBot="1" x14ac:dyDescent="0.3">
      <c r="AB274" s="71" t="s">
        <v>710</v>
      </c>
      <c r="AC274" s="72" t="s">
        <v>709</v>
      </c>
      <c r="AD274" s="73" t="str">
        <f t="shared" si="22"/>
        <v>15-79</v>
      </c>
      <c r="AE274" s="74">
        <f t="shared" si="23"/>
        <v>79</v>
      </c>
      <c r="AF274" s="71" t="s">
        <v>786</v>
      </c>
      <c r="AG274" s="73" t="s">
        <v>1862</v>
      </c>
      <c r="AS274" s="3">
        <v>5111</v>
      </c>
      <c r="AT274" s="3">
        <v>301</v>
      </c>
      <c r="AU274" s="3" t="s">
        <v>3346</v>
      </c>
      <c r="AV274" s="3">
        <v>4.1399999999999997</v>
      </c>
      <c r="AX274" s="3" t="s">
        <v>2653</v>
      </c>
      <c r="AY274" s="65" t="s">
        <v>2654</v>
      </c>
      <c r="BA274" s="108" t="s">
        <v>4210</v>
      </c>
      <c r="BB274" s="182">
        <v>1911101</v>
      </c>
    </row>
    <row r="275" spans="28:54" ht="30.75" thickBot="1" x14ac:dyDescent="0.3">
      <c r="AB275" s="71" t="s">
        <v>710</v>
      </c>
      <c r="AC275" s="72" t="s">
        <v>709</v>
      </c>
      <c r="AD275" s="73" t="str">
        <f t="shared" si="22"/>
        <v>15-80</v>
      </c>
      <c r="AE275" s="74">
        <f t="shared" si="23"/>
        <v>80</v>
      </c>
      <c r="AF275" s="71" t="s">
        <v>787</v>
      </c>
      <c r="AG275" s="73" t="s">
        <v>1789</v>
      </c>
      <c r="AS275" s="3">
        <v>5112</v>
      </c>
      <c r="AT275" s="3">
        <v>301</v>
      </c>
      <c r="AU275" s="3" t="s">
        <v>3347</v>
      </c>
      <c r="AV275" s="3">
        <v>4.1399999999999997</v>
      </c>
      <c r="AX275" s="3" t="s">
        <v>2655</v>
      </c>
      <c r="AY275" s="65" t="s">
        <v>2656</v>
      </c>
      <c r="BA275" s="109" t="s">
        <v>4211</v>
      </c>
      <c r="BB275" s="183">
        <v>1911201</v>
      </c>
    </row>
    <row r="276" spans="28:54" ht="15.75" thickBot="1" x14ac:dyDescent="0.3">
      <c r="AB276" s="71" t="s">
        <v>710</v>
      </c>
      <c r="AC276" s="72" t="s">
        <v>709</v>
      </c>
      <c r="AD276" s="73" t="str">
        <f t="shared" si="22"/>
        <v>15-81</v>
      </c>
      <c r="AE276" s="74">
        <f t="shared" si="23"/>
        <v>81</v>
      </c>
      <c r="AF276" s="71" t="s">
        <v>788</v>
      </c>
      <c r="AG276" s="73" t="s">
        <v>1863</v>
      </c>
      <c r="AS276" s="3">
        <v>5121</v>
      </c>
      <c r="AT276" s="3">
        <v>301</v>
      </c>
      <c r="AU276" s="3" t="s">
        <v>3348</v>
      </c>
      <c r="AV276" s="3">
        <v>4.1399999999999997</v>
      </c>
      <c r="AX276" s="3" t="s">
        <v>2657</v>
      </c>
      <c r="AY276" s="65" t="s">
        <v>2658</v>
      </c>
      <c r="BA276" s="108" t="s">
        <v>4212</v>
      </c>
      <c r="BB276" s="182">
        <v>1919101</v>
      </c>
    </row>
    <row r="277" spans="28:54" ht="30.75" thickBot="1" x14ac:dyDescent="0.3">
      <c r="AB277" s="71" t="s">
        <v>710</v>
      </c>
      <c r="AC277" s="72" t="s">
        <v>709</v>
      </c>
      <c r="AD277" s="73" t="str">
        <f t="shared" si="22"/>
        <v>15-82</v>
      </c>
      <c r="AE277" s="74">
        <f t="shared" si="23"/>
        <v>82</v>
      </c>
      <c r="AF277" s="71" t="s">
        <v>789</v>
      </c>
      <c r="AG277" s="73" t="s">
        <v>386</v>
      </c>
      <c r="AS277" s="3">
        <v>5122</v>
      </c>
      <c r="AT277" s="3">
        <v>301</v>
      </c>
      <c r="AU277" s="3" t="s">
        <v>3349</v>
      </c>
      <c r="AV277" s="3">
        <v>4.1399999999999997</v>
      </c>
      <c r="AX277" s="3" t="s">
        <v>2659</v>
      </c>
      <c r="AY277" s="65" t="s">
        <v>2660</v>
      </c>
      <c r="BA277" s="109" t="s">
        <v>4213</v>
      </c>
      <c r="BB277" s="183">
        <v>1919901</v>
      </c>
    </row>
    <row r="278" spans="28:54" ht="30.75" thickBot="1" x14ac:dyDescent="0.3">
      <c r="AB278" s="71" t="s">
        <v>710</v>
      </c>
      <c r="AC278" s="72" t="s">
        <v>709</v>
      </c>
      <c r="AD278" s="73" t="str">
        <f t="shared" si="22"/>
        <v>15-83</v>
      </c>
      <c r="AE278" s="74">
        <f t="shared" si="23"/>
        <v>83</v>
      </c>
      <c r="AF278" s="71" t="s">
        <v>790</v>
      </c>
      <c r="AG278" s="73" t="s">
        <v>1758</v>
      </c>
      <c r="AS278" s="3">
        <v>5210</v>
      </c>
      <c r="AT278" s="3">
        <v>304</v>
      </c>
      <c r="AU278" s="3" t="s">
        <v>3398</v>
      </c>
      <c r="AV278" s="3">
        <v>9.66</v>
      </c>
      <c r="AX278" s="3" t="s">
        <v>2661</v>
      </c>
      <c r="AY278" s="65" t="s">
        <v>2662</v>
      </c>
      <c r="BA278" s="108" t="s">
        <v>4214</v>
      </c>
      <c r="BB278" s="182">
        <v>1920001</v>
      </c>
    </row>
    <row r="279" spans="28:54" ht="30.75" thickBot="1" x14ac:dyDescent="0.3">
      <c r="AB279" s="71" t="s">
        <v>710</v>
      </c>
      <c r="AC279" s="72" t="s">
        <v>709</v>
      </c>
      <c r="AD279" s="73" t="str">
        <f t="shared" si="22"/>
        <v>15-84</v>
      </c>
      <c r="AE279" s="74">
        <f t="shared" si="23"/>
        <v>84</v>
      </c>
      <c r="AF279" s="71" t="s">
        <v>791</v>
      </c>
      <c r="AG279" s="73" t="s">
        <v>1759</v>
      </c>
      <c r="AS279" s="3">
        <v>5221</v>
      </c>
      <c r="AT279" s="3">
        <v>304</v>
      </c>
      <c r="AU279" s="3" t="s">
        <v>3765</v>
      </c>
      <c r="AV279" s="3">
        <v>9.66</v>
      </c>
      <c r="AX279" s="3" t="s">
        <v>2663</v>
      </c>
      <c r="AY279" s="65" t="s">
        <v>2664</v>
      </c>
      <c r="BA279" s="109" t="s">
        <v>4215</v>
      </c>
      <c r="BB279" s="183">
        <v>1921401</v>
      </c>
    </row>
    <row r="280" spans="28:54" ht="30.75" thickBot="1" x14ac:dyDescent="0.3">
      <c r="AB280" s="71" t="s">
        <v>710</v>
      </c>
      <c r="AC280" s="72" t="s">
        <v>709</v>
      </c>
      <c r="AD280" s="73" t="str">
        <f t="shared" si="22"/>
        <v>15-85</v>
      </c>
      <c r="AE280" s="74">
        <f t="shared" si="23"/>
        <v>85</v>
      </c>
      <c r="AF280" s="71" t="s">
        <v>792</v>
      </c>
      <c r="AG280" s="73" t="s">
        <v>1813</v>
      </c>
      <c r="AS280" s="3">
        <v>5222</v>
      </c>
      <c r="AT280" s="3">
        <v>301</v>
      </c>
      <c r="AU280" s="3" t="s">
        <v>3766</v>
      </c>
      <c r="AV280" s="3">
        <v>4.1399999999999997</v>
      </c>
      <c r="AX280" s="3" t="s">
        <v>2665</v>
      </c>
      <c r="AY280" s="65" t="s">
        <v>2666</v>
      </c>
      <c r="BA280" s="108" t="s">
        <v>4216</v>
      </c>
      <c r="BB280" s="182">
        <v>1923101</v>
      </c>
    </row>
    <row r="281" spans="28:54" ht="30.75" thickBot="1" x14ac:dyDescent="0.3">
      <c r="AB281" s="71" t="s">
        <v>710</v>
      </c>
      <c r="AC281" s="72" t="s">
        <v>709</v>
      </c>
      <c r="AD281" s="73" t="str">
        <f t="shared" si="22"/>
        <v>15-86</v>
      </c>
      <c r="AE281" s="74">
        <f t="shared" si="23"/>
        <v>86</v>
      </c>
      <c r="AF281" s="71" t="s">
        <v>793</v>
      </c>
      <c r="AG281" s="73" t="s">
        <v>390</v>
      </c>
      <c r="AS281" s="3">
        <v>5223</v>
      </c>
      <c r="AT281" s="3">
        <v>304</v>
      </c>
      <c r="AU281" s="3" t="s">
        <v>3767</v>
      </c>
      <c r="AV281" s="3">
        <v>9.66</v>
      </c>
      <c r="AX281" s="3" t="s">
        <v>2667</v>
      </c>
      <c r="AY281" s="65" t="s">
        <v>2668</v>
      </c>
      <c r="BA281" s="109" t="s">
        <v>4217</v>
      </c>
      <c r="BB281" s="183">
        <v>1923201</v>
      </c>
    </row>
    <row r="282" spans="28:54" ht="30.75" thickBot="1" x14ac:dyDescent="0.3">
      <c r="AB282" s="71" t="s">
        <v>710</v>
      </c>
      <c r="AC282" s="72" t="s">
        <v>709</v>
      </c>
      <c r="AD282" s="73" t="str">
        <f t="shared" si="22"/>
        <v>15-87</v>
      </c>
      <c r="AE282" s="74">
        <f t="shared" si="23"/>
        <v>87</v>
      </c>
      <c r="AF282" s="71" t="s">
        <v>794</v>
      </c>
      <c r="AG282" s="73" t="s">
        <v>1864</v>
      </c>
      <c r="AS282" s="3">
        <v>5224</v>
      </c>
      <c r="AT282" s="3">
        <v>304</v>
      </c>
      <c r="AU282" s="3" t="s">
        <v>3399</v>
      </c>
      <c r="AV282" s="3">
        <v>9.66</v>
      </c>
      <c r="AX282" s="3" t="s">
        <v>2669</v>
      </c>
      <c r="AY282" s="65" t="s">
        <v>2670</v>
      </c>
      <c r="BA282" s="108" t="s">
        <v>4218</v>
      </c>
      <c r="BB282" s="182">
        <v>1924101</v>
      </c>
    </row>
    <row r="283" spans="28:54" ht="45.75" thickBot="1" x14ac:dyDescent="0.3">
      <c r="AB283" s="71" t="s">
        <v>710</v>
      </c>
      <c r="AC283" s="72" t="s">
        <v>709</v>
      </c>
      <c r="AD283" s="73" t="str">
        <f t="shared" si="22"/>
        <v>15-88</v>
      </c>
      <c r="AE283" s="74">
        <f t="shared" si="23"/>
        <v>88</v>
      </c>
      <c r="AF283" s="71" t="s">
        <v>795</v>
      </c>
      <c r="AG283" s="73" t="s">
        <v>1762</v>
      </c>
      <c r="AS283" s="3">
        <v>5229</v>
      </c>
      <c r="AT283" s="3">
        <v>304</v>
      </c>
      <c r="AU283" s="3" t="s">
        <v>3400</v>
      </c>
      <c r="AV283" s="3">
        <v>9.66</v>
      </c>
      <c r="AX283" s="3" t="s">
        <v>2671</v>
      </c>
      <c r="AY283" s="65" t="s">
        <v>2672</v>
      </c>
      <c r="BA283" s="109" t="s">
        <v>4219</v>
      </c>
      <c r="BB283" s="183">
        <v>1924201</v>
      </c>
    </row>
    <row r="284" spans="28:54" ht="30.75" thickBot="1" x14ac:dyDescent="0.3">
      <c r="AB284" s="71" t="s">
        <v>710</v>
      </c>
      <c r="AC284" s="72" t="s">
        <v>709</v>
      </c>
      <c r="AD284" s="73" t="str">
        <f t="shared" si="22"/>
        <v>15-89</v>
      </c>
      <c r="AE284" s="74">
        <f t="shared" si="23"/>
        <v>89</v>
      </c>
      <c r="AF284" s="71" t="s">
        <v>796</v>
      </c>
      <c r="AG284" s="73" t="s">
        <v>400</v>
      </c>
      <c r="AS284" s="3">
        <v>5310</v>
      </c>
      <c r="AT284" s="3">
        <v>304</v>
      </c>
      <c r="AU284" s="3" t="s">
        <v>3401</v>
      </c>
      <c r="AV284" s="3">
        <v>9.66</v>
      </c>
      <c r="AX284" s="3" t="s">
        <v>2673</v>
      </c>
      <c r="AY284" s="65" t="s">
        <v>2674</v>
      </c>
      <c r="BA284" s="108" t="s">
        <v>4220</v>
      </c>
      <c r="BB284" s="182">
        <v>1930201</v>
      </c>
    </row>
    <row r="285" spans="28:54" ht="15.75" thickBot="1" x14ac:dyDescent="0.3">
      <c r="AB285" s="71" t="s">
        <v>710</v>
      </c>
      <c r="AC285" s="72" t="s">
        <v>709</v>
      </c>
      <c r="AD285" s="73" t="str">
        <f t="shared" si="22"/>
        <v>15-90</v>
      </c>
      <c r="AE285" s="74">
        <f t="shared" si="23"/>
        <v>90</v>
      </c>
      <c r="AF285" s="71" t="s">
        <v>797</v>
      </c>
      <c r="AG285" s="73" t="s">
        <v>1865</v>
      </c>
      <c r="AS285" s="3">
        <v>5320</v>
      </c>
      <c r="AT285" s="3">
        <v>304</v>
      </c>
      <c r="AU285" s="3" t="s">
        <v>3402</v>
      </c>
      <c r="AV285" s="3">
        <v>9.66</v>
      </c>
      <c r="AX285" s="3" t="s">
        <v>2675</v>
      </c>
      <c r="AY285" s="65" t="s">
        <v>2676</v>
      </c>
      <c r="BA285" s="109" t="s">
        <v>4221</v>
      </c>
      <c r="BB285" s="183">
        <v>1930901</v>
      </c>
    </row>
    <row r="286" spans="28:54" ht="30.75" thickBot="1" x14ac:dyDescent="0.3">
      <c r="AB286" s="71" t="s">
        <v>710</v>
      </c>
      <c r="AC286" s="72" t="s">
        <v>709</v>
      </c>
      <c r="AD286" s="73" t="str">
        <f t="shared" si="22"/>
        <v>15-91</v>
      </c>
      <c r="AE286" s="74">
        <f t="shared" si="23"/>
        <v>91</v>
      </c>
      <c r="AF286" s="71" t="s">
        <v>798</v>
      </c>
      <c r="AG286" s="73" t="s">
        <v>1866</v>
      </c>
      <c r="AS286" s="3">
        <v>5330</v>
      </c>
      <c r="AT286" s="3">
        <v>304</v>
      </c>
      <c r="AU286" s="3" t="s">
        <v>3839</v>
      </c>
      <c r="AV286" s="3">
        <v>11.04</v>
      </c>
      <c r="AX286" s="3" t="s">
        <v>2677</v>
      </c>
      <c r="AY286" s="65" t="s">
        <v>2678</v>
      </c>
      <c r="BA286" s="108" t="s">
        <v>4222</v>
      </c>
      <c r="BB286" s="182">
        <v>1941101</v>
      </c>
    </row>
    <row r="287" spans="28:54" ht="30.75" thickBot="1" x14ac:dyDescent="0.3">
      <c r="AB287" s="71" t="s">
        <v>710</v>
      </c>
      <c r="AC287" s="72" t="s">
        <v>709</v>
      </c>
      <c r="AD287" s="73" t="str">
        <f t="shared" si="22"/>
        <v>15-92</v>
      </c>
      <c r="AE287" s="74">
        <f t="shared" si="23"/>
        <v>92</v>
      </c>
      <c r="AF287" s="71" t="s">
        <v>799</v>
      </c>
      <c r="AG287" s="73" t="s">
        <v>414</v>
      </c>
      <c r="AS287" s="3">
        <v>5511</v>
      </c>
      <c r="AT287" s="3">
        <v>303</v>
      </c>
      <c r="AU287" s="3" t="s">
        <v>3369</v>
      </c>
      <c r="AV287" s="3">
        <v>13.8</v>
      </c>
      <c r="AX287" s="3" t="s">
        <v>2679</v>
      </c>
      <c r="AY287" s="65" t="s">
        <v>2680</v>
      </c>
      <c r="BA287" s="109" t="s">
        <v>4223</v>
      </c>
      <c r="BB287" s="183">
        <v>1941201</v>
      </c>
    </row>
    <row r="288" spans="28:54" ht="30.75" thickBot="1" x14ac:dyDescent="0.3">
      <c r="AB288" s="71" t="s">
        <v>710</v>
      </c>
      <c r="AC288" s="72" t="s">
        <v>709</v>
      </c>
      <c r="AD288" s="73" t="str">
        <f t="shared" si="22"/>
        <v>15-93</v>
      </c>
      <c r="AE288" s="74">
        <f t="shared" si="23"/>
        <v>93</v>
      </c>
      <c r="AF288" s="71" t="s">
        <v>800</v>
      </c>
      <c r="AG288" s="73" t="s">
        <v>1867</v>
      </c>
      <c r="AS288" s="3">
        <v>5512</v>
      </c>
      <c r="AT288" s="3">
        <v>303</v>
      </c>
      <c r="AU288" s="3" t="s">
        <v>3768</v>
      </c>
      <c r="AV288" s="3">
        <v>13.8</v>
      </c>
      <c r="AX288" s="3" t="s">
        <v>2681</v>
      </c>
      <c r="AY288" s="65" t="s">
        <v>2682</v>
      </c>
      <c r="BA288" s="108" t="s">
        <v>4224</v>
      </c>
      <c r="BB288" s="182">
        <v>1949101</v>
      </c>
    </row>
    <row r="289" spans="28:54" ht="15.75" thickBot="1" x14ac:dyDescent="0.3">
      <c r="AB289" s="71" t="s">
        <v>710</v>
      </c>
      <c r="AC289" s="72" t="s">
        <v>709</v>
      </c>
      <c r="AD289" s="73" t="str">
        <f t="shared" si="22"/>
        <v>15-94</v>
      </c>
      <c r="AE289" s="74">
        <f t="shared" si="23"/>
        <v>94</v>
      </c>
      <c r="AF289" s="71" t="s">
        <v>801</v>
      </c>
      <c r="AG289" s="73" t="s">
        <v>1868</v>
      </c>
      <c r="AS289" s="3">
        <v>5513</v>
      </c>
      <c r="AT289" s="3">
        <v>303</v>
      </c>
      <c r="AU289" s="3" t="s">
        <v>3370</v>
      </c>
      <c r="AV289" s="3">
        <v>13.8</v>
      </c>
      <c r="AX289" s="3" t="s">
        <v>2683</v>
      </c>
      <c r="AY289" s="65" t="s">
        <v>2684</v>
      </c>
      <c r="BA289" s="109" t="s">
        <v>4225</v>
      </c>
      <c r="BB289" s="183">
        <v>1949901</v>
      </c>
    </row>
    <row r="290" spans="28:54" ht="30.75" thickBot="1" x14ac:dyDescent="0.3">
      <c r="AB290" s="71" t="s">
        <v>710</v>
      </c>
      <c r="AC290" s="72" t="s">
        <v>709</v>
      </c>
      <c r="AD290" s="73" t="str">
        <f t="shared" si="22"/>
        <v>15-95</v>
      </c>
      <c r="AE290" s="74">
        <f t="shared" si="23"/>
        <v>95</v>
      </c>
      <c r="AF290" s="71" t="s">
        <v>802</v>
      </c>
      <c r="AG290" s="73" t="s">
        <v>1869</v>
      </c>
      <c r="AS290" s="3">
        <v>5514</v>
      </c>
      <c r="AT290" s="3">
        <v>303</v>
      </c>
      <c r="AU290" s="3" t="s">
        <v>3371</v>
      </c>
      <c r="AV290" s="3">
        <v>13.8</v>
      </c>
      <c r="AX290" s="3" t="s">
        <v>2685</v>
      </c>
      <c r="AY290" s="65" t="s">
        <v>2686</v>
      </c>
      <c r="BA290" s="108" t="s">
        <v>4226</v>
      </c>
      <c r="BB290" s="182">
        <v>1949902</v>
      </c>
    </row>
    <row r="291" spans="28:54" ht="30.75" thickBot="1" x14ac:dyDescent="0.3">
      <c r="AB291" s="71" t="s">
        <v>710</v>
      </c>
      <c r="AC291" s="72" t="s">
        <v>709</v>
      </c>
      <c r="AD291" s="73" t="str">
        <f t="shared" si="22"/>
        <v>15-96</v>
      </c>
      <c r="AE291" s="74">
        <f t="shared" si="23"/>
        <v>96</v>
      </c>
      <c r="AF291" s="71" t="s">
        <v>803</v>
      </c>
      <c r="AG291" s="73" t="s">
        <v>1870</v>
      </c>
      <c r="AS291" s="3">
        <v>5519</v>
      </c>
      <c r="AT291" s="3">
        <v>303</v>
      </c>
      <c r="AU291" s="3" t="s">
        <v>3372</v>
      </c>
      <c r="AV291" s="3">
        <v>13.8</v>
      </c>
      <c r="AX291" s="3" t="s">
        <v>2687</v>
      </c>
      <c r="AY291" s="65" t="s">
        <v>2688</v>
      </c>
      <c r="BA291" s="109" t="s">
        <v>4227</v>
      </c>
      <c r="BB291" s="183">
        <v>1949903</v>
      </c>
    </row>
    <row r="292" spans="28:54" ht="15.75" thickBot="1" x14ac:dyDescent="0.3">
      <c r="AB292" s="71" t="s">
        <v>710</v>
      </c>
      <c r="AC292" s="72" t="s">
        <v>709</v>
      </c>
      <c r="AD292" s="73" t="str">
        <f t="shared" si="22"/>
        <v>15-97</v>
      </c>
      <c r="AE292" s="74">
        <f t="shared" si="23"/>
        <v>97</v>
      </c>
      <c r="AF292" s="71" t="s">
        <v>804</v>
      </c>
      <c r="AG292" s="73" t="s">
        <v>1871</v>
      </c>
      <c r="AS292" s="3">
        <v>5520</v>
      </c>
      <c r="AT292" s="3">
        <v>303</v>
      </c>
      <c r="AU292" s="3" t="s">
        <v>3373</v>
      </c>
      <c r="AV292" s="3">
        <v>13.8</v>
      </c>
      <c r="AX292" s="3" t="s">
        <v>2689</v>
      </c>
      <c r="AY292" s="65" t="s">
        <v>2690</v>
      </c>
      <c r="BA292" s="108" t="s">
        <v>4228</v>
      </c>
      <c r="BB292" s="182">
        <v>1950001</v>
      </c>
    </row>
    <row r="293" spans="28:54" ht="15.75" thickBot="1" x14ac:dyDescent="0.3">
      <c r="AB293" s="71" t="s">
        <v>710</v>
      </c>
      <c r="AC293" s="72" t="s">
        <v>709</v>
      </c>
      <c r="AD293" s="73" t="str">
        <f t="shared" si="22"/>
        <v>15-98</v>
      </c>
      <c r="AE293" s="74">
        <f t="shared" si="23"/>
        <v>98</v>
      </c>
      <c r="AF293" s="71" t="s">
        <v>805</v>
      </c>
      <c r="AG293" s="73" t="s">
        <v>434</v>
      </c>
      <c r="AS293" s="3">
        <v>5530</v>
      </c>
      <c r="AT293" s="3">
        <v>303</v>
      </c>
      <c r="AU293" s="3" t="s">
        <v>3769</v>
      </c>
      <c r="AV293" s="3">
        <v>13.8</v>
      </c>
      <c r="AX293" s="3" t="s">
        <v>2691</v>
      </c>
      <c r="AY293" s="65" t="s">
        <v>2692</v>
      </c>
      <c r="BA293" s="109" t="s">
        <v>4229</v>
      </c>
      <c r="BB293" s="183">
        <v>1952401</v>
      </c>
    </row>
    <row r="294" spans="28:54" ht="15.75" thickBot="1" x14ac:dyDescent="0.3">
      <c r="AB294" s="71" t="s">
        <v>710</v>
      </c>
      <c r="AC294" s="72" t="s">
        <v>709</v>
      </c>
      <c r="AD294" s="73" t="str">
        <f t="shared" si="22"/>
        <v>15-99</v>
      </c>
      <c r="AE294" s="74">
        <f t="shared" si="23"/>
        <v>99</v>
      </c>
      <c r="AF294" s="71" t="s">
        <v>806</v>
      </c>
      <c r="AG294" s="73" t="s">
        <v>1764</v>
      </c>
      <c r="AS294" s="3">
        <v>5590</v>
      </c>
      <c r="AT294" s="3">
        <v>303</v>
      </c>
      <c r="AU294" s="3" t="s">
        <v>2748</v>
      </c>
      <c r="AV294" s="3">
        <v>13.8</v>
      </c>
      <c r="AX294" s="3" t="s">
        <v>2693</v>
      </c>
      <c r="AY294" s="65" t="s">
        <v>2694</v>
      </c>
      <c r="BA294" s="108" t="s">
        <v>4230</v>
      </c>
      <c r="BB294" s="182">
        <v>1952901</v>
      </c>
    </row>
    <row r="295" spans="28:54" ht="15.75" thickBot="1" x14ac:dyDescent="0.3">
      <c r="AB295" s="71" t="s">
        <v>710</v>
      </c>
      <c r="AC295" s="72" t="s">
        <v>709</v>
      </c>
      <c r="AD295" s="73" t="str">
        <f t="shared" si="22"/>
        <v>15-100</v>
      </c>
      <c r="AE295" s="74">
        <f t="shared" si="23"/>
        <v>100</v>
      </c>
      <c r="AF295" s="71" t="s">
        <v>807</v>
      </c>
      <c r="AG295" s="73" t="s">
        <v>1872</v>
      </c>
      <c r="AS295" s="3">
        <v>5611</v>
      </c>
      <c r="AT295" s="3">
        <v>303</v>
      </c>
      <c r="AU295" s="3" t="s">
        <v>3374</v>
      </c>
      <c r="AV295" s="3">
        <v>13.8</v>
      </c>
      <c r="AX295" s="3" t="s">
        <v>2695</v>
      </c>
      <c r="AY295" s="65" t="s">
        <v>2696</v>
      </c>
      <c r="BA295" s="109" t="s">
        <v>4231</v>
      </c>
      <c r="BB295" s="183">
        <v>1960201</v>
      </c>
    </row>
    <row r="296" spans="28:54" ht="15.75" thickBot="1" x14ac:dyDescent="0.3">
      <c r="AB296" s="71" t="s">
        <v>710</v>
      </c>
      <c r="AC296" s="72" t="s">
        <v>709</v>
      </c>
      <c r="AD296" s="73" t="str">
        <f t="shared" si="22"/>
        <v>15-101</v>
      </c>
      <c r="AE296" s="74">
        <f t="shared" si="23"/>
        <v>101</v>
      </c>
      <c r="AF296" s="71" t="s">
        <v>808</v>
      </c>
      <c r="AG296" s="73" t="s">
        <v>1873</v>
      </c>
      <c r="AS296" s="3">
        <v>5612</v>
      </c>
      <c r="AT296" s="3">
        <v>303</v>
      </c>
      <c r="AU296" s="3" t="s">
        <v>3375</v>
      </c>
      <c r="AV296" s="3">
        <v>13.8</v>
      </c>
      <c r="AX296" s="3" t="s">
        <v>2697</v>
      </c>
      <c r="AY296" s="65" t="s">
        <v>2698</v>
      </c>
      <c r="BA296" s="108" t="s">
        <v>3896</v>
      </c>
      <c r="BB296" s="182">
        <v>1960901</v>
      </c>
    </row>
    <row r="297" spans="28:54" ht="15.75" thickBot="1" x14ac:dyDescent="0.3">
      <c r="AB297" s="71" t="s">
        <v>710</v>
      </c>
      <c r="AC297" s="72" t="s">
        <v>709</v>
      </c>
      <c r="AD297" s="73" t="str">
        <f t="shared" si="22"/>
        <v>15-102</v>
      </c>
      <c r="AE297" s="74">
        <f t="shared" si="23"/>
        <v>102</v>
      </c>
      <c r="AF297" s="71" t="s">
        <v>809</v>
      </c>
      <c r="AG297" s="73" t="s">
        <v>436</v>
      </c>
      <c r="AS297" s="3">
        <v>5613</v>
      </c>
      <c r="AT297" s="3">
        <v>303</v>
      </c>
      <c r="AU297" s="3" t="s">
        <v>3376</v>
      </c>
      <c r="AV297" s="3">
        <v>13.8</v>
      </c>
      <c r="AX297" s="3" t="s">
        <v>2699</v>
      </c>
      <c r="AY297" s="65" t="s">
        <v>2700</v>
      </c>
      <c r="BA297" s="109" t="s">
        <v>4232</v>
      </c>
      <c r="BB297" s="183">
        <v>1960902</v>
      </c>
    </row>
    <row r="298" spans="28:54" ht="15.75" thickBot="1" x14ac:dyDescent="0.3">
      <c r="AB298" s="71" t="s">
        <v>710</v>
      </c>
      <c r="AC298" s="72" t="s">
        <v>709</v>
      </c>
      <c r="AD298" s="73" t="str">
        <f t="shared" si="22"/>
        <v>15-103</v>
      </c>
      <c r="AE298" s="74">
        <f t="shared" si="23"/>
        <v>103</v>
      </c>
      <c r="AF298" s="71" t="s">
        <v>810</v>
      </c>
      <c r="AG298" s="73" t="s">
        <v>444</v>
      </c>
      <c r="AS298" s="3">
        <v>5619</v>
      </c>
      <c r="AT298" s="3">
        <v>303</v>
      </c>
      <c r="AU298" s="3" t="s">
        <v>2756</v>
      </c>
      <c r="AV298" s="3">
        <v>13.8</v>
      </c>
      <c r="AX298" s="3" t="s">
        <v>2701</v>
      </c>
      <c r="AY298" s="65" t="s">
        <v>2702</v>
      </c>
      <c r="BA298" s="108" t="s">
        <v>4233</v>
      </c>
      <c r="BB298" s="182">
        <v>1960903</v>
      </c>
    </row>
    <row r="299" spans="28:54" ht="15.75" thickBot="1" x14ac:dyDescent="0.3">
      <c r="AB299" s="71" t="s">
        <v>710</v>
      </c>
      <c r="AC299" s="72" t="s">
        <v>709</v>
      </c>
      <c r="AD299" s="73" t="str">
        <f t="shared" si="22"/>
        <v>15-104</v>
      </c>
      <c r="AE299" s="74">
        <f t="shared" si="23"/>
        <v>104</v>
      </c>
      <c r="AF299" s="71" t="s">
        <v>811</v>
      </c>
      <c r="AG299" s="73" t="s">
        <v>446</v>
      </c>
      <c r="AS299" s="3">
        <v>5621</v>
      </c>
      <c r="AT299" s="3">
        <v>303</v>
      </c>
      <c r="AU299" s="3" t="s">
        <v>3377</v>
      </c>
      <c r="AV299" s="3">
        <v>13.8</v>
      </c>
      <c r="AX299" s="3" t="s">
        <v>2703</v>
      </c>
      <c r="AY299" s="65" t="s">
        <v>2704</v>
      </c>
      <c r="BA299" s="109" t="s">
        <v>4234</v>
      </c>
      <c r="BB299" s="183">
        <v>1960904</v>
      </c>
    </row>
    <row r="300" spans="28:54" ht="15.75" thickBot="1" x14ac:dyDescent="0.3">
      <c r="AB300" s="71" t="s">
        <v>710</v>
      </c>
      <c r="AC300" s="72" t="s">
        <v>709</v>
      </c>
      <c r="AD300" s="73" t="str">
        <f t="shared" si="22"/>
        <v>15-105</v>
      </c>
      <c r="AE300" s="74">
        <f t="shared" si="23"/>
        <v>105</v>
      </c>
      <c r="AF300" s="71" t="s">
        <v>812</v>
      </c>
      <c r="AG300" s="73" t="s">
        <v>1874</v>
      </c>
      <c r="AS300" s="3">
        <v>5629</v>
      </c>
      <c r="AT300" s="3">
        <v>303</v>
      </c>
      <c r="AU300" s="3" t="s">
        <v>3378</v>
      </c>
      <c r="AV300" s="3">
        <v>13.8</v>
      </c>
      <c r="AX300" s="3" t="s">
        <v>2705</v>
      </c>
      <c r="AY300" s="65" t="s">
        <v>2706</v>
      </c>
      <c r="BA300" s="108" t="s">
        <v>4235</v>
      </c>
      <c r="BB300" s="182">
        <v>1960905</v>
      </c>
    </row>
    <row r="301" spans="28:54" ht="15.75" thickBot="1" x14ac:dyDescent="0.3">
      <c r="AB301" s="71" t="s">
        <v>710</v>
      </c>
      <c r="AC301" s="72" t="s">
        <v>709</v>
      </c>
      <c r="AD301" s="73" t="str">
        <f t="shared" si="22"/>
        <v>15-106</v>
      </c>
      <c r="AE301" s="74">
        <f t="shared" si="23"/>
        <v>106</v>
      </c>
      <c r="AF301" s="71" t="s">
        <v>813</v>
      </c>
      <c r="AG301" s="73" t="s">
        <v>1765</v>
      </c>
      <c r="AS301" s="3">
        <v>5630</v>
      </c>
      <c r="AT301" s="3">
        <v>303</v>
      </c>
      <c r="AU301" s="3" t="s">
        <v>3379</v>
      </c>
      <c r="AV301" s="3">
        <v>13.8</v>
      </c>
      <c r="AX301" s="3" t="s">
        <v>2707</v>
      </c>
      <c r="AY301" s="65" t="s">
        <v>2708</v>
      </c>
      <c r="BA301" s="109" t="s">
        <v>4236</v>
      </c>
      <c r="BB301" s="183">
        <v>1960906</v>
      </c>
    </row>
    <row r="302" spans="28:54" ht="15.75" thickBot="1" x14ac:dyDescent="0.3">
      <c r="AB302" s="71" t="s">
        <v>710</v>
      </c>
      <c r="AC302" s="72" t="s">
        <v>709</v>
      </c>
      <c r="AD302" s="73" t="str">
        <f t="shared" si="22"/>
        <v>15-107</v>
      </c>
      <c r="AE302" s="74">
        <f t="shared" si="23"/>
        <v>107</v>
      </c>
      <c r="AF302" s="71" t="s">
        <v>814</v>
      </c>
      <c r="AG302" s="73" t="s">
        <v>1875</v>
      </c>
      <c r="AS302" s="3">
        <v>5812</v>
      </c>
      <c r="AT302" s="3">
        <v>103</v>
      </c>
      <c r="AU302" s="3" t="s">
        <v>3294</v>
      </c>
      <c r="AV302" s="3">
        <v>11.04</v>
      </c>
      <c r="AX302" s="3" t="s">
        <v>2709</v>
      </c>
      <c r="AY302" s="65" t="s">
        <v>2710</v>
      </c>
      <c r="BA302" s="108" t="s">
        <v>4237</v>
      </c>
      <c r="BB302" s="182">
        <v>1970001</v>
      </c>
    </row>
    <row r="303" spans="28:54" ht="15.75" thickBot="1" x14ac:dyDescent="0.3">
      <c r="AB303" s="71" t="s">
        <v>710</v>
      </c>
      <c r="AC303" s="72" t="s">
        <v>709</v>
      </c>
      <c r="AD303" s="73" t="str">
        <f t="shared" si="22"/>
        <v>15-108</v>
      </c>
      <c r="AE303" s="74">
        <f t="shared" si="23"/>
        <v>108</v>
      </c>
      <c r="AF303" s="71" t="s">
        <v>815</v>
      </c>
      <c r="AG303" s="73" t="s">
        <v>1876</v>
      </c>
      <c r="AS303" s="3">
        <v>5813</v>
      </c>
      <c r="AT303" s="3">
        <v>301</v>
      </c>
      <c r="AU303" s="3" t="s">
        <v>3350</v>
      </c>
      <c r="AV303" s="3">
        <v>4.1399999999999997</v>
      </c>
      <c r="AX303" s="3" t="s">
        <v>2711</v>
      </c>
      <c r="AY303" s="65" t="s">
        <v>2712</v>
      </c>
      <c r="BA303" s="109" t="s">
        <v>4238</v>
      </c>
      <c r="BB303" s="183">
        <v>1970002</v>
      </c>
    </row>
    <row r="304" spans="28:54" ht="15.75" thickBot="1" x14ac:dyDescent="0.3">
      <c r="AB304" s="71" t="s">
        <v>710</v>
      </c>
      <c r="AC304" s="72" t="s">
        <v>709</v>
      </c>
      <c r="AD304" s="73" t="str">
        <f t="shared" si="22"/>
        <v>15-109</v>
      </c>
      <c r="AE304" s="74">
        <f t="shared" si="23"/>
        <v>109</v>
      </c>
      <c r="AF304" s="71" t="s">
        <v>816</v>
      </c>
      <c r="AG304" s="73" t="s">
        <v>1877</v>
      </c>
      <c r="AS304" s="3">
        <v>5819</v>
      </c>
      <c r="AT304" s="3">
        <v>103</v>
      </c>
      <c r="AU304" s="3" t="s">
        <v>3295</v>
      </c>
      <c r="AV304" s="3">
        <v>11.04</v>
      </c>
      <c r="AX304" s="3" t="s">
        <v>2713</v>
      </c>
      <c r="AY304" s="65" t="s">
        <v>2714</v>
      </c>
      <c r="BA304" s="108" t="s">
        <v>4239</v>
      </c>
      <c r="BB304" s="182">
        <v>211101</v>
      </c>
    </row>
    <row r="305" spans="28:54" ht="15.75" thickBot="1" x14ac:dyDescent="0.3">
      <c r="AB305" s="71" t="s">
        <v>710</v>
      </c>
      <c r="AC305" s="72" t="s">
        <v>709</v>
      </c>
      <c r="AD305" s="73" t="str">
        <f t="shared" si="22"/>
        <v>15-110</v>
      </c>
      <c r="AE305" s="74">
        <f t="shared" si="23"/>
        <v>110</v>
      </c>
      <c r="AF305" s="71" t="s">
        <v>817</v>
      </c>
      <c r="AG305" s="73" t="s">
        <v>1878</v>
      </c>
      <c r="AS305" s="3">
        <v>5820</v>
      </c>
      <c r="AT305" s="3">
        <v>103</v>
      </c>
      <c r="AU305" s="3" t="s">
        <v>3296</v>
      </c>
      <c r="AV305" s="3">
        <v>11.04</v>
      </c>
      <c r="AX305" s="3" t="s">
        <v>2715</v>
      </c>
      <c r="AY305" s="65" t="s">
        <v>2716</v>
      </c>
      <c r="BA305" s="109" t="s">
        <v>4240</v>
      </c>
      <c r="BB305" s="183">
        <v>211301</v>
      </c>
    </row>
    <row r="306" spans="28:54" ht="15.75" thickBot="1" x14ac:dyDescent="0.3">
      <c r="AB306" s="71" t="s">
        <v>710</v>
      </c>
      <c r="AC306" s="72" t="s">
        <v>709</v>
      </c>
      <c r="AD306" s="73" t="str">
        <f t="shared" si="22"/>
        <v>15-111</v>
      </c>
      <c r="AE306" s="74">
        <f t="shared" si="23"/>
        <v>111</v>
      </c>
      <c r="AF306" s="71" t="s">
        <v>818</v>
      </c>
      <c r="AG306" s="73" t="s">
        <v>462</v>
      </c>
      <c r="AS306" s="3">
        <v>5911</v>
      </c>
      <c r="AT306" s="3">
        <v>103</v>
      </c>
      <c r="AU306" s="3" t="s">
        <v>3770</v>
      </c>
      <c r="AV306" s="3">
        <v>11.04</v>
      </c>
      <c r="AX306" s="3" t="s">
        <v>2717</v>
      </c>
      <c r="AY306" s="65" t="s">
        <v>2718</v>
      </c>
      <c r="BA306" s="108" t="s">
        <v>4241</v>
      </c>
      <c r="BB306" s="182">
        <v>211501</v>
      </c>
    </row>
    <row r="307" spans="28:54" ht="30.75" thickBot="1" x14ac:dyDescent="0.3">
      <c r="AB307" s="71" t="s">
        <v>710</v>
      </c>
      <c r="AC307" s="72" t="s">
        <v>709</v>
      </c>
      <c r="AD307" s="73" t="str">
        <f t="shared" si="22"/>
        <v>15-112</v>
      </c>
      <c r="AE307" s="74">
        <f t="shared" si="23"/>
        <v>112</v>
      </c>
      <c r="AF307" s="71" t="s">
        <v>819</v>
      </c>
      <c r="AG307" s="73" t="s">
        <v>1879</v>
      </c>
      <c r="AS307" s="3">
        <v>5912</v>
      </c>
      <c r="AT307" s="3">
        <v>103</v>
      </c>
      <c r="AU307" s="3" t="s">
        <v>3771</v>
      </c>
      <c r="AV307" s="3">
        <v>11.04</v>
      </c>
      <c r="AX307" s="3" t="s">
        <v>2719</v>
      </c>
      <c r="AY307" s="65" t="s">
        <v>2720</v>
      </c>
      <c r="BA307" s="109" t="s">
        <v>4242</v>
      </c>
      <c r="BB307" s="183">
        <v>211601</v>
      </c>
    </row>
    <row r="308" spans="28:54" ht="30.75" thickBot="1" x14ac:dyDescent="0.3">
      <c r="AB308" s="71" t="s">
        <v>710</v>
      </c>
      <c r="AC308" s="72" t="s">
        <v>709</v>
      </c>
      <c r="AD308" s="73" t="str">
        <f t="shared" si="22"/>
        <v>15-113</v>
      </c>
      <c r="AE308" s="74">
        <f t="shared" si="23"/>
        <v>113</v>
      </c>
      <c r="AF308" s="71" t="s">
        <v>820</v>
      </c>
      <c r="AG308" s="73" t="s">
        <v>1880</v>
      </c>
      <c r="AS308" s="3">
        <v>5913</v>
      </c>
      <c r="AT308" s="3">
        <v>304</v>
      </c>
      <c r="AU308" s="3" t="s">
        <v>3772</v>
      </c>
      <c r="AV308" s="3">
        <v>9.66</v>
      </c>
      <c r="AX308" s="3" t="s">
        <v>2721</v>
      </c>
      <c r="AY308" s="65" t="s">
        <v>2722</v>
      </c>
      <c r="BA308" s="108" t="s">
        <v>4243</v>
      </c>
      <c r="BB308" s="182">
        <v>211701</v>
      </c>
    </row>
    <row r="309" spans="28:54" ht="30.75" thickBot="1" x14ac:dyDescent="0.3">
      <c r="AB309" s="71" t="s">
        <v>710</v>
      </c>
      <c r="AC309" s="72" t="s">
        <v>709</v>
      </c>
      <c r="AD309" s="73" t="str">
        <f t="shared" si="22"/>
        <v>15-114</v>
      </c>
      <c r="AE309" s="74">
        <f t="shared" si="23"/>
        <v>114</v>
      </c>
      <c r="AF309" s="71" t="s">
        <v>821</v>
      </c>
      <c r="AG309" s="73" t="s">
        <v>466</v>
      </c>
      <c r="AS309" s="3">
        <v>5914</v>
      </c>
      <c r="AT309" s="3">
        <v>302</v>
      </c>
      <c r="AU309" s="3" t="s">
        <v>3362</v>
      </c>
      <c r="AV309" s="3">
        <v>6.9</v>
      </c>
      <c r="AX309" s="3" t="s">
        <v>2723</v>
      </c>
      <c r="AY309" s="65" t="s">
        <v>2724</v>
      </c>
      <c r="BA309" s="109" t="s">
        <v>4244</v>
      </c>
      <c r="BB309" s="183">
        <v>211801</v>
      </c>
    </row>
    <row r="310" spans="28:54" ht="15.75" thickBot="1" x14ac:dyDescent="0.3">
      <c r="AB310" s="71" t="s">
        <v>710</v>
      </c>
      <c r="AC310" s="72" t="s">
        <v>709</v>
      </c>
      <c r="AD310" s="73" t="str">
        <f t="shared" si="22"/>
        <v>15-115</v>
      </c>
      <c r="AE310" s="74">
        <f t="shared" si="23"/>
        <v>115</v>
      </c>
      <c r="AF310" s="71" t="s">
        <v>822</v>
      </c>
      <c r="AG310" s="73" t="s">
        <v>1881</v>
      </c>
      <c r="AS310" s="3">
        <v>5920</v>
      </c>
      <c r="AT310" s="3">
        <v>103</v>
      </c>
      <c r="AU310" s="3" t="s">
        <v>3297</v>
      </c>
      <c r="AV310" s="3">
        <v>11.04</v>
      </c>
      <c r="AX310" s="3" t="s">
        <v>2725</v>
      </c>
      <c r="AY310" s="65" t="s">
        <v>2726</v>
      </c>
      <c r="BA310" s="108" t="s">
        <v>4245</v>
      </c>
      <c r="BB310" s="182">
        <v>211901</v>
      </c>
    </row>
    <row r="311" spans="28:54" ht="15.75" thickBot="1" x14ac:dyDescent="0.3">
      <c r="AB311" s="71" t="s">
        <v>710</v>
      </c>
      <c r="AC311" s="72" t="s">
        <v>709</v>
      </c>
      <c r="AD311" s="73" t="str">
        <f t="shared" si="22"/>
        <v>15-116</v>
      </c>
      <c r="AE311" s="74">
        <f t="shared" si="23"/>
        <v>116</v>
      </c>
      <c r="AF311" s="71" t="s">
        <v>823</v>
      </c>
      <c r="AG311" s="73" t="s">
        <v>1791</v>
      </c>
      <c r="AS311" s="3">
        <v>6010</v>
      </c>
      <c r="AT311" s="3">
        <v>301</v>
      </c>
      <c r="AU311" s="3" t="s">
        <v>3773</v>
      </c>
      <c r="AV311" s="3">
        <v>4.1399999999999997</v>
      </c>
      <c r="AX311" s="3" t="s">
        <v>2727</v>
      </c>
      <c r="AY311" s="65" t="s">
        <v>2728</v>
      </c>
      <c r="BA311" s="109" t="s">
        <v>4246</v>
      </c>
      <c r="BB311" s="183">
        <v>212101</v>
      </c>
    </row>
    <row r="312" spans="28:54" ht="15.75" thickBot="1" x14ac:dyDescent="0.3">
      <c r="AB312" s="71" t="s">
        <v>710</v>
      </c>
      <c r="AC312" s="72" t="s">
        <v>709</v>
      </c>
      <c r="AD312" s="73" t="str">
        <f t="shared" si="22"/>
        <v>15-117</v>
      </c>
      <c r="AE312" s="74">
        <f t="shared" si="23"/>
        <v>117</v>
      </c>
      <c r="AF312" s="71" t="s">
        <v>824</v>
      </c>
      <c r="AG312" s="73" t="s">
        <v>1882</v>
      </c>
      <c r="AS312" s="3">
        <v>6110</v>
      </c>
      <c r="AT312" s="3">
        <v>304</v>
      </c>
      <c r="AU312" s="3" t="s">
        <v>3403</v>
      </c>
      <c r="AV312" s="3">
        <v>10.62</v>
      </c>
      <c r="AX312" s="3" t="s">
        <v>2729</v>
      </c>
      <c r="AY312" s="65" t="s">
        <v>2730</v>
      </c>
      <c r="BA312" s="108" t="s">
        <v>4247</v>
      </c>
      <c r="BB312" s="182">
        <v>212201</v>
      </c>
    </row>
    <row r="313" spans="28:54" ht="15.75" thickBot="1" x14ac:dyDescent="0.3">
      <c r="AB313" s="71" t="s">
        <v>710</v>
      </c>
      <c r="AC313" s="72" t="s">
        <v>709</v>
      </c>
      <c r="AD313" s="73" t="str">
        <f t="shared" si="22"/>
        <v>15-118</v>
      </c>
      <c r="AE313" s="74">
        <f t="shared" si="23"/>
        <v>118</v>
      </c>
      <c r="AF313" s="71" t="s">
        <v>825</v>
      </c>
      <c r="AG313" s="73" t="s">
        <v>1769</v>
      </c>
      <c r="AS313" s="3">
        <v>6120</v>
      </c>
      <c r="AT313" s="3">
        <v>304</v>
      </c>
      <c r="AU313" s="3" t="s">
        <v>3404</v>
      </c>
      <c r="AV313" s="3">
        <v>10.62</v>
      </c>
      <c r="AX313" s="3" t="s">
        <v>2731</v>
      </c>
      <c r="AY313" s="65" t="s">
        <v>2732</v>
      </c>
      <c r="BA313" s="109" t="s">
        <v>4248</v>
      </c>
      <c r="BB313" s="183">
        <v>212301</v>
      </c>
    </row>
    <row r="314" spans="28:54" ht="15.75" thickBot="1" x14ac:dyDescent="0.3">
      <c r="AB314" s="71" t="s">
        <v>710</v>
      </c>
      <c r="AC314" s="72" t="s">
        <v>709</v>
      </c>
      <c r="AD314" s="73" t="str">
        <f t="shared" si="22"/>
        <v>15-119</v>
      </c>
      <c r="AE314" s="74">
        <f t="shared" si="23"/>
        <v>119</v>
      </c>
      <c r="AF314" s="71" t="s">
        <v>826</v>
      </c>
      <c r="AG314" s="73" t="s">
        <v>1883</v>
      </c>
      <c r="AS314" s="3">
        <v>6130</v>
      </c>
      <c r="AT314" s="3">
        <v>304</v>
      </c>
      <c r="AU314" s="3" t="s">
        <v>3405</v>
      </c>
      <c r="AV314" s="3">
        <v>9.66</v>
      </c>
      <c r="AX314" s="3" t="s">
        <v>2733</v>
      </c>
      <c r="AY314" s="65" t="s">
        <v>2734</v>
      </c>
      <c r="BA314" s="108" t="s">
        <v>4249</v>
      </c>
      <c r="BB314" s="182">
        <v>212401</v>
      </c>
    </row>
    <row r="315" spans="28:54" ht="15.75" thickBot="1" x14ac:dyDescent="0.3">
      <c r="AB315" s="71" t="s">
        <v>710</v>
      </c>
      <c r="AC315" s="72" t="s">
        <v>709</v>
      </c>
      <c r="AD315" s="73" t="str">
        <f t="shared" si="22"/>
        <v>15-120</v>
      </c>
      <c r="AE315" s="74">
        <f t="shared" si="23"/>
        <v>120</v>
      </c>
      <c r="AF315" s="71" t="s">
        <v>827</v>
      </c>
      <c r="AG315" s="73" t="s">
        <v>1770</v>
      </c>
      <c r="AS315" s="3">
        <v>6190</v>
      </c>
      <c r="AT315" s="3">
        <v>304</v>
      </c>
      <c r="AU315" s="3" t="s">
        <v>3406</v>
      </c>
      <c r="AV315" s="3">
        <v>9.66</v>
      </c>
      <c r="AX315" s="3" t="s">
        <v>2735</v>
      </c>
      <c r="AY315" s="65" t="s">
        <v>2736</v>
      </c>
      <c r="BA315" s="109" t="s">
        <v>4250</v>
      </c>
      <c r="BB315" s="183">
        <v>212501</v>
      </c>
    </row>
    <row r="316" spans="28:54" ht="15.75" thickBot="1" x14ac:dyDescent="0.3">
      <c r="AB316" s="71" t="s">
        <v>710</v>
      </c>
      <c r="AC316" s="72" t="s">
        <v>709</v>
      </c>
      <c r="AD316" s="73" t="str">
        <f t="shared" si="22"/>
        <v>15-121</v>
      </c>
      <c r="AE316" s="74">
        <f t="shared" si="23"/>
        <v>121</v>
      </c>
      <c r="AF316" s="71" t="s">
        <v>828</v>
      </c>
      <c r="AG316" s="73" t="s">
        <v>1774</v>
      </c>
      <c r="AS316" s="3">
        <v>6201</v>
      </c>
      <c r="AT316" s="3">
        <v>304</v>
      </c>
      <c r="AU316" s="3" t="s">
        <v>3774</v>
      </c>
      <c r="AV316" s="3">
        <v>9.66</v>
      </c>
      <c r="AX316" s="3" t="s">
        <v>2737</v>
      </c>
      <c r="AY316" s="65" t="s">
        <v>2738</v>
      </c>
      <c r="BA316" s="108" t="s">
        <v>4251</v>
      </c>
      <c r="BB316" s="182">
        <v>212901</v>
      </c>
    </row>
    <row r="317" spans="28:54" ht="15.75" thickBot="1" x14ac:dyDescent="0.3">
      <c r="AB317" s="71" t="s">
        <v>710</v>
      </c>
      <c r="AC317" s="72" t="s">
        <v>709</v>
      </c>
      <c r="AD317" s="73" t="str">
        <f t="shared" si="22"/>
        <v>15-122</v>
      </c>
      <c r="AE317" s="74">
        <f t="shared" si="23"/>
        <v>122</v>
      </c>
      <c r="AF317" s="71" t="s">
        <v>829</v>
      </c>
      <c r="AG317" s="73" t="s">
        <v>1884</v>
      </c>
      <c r="AS317" s="3">
        <v>6202</v>
      </c>
      <c r="AT317" s="3">
        <v>302</v>
      </c>
      <c r="AU317" s="3" t="s">
        <v>3775</v>
      </c>
      <c r="AV317" s="3">
        <v>6.9</v>
      </c>
      <c r="AX317" s="3" t="s">
        <v>2739</v>
      </c>
      <c r="AY317" s="65" t="s">
        <v>2740</v>
      </c>
      <c r="BA317" s="109" t="s">
        <v>4252</v>
      </c>
      <c r="BB317" s="183">
        <v>213001</v>
      </c>
    </row>
    <row r="318" spans="28:54" ht="15.75" thickBot="1" x14ac:dyDescent="0.3">
      <c r="AB318" s="71" t="s">
        <v>710</v>
      </c>
      <c r="AC318" s="72" t="s">
        <v>709</v>
      </c>
      <c r="AD318" s="73" t="str">
        <f t="shared" si="22"/>
        <v>15-123</v>
      </c>
      <c r="AE318" s="74">
        <f t="shared" si="23"/>
        <v>123</v>
      </c>
      <c r="AF318" s="71" t="s">
        <v>830</v>
      </c>
      <c r="AG318" s="73" t="s">
        <v>506</v>
      </c>
      <c r="AS318" s="3">
        <v>6209</v>
      </c>
      <c r="AT318" s="3">
        <v>304</v>
      </c>
      <c r="AU318" s="3" t="s">
        <v>3407</v>
      </c>
      <c r="AV318" s="3">
        <v>9.66</v>
      </c>
      <c r="AX318" s="3" t="s">
        <v>2741</v>
      </c>
      <c r="AY318" s="65" t="s">
        <v>2742</v>
      </c>
      <c r="BA318" s="108" t="s">
        <v>4253</v>
      </c>
      <c r="BB318" s="182">
        <v>214002</v>
      </c>
    </row>
    <row r="319" spans="28:54" ht="30.75" thickBot="1" x14ac:dyDescent="0.3">
      <c r="AB319" s="71" t="s">
        <v>832</v>
      </c>
      <c r="AC319" s="72" t="s">
        <v>831</v>
      </c>
      <c r="AD319" s="73" t="str">
        <f t="shared" si="22"/>
        <v>17-1</v>
      </c>
      <c r="AE319" s="74">
        <f t="shared" si="23"/>
        <v>1</v>
      </c>
      <c r="AF319" s="71" t="s">
        <v>833</v>
      </c>
      <c r="AG319" s="73" t="s">
        <v>334</v>
      </c>
      <c r="AS319" s="3">
        <v>6311</v>
      </c>
      <c r="AT319" s="3">
        <v>304</v>
      </c>
      <c r="AU319" s="3" t="s">
        <v>3408</v>
      </c>
      <c r="AV319" s="3">
        <v>9.66</v>
      </c>
      <c r="AX319" s="3" t="s">
        <v>2743</v>
      </c>
      <c r="AY319" s="65" t="s">
        <v>2744</v>
      </c>
      <c r="BA319" s="109" t="s">
        <v>4254</v>
      </c>
      <c r="BB319" s="183">
        <v>215001</v>
      </c>
    </row>
    <row r="320" spans="28:54" ht="15.75" thickBot="1" x14ac:dyDescent="0.3">
      <c r="AB320" s="71" t="s">
        <v>832</v>
      </c>
      <c r="AC320" s="72" t="s">
        <v>831</v>
      </c>
      <c r="AD320" s="73" t="str">
        <f t="shared" si="22"/>
        <v>17-2</v>
      </c>
      <c r="AE320" s="74">
        <f t="shared" si="23"/>
        <v>2</v>
      </c>
      <c r="AF320" s="71" t="s">
        <v>834</v>
      </c>
      <c r="AG320" s="73" t="s">
        <v>16</v>
      </c>
      <c r="AS320" s="3">
        <v>6312</v>
      </c>
      <c r="AT320" s="3">
        <v>304</v>
      </c>
      <c r="AU320" s="3" t="s">
        <v>3409</v>
      </c>
      <c r="AV320" s="3">
        <v>9.66</v>
      </c>
      <c r="AX320" s="3" t="s">
        <v>2745</v>
      </c>
      <c r="AY320" s="65" t="s">
        <v>2746</v>
      </c>
      <c r="BA320" s="108" t="s">
        <v>4255</v>
      </c>
      <c r="BB320" s="182">
        <v>220101</v>
      </c>
    </row>
    <row r="321" spans="28:54" ht="15.75" thickBot="1" x14ac:dyDescent="0.3">
      <c r="AB321" s="71" t="s">
        <v>832</v>
      </c>
      <c r="AC321" s="72" t="s">
        <v>831</v>
      </c>
      <c r="AD321" s="73" t="str">
        <f t="shared" si="22"/>
        <v>17-3</v>
      </c>
      <c r="AE321" s="74">
        <f t="shared" si="23"/>
        <v>3</v>
      </c>
      <c r="AF321" s="71" t="s">
        <v>835</v>
      </c>
      <c r="AG321" s="73" t="s">
        <v>1694</v>
      </c>
      <c r="AS321" s="3">
        <v>6391</v>
      </c>
      <c r="AT321" s="3">
        <v>304</v>
      </c>
      <c r="AU321" s="3" t="s">
        <v>3410</v>
      </c>
      <c r="AV321" s="3">
        <v>9.66</v>
      </c>
      <c r="AX321" s="3" t="s">
        <v>2747</v>
      </c>
      <c r="AY321" s="65" t="s">
        <v>2748</v>
      </c>
      <c r="BA321" s="109" t="s">
        <v>4256</v>
      </c>
      <c r="BB321" s="183">
        <v>220201</v>
      </c>
    </row>
    <row r="322" spans="28:54" ht="15.75" thickBot="1" x14ac:dyDescent="0.3">
      <c r="AB322" s="71" t="s">
        <v>832</v>
      </c>
      <c r="AC322" s="72" t="s">
        <v>831</v>
      </c>
      <c r="AD322" s="73" t="str">
        <f t="shared" si="22"/>
        <v>17-4</v>
      </c>
      <c r="AE322" s="74">
        <f t="shared" si="23"/>
        <v>4</v>
      </c>
      <c r="AF322" s="71" t="s">
        <v>836</v>
      </c>
      <c r="AG322" s="73" t="s">
        <v>1885</v>
      </c>
      <c r="AS322" s="3">
        <v>6399</v>
      </c>
      <c r="AT322" s="3">
        <v>304</v>
      </c>
      <c r="AU322" s="3" t="s">
        <v>2808</v>
      </c>
      <c r="AV322" s="3">
        <v>9.66</v>
      </c>
      <c r="AX322" s="3" t="s">
        <v>2749</v>
      </c>
      <c r="AY322" s="65" t="s">
        <v>2750</v>
      </c>
      <c r="BA322" s="108" t="s">
        <v>4257</v>
      </c>
      <c r="BB322" s="182">
        <v>250101</v>
      </c>
    </row>
    <row r="323" spans="28:54" ht="15.75" thickBot="1" x14ac:dyDescent="0.3">
      <c r="AB323" s="71" t="s">
        <v>832</v>
      </c>
      <c r="AC323" s="72" t="s">
        <v>831</v>
      </c>
      <c r="AD323" s="73" t="str">
        <f t="shared" ref="AD323:AD386" si="24">CONCATENATE(AC323,"-",AE323)</f>
        <v>17-5</v>
      </c>
      <c r="AE323" s="74">
        <f t="shared" ref="AE323:AE386" si="25">IF(AB323=AB322,1+AE322,1)</f>
        <v>5</v>
      </c>
      <c r="AF323" s="71" t="s">
        <v>837</v>
      </c>
      <c r="AG323" s="73" t="s">
        <v>58</v>
      </c>
      <c r="AS323" s="3">
        <v>6411</v>
      </c>
      <c r="AT323" s="3">
        <v>401</v>
      </c>
      <c r="AU323" s="3" t="s">
        <v>3461</v>
      </c>
      <c r="AV323" s="3">
        <v>13.1</v>
      </c>
      <c r="AX323" s="3" t="s">
        <v>2751</v>
      </c>
      <c r="AY323" s="65" t="s">
        <v>2752</v>
      </c>
      <c r="BA323" s="109" t="s">
        <v>4258</v>
      </c>
      <c r="BB323" s="183">
        <v>250201</v>
      </c>
    </row>
    <row r="324" spans="28:54" ht="15.75" thickBot="1" x14ac:dyDescent="0.3">
      <c r="AB324" s="71" t="s">
        <v>832</v>
      </c>
      <c r="AC324" s="72" t="s">
        <v>831</v>
      </c>
      <c r="AD324" s="73" t="str">
        <f t="shared" si="24"/>
        <v>17-6</v>
      </c>
      <c r="AE324" s="74">
        <f t="shared" si="25"/>
        <v>6</v>
      </c>
      <c r="AF324" s="71" t="s">
        <v>838</v>
      </c>
      <c r="AG324" s="73" t="s">
        <v>1886</v>
      </c>
      <c r="AS324" s="3">
        <v>6412</v>
      </c>
      <c r="AT324" s="3">
        <v>401</v>
      </c>
      <c r="AU324" s="3" t="s">
        <v>3462</v>
      </c>
      <c r="AV324" s="3">
        <v>13.1</v>
      </c>
      <c r="AX324" s="3" t="s">
        <v>2753</v>
      </c>
      <c r="AY324" s="65" t="s">
        <v>2754</v>
      </c>
      <c r="BA324" s="108" t="s">
        <v>4259</v>
      </c>
      <c r="BB324" s="182">
        <v>2011101</v>
      </c>
    </row>
    <row r="325" spans="28:54" ht="15.75" thickBot="1" x14ac:dyDescent="0.3">
      <c r="AB325" s="71" t="s">
        <v>832</v>
      </c>
      <c r="AC325" s="72" t="s">
        <v>831</v>
      </c>
      <c r="AD325" s="73" t="str">
        <f t="shared" si="24"/>
        <v>17-7</v>
      </c>
      <c r="AE325" s="74">
        <f t="shared" si="25"/>
        <v>7</v>
      </c>
      <c r="AF325" s="71" t="s">
        <v>839</v>
      </c>
      <c r="AG325" s="73" t="s">
        <v>1839</v>
      </c>
      <c r="AS325" s="3">
        <v>6421</v>
      </c>
      <c r="AT325" s="3">
        <v>401</v>
      </c>
      <c r="AU325" s="3" t="s">
        <v>3463</v>
      </c>
      <c r="AV325" s="3">
        <v>13.1</v>
      </c>
      <c r="AX325" s="3" t="s">
        <v>2755</v>
      </c>
      <c r="AY325" s="65" t="s">
        <v>2756</v>
      </c>
      <c r="BA325" s="109" t="s">
        <v>4260</v>
      </c>
      <c r="BB325" s="183">
        <v>2011102</v>
      </c>
    </row>
    <row r="326" spans="28:54" ht="15.75" thickBot="1" x14ac:dyDescent="0.3">
      <c r="AB326" s="71" t="s">
        <v>832</v>
      </c>
      <c r="AC326" s="72" t="s">
        <v>831</v>
      </c>
      <c r="AD326" s="73" t="str">
        <f t="shared" si="24"/>
        <v>17-8</v>
      </c>
      <c r="AE326" s="74">
        <f t="shared" si="25"/>
        <v>8</v>
      </c>
      <c r="AF326" s="71" t="s">
        <v>840</v>
      </c>
      <c r="AG326" s="73" t="s">
        <v>1737</v>
      </c>
      <c r="AS326" s="3">
        <v>6422</v>
      </c>
      <c r="AT326" s="3">
        <v>401</v>
      </c>
      <c r="AU326" s="3" t="s">
        <v>3464</v>
      </c>
      <c r="AV326" s="3">
        <v>13.1</v>
      </c>
      <c r="AX326" s="3" t="s">
        <v>2757</v>
      </c>
      <c r="AY326" s="65" t="s">
        <v>2758</v>
      </c>
      <c r="BA326" s="108" t="s">
        <v>4261</v>
      </c>
      <c r="BB326" s="182">
        <v>2011103</v>
      </c>
    </row>
    <row r="327" spans="28:54" ht="15.75" thickBot="1" x14ac:dyDescent="0.3">
      <c r="AB327" s="71" t="s">
        <v>832</v>
      </c>
      <c r="AC327" s="72" t="s">
        <v>831</v>
      </c>
      <c r="AD327" s="73" t="str">
        <f t="shared" si="24"/>
        <v>17-9</v>
      </c>
      <c r="AE327" s="74">
        <f t="shared" si="25"/>
        <v>9</v>
      </c>
      <c r="AF327" s="71" t="s">
        <v>841</v>
      </c>
      <c r="AG327" s="73" t="s">
        <v>1887</v>
      </c>
      <c r="AS327" s="3">
        <v>6423</v>
      </c>
      <c r="AT327" s="3">
        <v>401</v>
      </c>
      <c r="AU327" s="3" t="s">
        <v>3465</v>
      </c>
      <c r="AV327" s="3">
        <v>13.1</v>
      </c>
      <c r="AX327" s="3" t="s">
        <v>2759</v>
      </c>
      <c r="AY327" s="65" t="s">
        <v>2760</v>
      </c>
      <c r="BA327" s="109" t="s">
        <v>4262</v>
      </c>
      <c r="BB327" s="183">
        <v>2011201</v>
      </c>
    </row>
    <row r="328" spans="28:54" ht="30.75" thickBot="1" x14ac:dyDescent="0.3">
      <c r="AB328" s="71" t="s">
        <v>832</v>
      </c>
      <c r="AC328" s="72" t="s">
        <v>831</v>
      </c>
      <c r="AD328" s="73" t="str">
        <f t="shared" si="24"/>
        <v>17-10</v>
      </c>
      <c r="AE328" s="74">
        <f t="shared" si="25"/>
        <v>10</v>
      </c>
      <c r="AF328" s="71" t="s">
        <v>842</v>
      </c>
      <c r="AG328" s="73" t="s">
        <v>1781</v>
      </c>
      <c r="AS328" s="3">
        <v>6424</v>
      </c>
      <c r="AT328" s="3">
        <v>401</v>
      </c>
      <c r="AU328" s="3" t="s">
        <v>3466</v>
      </c>
      <c r="AV328" s="3">
        <v>13.1</v>
      </c>
      <c r="AX328" s="3" t="s">
        <v>2761</v>
      </c>
      <c r="AY328" s="65" t="s">
        <v>2762</v>
      </c>
      <c r="BA328" s="108" t="s">
        <v>4263</v>
      </c>
      <c r="BB328" s="182">
        <v>2011301</v>
      </c>
    </row>
    <row r="329" spans="28:54" ht="15.75" thickBot="1" x14ac:dyDescent="0.3">
      <c r="AB329" s="71" t="s">
        <v>832</v>
      </c>
      <c r="AC329" s="72" t="s">
        <v>831</v>
      </c>
      <c r="AD329" s="73" t="str">
        <f t="shared" si="24"/>
        <v>17-11</v>
      </c>
      <c r="AE329" s="74">
        <f t="shared" si="25"/>
        <v>11</v>
      </c>
      <c r="AF329" s="71" t="s">
        <v>843</v>
      </c>
      <c r="AG329" s="73" t="s">
        <v>1804</v>
      </c>
      <c r="AS329" s="3">
        <v>6431</v>
      </c>
      <c r="AT329" s="3">
        <v>401</v>
      </c>
      <c r="AU329" s="3" t="s">
        <v>3467</v>
      </c>
      <c r="AV329" s="3">
        <v>13.1</v>
      </c>
      <c r="AX329" s="3" t="s">
        <v>2763</v>
      </c>
      <c r="AY329" s="65" t="s">
        <v>2764</v>
      </c>
      <c r="BA329" s="109" t="s">
        <v>4264</v>
      </c>
      <c r="BB329" s="183">
        <v>2011302</v>
      </c>
    </row>
    <row r="330" spans="28:54" ht="15.75" thickBot="1" x14ac:dyDescent="0.3">
      <c r="AB330" s="71" t="s">
        <v>832</v>
      </c>
      <c r="AC330" s="72" t="s">
        <v>831</v>
      </c>
      <c r="AD330" s="73" t="str">
        <f t="shared" si="24"/>
        <v>17-12</v>
      </c>
      <c r="AE330" s="74">
        <f t="shared" si="25"/>
        <v>12</v>
      </c>
      <c r="AF330" s="71" t="s">
        <v>844</v>
      </c>
      <c r="AG330" s="73" t="s">
        <v>1888</v>
      </c>
      <c r="AS330" s="3">
        <v>6491</v>
      </c>
      <c r="AT330" s="3">
        <v>401</v>
      </c>
      <c r="AU330" s="3" t="s">
        <v>3468</v>
      </c>
      <c r="AV330" s="3">
        <v>13.1</v>
      </c>
      <c r="AX330" s="3" t="s">
        <v>2765</v>
      </c>
      <c r="AY330" s="65" t="s">
        <v>2766</v>
      </c>
      <c r="BA330" s="108" t="s">
        <v>3897</v>
      </c>
      <c r="BB330" s="182">
        <v>2011401</v>
      </c>
    </row>
    <row r="331" spans="28:54" ht="15.75" thickBot="1" x14ac:dyDescent="0.3">
      <c r="AB331" s="71" t="s">
        <v>832</v>
      </c>
      <c r="AC331" s="72" t="s">
        <v>831</v>
      </c>
      <c r="AD331" s="73" t="str">
        <f t="shared" si="24"/>
        <v>17-13</v>
      </c>
      <c r="AE331" s="74">
        <f t="shared" si="25"/>
        <v>13</v>
      </c>
      <c r="AF331" s="71" t="s">
        <v>845</v>
      </c>
      <c r="AG331" s="73" t="s">
        <v>1889</v>
      </c>
      <c r="AS331" s="3">
        <v>6492</v>
      </c>
      <c r="AT331" s="3">
        <v>401</v>
      </c>
      <c r="AU331" s="3" t="s">
        <v>3776</v>
      </c>
      <c r="AV331" s="3">
        <v>13.1</v>
      </c>
      <c r="AX331" s="3" t="s">
        <v>2767</v>
      </c>
      <c r="AY331" s="65" t="s">
        <v>2768</v>
      </c>
      <c r="BA331" s="109" t="s">
        <v>4265</v>
      </c>
      <c r="BB331" s="183">
        <v>2011501</v>
      </c>
    </row>
    <row r="332" spans="28:54" ht="15.75" thickBot="1" x14ac:dyDescent="0.3">
      <c r="AB332" s="71" t="s">
        <v>832</v>
      </c>
      <c r="AC332" s="72" t="s">
        <v>831</v>
      </c>
      <c r="AD332" s="73" t="str">
        <f t="shared" si="24"/>
        <v>17-14</v>
      </c>
      <c r="AE332" s="74">
        <f t="shared" si="25"/>
        <v>14</v>
      </c>
      <c r="AF332" s="71" t="s">
        <v>846</v>
      </c>
      <c r="AG332" s="73" t="s">
        <v>1890</v>
      </c>
      <c r="AS332" s="3">
        <v>6493</v>
      </c>
      <c r="AT332" s="3">
        <v>401</v>
      </c>
      <c r="AU332" s="3" t="s">
        <v>3469</v>
      </c>
      <c r="AV332" s="3">
        <v>13.1</v>
      </c>
      <c r="AX332" s="3" t="s">
        <v>2769</v>
      </c>
      <c r="AY332" s="65" t="s">
        <v>2770</v>
      </c>
      <c r="BA332" s="108" t="s">
        <v>4266</v>
      </c>
      <c r="BB332" s="182">
        <v>2011901</v>
      </c>
    </row>
    <row r="333" spans="28:54" ht="15.75" thickBot="1" x14ac:dyDescent="0.3">
      <c r="AB333" s="71" t="s">
        <v>832</v>
      </c>
      <c r="AC333" s="72" t="s">
        <v>831</v>
      </c>
      <c r="AD333" s="73" t="str">
        <f t="shared" si="24"/>
        <v>17-15</v>
      </c>
      <c r="AE333" s="74">
        <f t="shared" si="25"/>
        <v>15</v>
      </c>
      <c r="AF333" s="71" t="s">
        <v>847</v>
      </c>
      <c r="AG333" s="73" t="s">
        <v>304</v>
      </c>
      <c r="AS333" s="3">
        <v>6494</v>
      </c>
      <c r="AT333" s="3">
        <v>401</v>
      </c>
      <c r="AU333" s="3" t="s">
        <v>3470</v>
      </c>
      <c r="AV333" s="3">
        <v>13.1</v>
      </c>
      <c r="AX333" s="3" t="s">
        <v>2771</v>
      </c>
      <c r="AY333" s="65" t="s">
        <v>2772</v>
      </c>
      <c r="BA333" s="109" t="s">
        <v>4267</v>
      </c>
      <c r="BB333" s="183">
        <v>2011902</v>
      </c>
    </row>
    <row r="334" spans="28:54" ht="30.75" thickBot="1" x14ac:dyDescent="0.3">
      <c r="AB334" s="71" t="s">
        <v>832</v>
      </c>
      <c r="AC334" s="72" t="s">
        <v>831</v>
      </c>
      <c r="AD334" s="73" t="str">
        <f t="shared" si="24"/>
        <v>17-16</v>
      </c>
      <c r="AE334" s="74">
        <f t="shared" si="25"/>
        <v>16</v>
      </c>
      <c r="AF334" s="71" t="s">
        <v>848</v>
      </c>
      <c r="AG334" s="73" t="s">
        <v>1891</v>
      </c>
      <c r="AS334" s="3">
        <v>6495</v>
      </c>
      <c r="AT334" s="3">
        <v>401</v>
      </c>
      <c r="AU334" s="3" t="s">
        <v>3471</v>
      </c>
      <c r="AV334" s="3">
        <v>13.1</v>
      </c>
      <c r="AX334" s="3" t="s">
        <v>2773</v>
      </c>
      <c r="AY334" s="65" t="s">
        <v>2774</v>
      </c>
      <c r="BA334" s="108" t="s">
        <v>4268</v>
      </c>
      <c r="BB334" s="182">
        <v>2012101</v>
      </c>
    </row>
    <row r="335" spans="28:54" ht="30.75" thickBot="1" x14ac:dyDescent="0.3">
      <c r="AB335" s="71" t="s">
        <v>832</v>
      </c>
      <c r="AC335" s="72" t="s">
        <v>831</v>
      </c>
      <c r="AD335" s="73" t="str">
        <f t="shared" si="24"/>
        <v>17-17</v>
      </c>
      <c r="AE335" s="74">
        <f t="shared" si="25"/>
        <v>17</v>
      </c>
      <c r="AF335" s="71" t="s">
        <v>355</v>
      </c>
      <c r="AG335" s="73" t="s">
        <v>1892</v>
      </c>
      <c r="AS335" s="3">
        <v>6496</v>
      </c>
      <c r="AT335" s="3">
        <v>401</v>
      </c>
      <c r="AU335" s="3" t="s">
        <v>3475</v>
      </c>
      <c r="AV335" s="3">
        <v>13.1</v>
      </c>
      <c r="AX335" s="3" t="s">
        <v>2775</v>
      </c>
      <c r="AY335" s="65" t="s">
        <v>2776</v>
      </c>
      <c r="BA335" s="109" t="s">
        <v>4269</v>
      </c>
      <c r="BB335" s="183">
        <v>2012102</v>
      </c>
    </row>
    <row r="336" spans="28:54" ht="30.75" thickBot="1" x14ac:dyDescent="0.3">
      <c r="AB336" s="71" t="s">
        <v>832</v>
      </c>
      <c r="AC336" s="72" t="s">
        <v>831</v>
      </c>
      <c r="AD336" s="73" t="str">
        <f t="shared" si="24"/>
        <v>17-18</v>
      </c>
      <c r="AE336" s="74">
        <f t="shared" si="25"/>
        <v>18</v>
      </c>
      <c r="AF336" s="71" t="s">
        <v>849</v>
      </c>
      <c r="AG336" s="73" t="s">
        <v>1745</v>
      </c>
      <c r="AS336" s="3">
        <v>6511</v>
      </c>
      <c r="AT336" s="3">
        <v>401</v>
      </c>
      <c r="AU336" s="3" t="s">
        <v>3472</v>
      </c>
      <c r="AV336" s="3">
        <v>13.1</v>
      </c>
      <c r="AX336" s="3" t="s">
        <v>2777</v>
      </c>
      <c r="AY336" s="65" t="s">
        <v>2778</v>
      </c>
      <c r="BA336" s="108" t="s">
        <v>4270</v>
      </c>
      <c r="BB336" s="182">
        <v>2012103</v>
      </c>
    </row>
    <row r="337" spans="28:54" ht="15.75" thickBot="1" x14ac:dyDescent="0.3">
      <c r="AB337" s="71" t="s">
        <v>832</v>
      </c>
      <c r="AC337" s="72" t="s">
        <v>831</v>
      </c>
      <c r="AD337" s="73" t="str">
        <f t="shared" si="24"/>
        <v>17-19</v>
      </c>
      <c r="AE337" s="74">
        <f t="shared" si="25"/>
        <v>19</v>
      </c>
      <c r="AF337" s="71" t="s">
        <v>850</v>
      </c>
      <c r="AG337" s="73" t="s">
        <v>1893</v>
      </c>
      <c r="AS337" s="3">
        <v>6512</v>
      </c>
      <c r="AT337" s="3">
        <v>401</v>
      </c>
      <c r="AU337" s="3" t="s">
        <v>3473</v>
      </c>
      <c r="AV337" s="3">
        <v>13.1</v>
      </c>
      <c r="AX337" s="3" t="s">
        <v>2779</v>
      </c>
      <c r="AY337" s="65" t="s">
        <v>2780</v>
      </c>
      <c r="BA337" s="109" t="s">
        <v>4271</v>
      </c>
      <c r="BB337" s="183">
        <v>2012201</v>
      </c>
    </row>
    <row r="338" spans="28:54" ht="15.75" thickBot="1" x14ac:dyDescent="0.3">
      <c r="AB338" s="71" t="s">
        <v>832</v>
      </c>
      <c r="AC338" s="72" t="s">
        <v>831</v>
      </c>
      <c r="AD338" s="73" t="str">
        <f t="shared" si="24"/>
        <v>17-20</v>
      </c>
      <c r="AE338" s="74">
        <f t="shared" si="25"/>
        <v>20</v>
      </c>
      <c r="AF338" s="71" t="s">
        <v>851</v>
      </c>
      <c r="AG338" s="73" t="s">
        <v>1894</v>
      </c>
      <c r="AS338" s="3">
        <v>6513</v>
      </c>
      <c r="AT338" s="3">
        <v>401</v>
      </c>
      <c r="AU338" s="3" t="s">
        <v>3474</v>
      </c>
      <c r="AV338" s="3">
        <v>13.1</v>
      </c>
      <c r="AX338" s="3" t="s">
        <v>2781</v>
      </c>
      <c r="AY338" s="65" t="s">
        <v>2782</v>
      </c>
      <c r="BA338" s="108" t="s">
        <v>4272</v>
      </c>
      <c r="BB338" s="182">
        <v>2012301</v>
      </c>
    </row>
    <row r="339" spans="28:54" ht="30.75" thickBot="1" x14ac:dyDescent="0.3">
      <c r="AB339" s="71" t="s">
        <v>832</v>
      </c>
      <c r="AC339" s="72" t="s">
        <v>831</v>
      </c>
      <c r="AD339" s="73" t="str">
        <f t="shared" si="24"/>
        <v>17-21</v>
      </c>
      <c r="AE339" s="74">
        <f t="shared" si="25"/>
        <v>21</v>
      </c>
      <c r="AF339" s="71" t="s">
        <v>852</v>
      </c>
      <c r="AG339" s="73" t="s">
        <v>1895</v>
      </c>
      <c r="AS339" s="3">
        <v>6515</v>
      </c>
      <c r="AT339" s="3">
        <v>401</v>
      </c>
      <c r="AU339" s="3" t="s">
        <v>3599</v>
      </c>
      <c r="AV339" s="3">
        <v>11.04</v>
      </c>
      <c r="AX339" s="3" t="s">
        <v>2783</v>
      </c>
      <c r="AY339" s="65" t="s">
        <v>2784</v>
      </c>
      <c r="BA339" s="109" t="s">
        <v>3898</v>
      </c>
      <c r="BB339" s="183">
        <v>2012601</v>
      </c>
    </row>
    <row r="340" spans="28:54" ht="15.75" thickBot="1" x14ac:dyDescent="0.3">
      <c r="AB340" s="71" t="s">
        <v>832</v>
      </c>
      <c r="AC340" s="72" t="s">
        <v>831</v>
      </c>
      <c r="AD340" s="73" t="str">
        <f t="shared" si="24"/>
        <v>17-22</v>
      </c>
      <c r="AE340" s="74">
        <f t="shared" si="25"/>
        <v>22</v>
      </c>
      <c r="AF340" s="71" t="s">
        <v>853</v>
      </c>
      <c r="AG340" s="73" t="s">
        <v>1896</v>
      </c>
      <c r="AS340" s="3">
        <v>6521</v>
      </c>
      <c r="AT340" s="3">
        <v>401</v>
      </c>
      <c r="AU340" s="3" t="s">
        <v>3476</v>
      </c>
      <c r="AV340" s="3">
        <v>13.1</v>
      </c>
      <c r="AX340" s="3" t="s">
        <v>2785</v>
      </c>
      <c r="AY340" s="65" t="s">
        <v>2786</v>
      </c>
      <c r="BA340" s="108" t="s">
        <v>3899</v>
      </c>
      <c r="BB340" s="182">
        <v>2012602</v>
      </c>
    </row>
    <row r="341" spans="28:54" ht="15.75" thickBot="1" x14ac:dyDescent="0.3">
      <c r="AB341" s="71" t="s">
        <v>832</v>
      </c>
      <c r="AC341" s="72" t="s">
        <v>831</v>
      </c>
      <c r="AD341" s="73" t="str">
        <f t="shared" si="24"/>
        <v>17-23</v>
      </c>
      <c r="AE341" s="74">
        <f t="shared" si="25"/>
        <v>23</v>
      </c>
      <c r="AF341" s="71" t="s">
        <v>854</v>
      </c>
      <c r="AG341" s="73" t="s">
        <v>502</v>
      </c>
      <c r="AS341" s="3">
        <v>6522</v>
      </c>
      <c r="AT341" s="3">
        <v>401</v>
      </c>
      <c r="AU341" s="3" t="s">
        <v>3600</v>
      </c>
      <c r="AV341" s="3">
        <v>13.1</v>
      </c>
      <c r="AX341" s="3" t="s">
        <v>2787</v>
      </c>
      <c r="AY341" s="65" t="s">
        <v>2788</v>
      </c>
      <c r="BA341" s="109" t="s">
        <v>4273</v>
      </c>
      <c r="BB341" s="183">
        <v>2151101</v>
      </c>
    </row>
    <row r="342" spans="28:54" ht="15.75" thickBot="1" x14ac:dyDescent="0.3">
      <c r="AB342" s="71" t="s">
        <v>832</v>
      </c>
      <c r="AC342" s="72" t="s">
        <v>831</v>
      </c>
      <c r="AD342" s="73" t="str">
        <f t="shared" si="24"/>
        <v>17-24</v>
      </c>
      <c r="AE342" s="74">
        <f t="shared" si="25"/>
        <v>24</v>
      </c>
      <c r="AF342" s="71" t="s">
        <v>855</v>
      </c>
      <c r="AG342" s="73" t="s">
        <v>1897</v>
      </c>
      <c r="AS342" s="3">
        <v>6523</v>
      </c>
      <c r="AT342" s="3">
        <v>401</v>
      </c>
      <c r="AU342" s="3" t="s">
        <v>3601</v>
      </c>
      <c r="AV342" s="3">
        <v>11.04</v>
      </c>
      <c r="AX342" s="3" t="s">
        <v>2789</v>
      </c>
      <c r="AY342" s="65" t="s">
        <v>2790</v>
      </c>
      <c r="BA342" s="108" t="s">
        <v>4274</v>
      </c>
      <c r="BB342" s="182">
        <v>2153001</v>
      </c>
    </row>
    <row r="343" spans="28:54" ht="15.75" thickBot="1" x14ac:dyDescent="0.3">
      <c r="AB343" s="71" t="s">
        <v>832</v>
      </c>
      <c r="AC343" s="72" t="s">
        <v>831</v>
      </c>
      <c r="AD343" s="73" t="str">
        <f t="shared" si="24"/>
        <v>17-25</v>
      </c>
      <c r="AE343" s="74">
        <f t="shared" si="25"/>
        <v>25</v>
      </c>
      <c r="AF343" s="71" t="s">
        <v>856</v>
      </c>
      <c r="AG343" s="73" t="s">
        <v>1898</v>
      </c>
      <c r="AS343" s="3">
        <v>6531</v>
      </c>
      <c r="AU343" s="65" t="s">
        <v>3166</v>
      </c>
      <c r="AV343" s="3">
        <v>0</v>
      </c>
      <c r="AX343" s="3" t="s">
        <v>2791</v>
      </c>
      <c r="AY343" s="65" t="s">
        <v>2792</v>
      </c>
      <c r="BA343" s="109" t="s">
        <v>4275</v>
      </c>
      <c r="BB343" s="183">
        <v>2154101</v>
      </c>
    </row>
    <row r="344" spans="28:54" ht="15.75" thickBot="1" x14ac:dyDescent="0.3">
      <c r="AB344" s="71" t="s">
        <v>832</v>
      </c>
      <c r="AC344" s="72" t="s">
        <v>831</v>
      </c>
      <c r="AD344" s="73" t="str">
        <f t="shared" si="24"/>
        <v>17-26</v>
      </c>
      <c r="AE344" s="74">
        <f t="shared" si="25"/>
        <v>26</v>
      </c>
      <c r="AF344" s="71" t="s">
        <v>857</v>
      </c>
      <c r="AG344" s="73" t="s">
        <v>1775</v>
      </c>
      <c r="AS344" s="3">
        <v>6532</v>
      </c>
      <c r="AT344" s="3">
        <v>401</v>
      </c>
      <c r="AU344" s="3" t="s">
        <v>3602</v>
      </c>
      <c r="AV344" s="3">
        <v>13.1</v>
      </c>
      <c r="AX344" s="3" t="s">
        <v>2793</v>
      </c>
      <c r="AY344" s="65" t="s">
        <v>2794</v>
      </c>
      <c r="BA344" s="108" t="s">
        <v>4276</v>
      </c>
      <c r="BB344" s="182">
        <v>2154201</v>
      </c>
    </row>
    <row r="345" spans="28:54" ht="30.75" thickBot="1" x14ac:dyDescent="0.3">
      <c r="AB345" s="71" t="s">
        <v>832</v>
      </c>
      <c r="AC345" s="72" t="s">
        <v>831</v>
      </c>
      <c r="AD345" s="73" t="str">
        <f t="shared" si="24"/>
        <v>17-27</v>
      </c>
      <c r="AE345" s="74">
        <f t="shared" si="25"/>
        <v>27</v>
      </c>
      <c r="AF345" s="71" t="s">
        <v>858</v>
      </c>
      <c r="AG345" s="73" t="s">
        <v>1899</v>
      </c>
      <c r="AS345" s="3">
        <v>6612</v>
      </c>
      <c r="AT345" s="3">
        <v>304</v>
      </c>
      <c r="AU345" s="3" t="s">
        <v>3411</v>
      </c>
      <c r="AV345" s="3">
        <v>9.66</v>
      </c>
      <c r="AX345" s="3" t="s">
        <v>2795</v>
      </c>
      <c r="AY345" s="65" t="s">
        <v>2796</v>
      </c>
      <c r="BA345" s="109" t="s">
        <v>4277</v>
      </c>
      <c r="BB345" s="183">
        <v>2155101</v>
      </c>
    </row>
    <row r="346" spans="28:54" ht="30.75" thickBot="1" x14ac:dyDescent="0.3">
      <c r="AB346" s="71" t="s">
        <v>860</v>
      </c>
      <c r="AC346" s="72" t="s">
        <v>859</v>
      </c>
      <c r="AD346" s="73" t="str">
        <f t="shared" si="24"/>
        <v>18-1</v>
      </c>
      <c r="AE346" s="74">
        <f t="shared" si="25"/>
        <v>1</v>
      </c>
      <c r="AF346" s="71" t="s">
        <v>861</v>
      </c>
      <c r="AG346" s="73" t="s">
        <v>334</v>
      </c>
      <c r="AS346" s="3">
        <v>6613</v>
      </c>
      <c r="AT346" s="3">
        <v>304</v>
      </c>
      <c r="AU346" s="3" t="s">
        <v>3412</v>
      </c>
      <c r="AV346" s="3">
        <v>9.66</v>
      </c>
      <c r="AX346" s="3" t="s">
        <v>2797</v>
      </c>
      <c r="AY346" s="65" t="s">
        <v>2798</v>
      </c>
      <c r="BA346" s="108" t="s">
        <v>4278</v>
      </c>
      <c r="BB346" s="182">
        <v>2156301</v>
      </c>
    </row>
    <row r="347" spans="28:54" ht="30.75" thickBot="1" x14ac:dyDescent="0.3">
      <c r="AB347" s="71" t="s">
        <v>860</v>
      </c>
      <c r="AC347" s="72" t="s">
        <v>859</v>
      </c>
      <c r="AD347" s="73" t="str">
        <f t="shared" si="24"/>
        <v>18-2</v>
      </c>
      <c r="AE347" s="74">
        <f t="shared" si="25"/>
        <v>2</v>
      </c>
      <c r="AF347" s="71" t="s">
        <v>19</v>
      </c>
      <c r="AG347" s="73" t="s">
        <v>70</v>
      </c>
      <c r="AS347" s="3">
        <v>6614</v>
      </c>
      <c r="AT347" s="3">
        <v>401</v>
      </c>
      <c r="AU347" s="3" t="s">
        <v>3777</v>
      </c>
      <c r="AV347" s="3">
        <v>13.1</v>
      </c>
      <c r="AX347" s="3" t="s">
        <v>2799</v>
      </c>
      <c r="AY347" s="65" t="s">
        <v>2800</v>
      </c>
      <c r="BA347" s="109" t="s">
        <v>4279</v>
      </c>
      <c r="BB347" s="183">
        <v>2158901</v>
      </c>
    </row>
    <row r="348" spans="28:54" ht="30.75" thickBot="1" x14ac:dyDescent="0.3">
      <c r="AB348" s="71" t="s">
        <v>860</v>
      </c>
      <c r="AC348" s="72" t="s">
        <v>859</v>
      </c>
      <c r="AD348" s="73" t="str">
        <f t="shared" si="24"/>
        <v>18-3</v>
      </c>
      <c r="AE348" s="74">
        <f t="shared" si="25"/>
        <v>3</v>
      </c>
      <c r="AF348" s="71" t="s">
        <v>862</v>
      </c>
      <c r="AG348" s="73" t="s">
        <v>1900</v>
      </c>
      <c r="AS348" s="3">
        <v>6615</v>
      </c>
      <c r="AT348" s="3">
        <v>401</v>
      </c>
      <c r="AU348" s="3" t="s">
        <v>3478</v>
      </c>
      <c r="AV348" s="3">
        <v>13.1</v>
      </c>
      <c r="AX348" s="3" t="s">
        <v>2801</v>
      </c>
      <c r="AY348" s="65" t="s">
        <v>2802</v>
      </c>
      <c r="BA348" s="108" t="s">
        <v>4280</v>
      </c>
      <c r="BB348" s="182">
        <v>2173001</v>
      </c>
    </row>
    <row r="349" spans="28:54" ht="15.75" thickBot="1" x14ac:dyDescent="0.3">
      <c r="AB349" s="71" t="s">
        <v>860</v>
      </c>
      <c r="AC349" s="72" t="s">
        <v>859</v>
      </c>
      <c r="AD349" s="73" t="str">
        <f t="shared" si="24"/>
        <v>18-4</v>
      </c>
      <c r="AE349" s="74">
        <f t="shared" si="25"/>
        <v>4</v>
      </c>
      <c r="AF349" s="71" t="s">
        <v>863</v>
      </c>
      <c r="AG349" s="73" t="s">
        <v>1711</v>
      </c>
      <c r="AS349" s="3">
        <v>6619</v>
      </c>
      <c r="AT349" s="3">
        <v>401</v>
      </c>
      <c r="AU349" s="3" t="s">
        <v>2862</v>
      </c>
      <c r="AV349" s="3">
        <v>13.1</v>
      </c>
      <c r="AX349" s="3" t="s">
        <v>2803</v>
      </c>
      <c r="AY349" s="65" t="s">
        <v>2804</v>
      </c>
      <c r="BA349" s="109" t="s">
        <v>4281</v>
      </c>
      <c r="BB349" s="183">
        <v>2174101</v>
      </c>
    </row>
    <row r="350" spans="28:54" ht="15.75" thickBot="1" x14ac:dyDescent="0.3">
      <c r="AB350" s="71" t="s">
        <v>860</v>
      </c>
      <c r="AC350" s="72" t="s">
        <v>859</v>
      </c>
      <c r="AD350" s="73" t="str">
        <f t="shared" si="24"/>
        <v>18-5</v>
      </c>
      <c r="AE350" s="74">
        <f t="shared" si="25"/>
        <v>5</v>
      </c>
      <c r="AF350" s="71" t="s">
        <v>864</v>
      </c>
      <c r="AG350" s="73" t="s">
        <v>1901</v>
      </c>
      <c r="AS350" s="3">
        <v>6621</v>
      </c>
      <c r="AT350" s="3">
        <v>401</v>
      </c>
      <c r="AU350" s="3" t="s">
        <v>2864</v>
      </c>
      <c r="AV350" s="3">
        <v>13.1</v>
      </c>
      <c r="AX350" s="3" t="s">
        <v>2805</v>
      </c>
      <c r="AY350" s="65" t="s">
        <v>2806</v>
      </c>
      <c r="BA350" s="108" t="s">
        <v>4282</v>
      </c>
      <c r="BB350" s="182">
        <v>2174202</v>
      </c>
    </row>
    <row r="351" spans="28:54" ht="15.75" thickBot="1" x14ac:dyDescent="0.3">
      <c r="AB351" s="71" t="s">
        <v>860</v>
      </c>
      <c r="AC351" s="72" t="s">
        <v>859</v>
      </c>
      <c r="AD351" s="73" t="str">
        <f t="shared" si="24"/>
        <v>18-6</v>
      </c>
      <c r="AE351" s="74">
        <f t="shared" si="25"/>
        <v>6</v>
      </c>
      <c r="AF351" s="71" t="s">
        <v>865</v>
      </c>
      <c r="AG351" s="73" t="s">
        <v>152</v>
      </c>
      <c r="AS351" s="3">
        <v>6629</v>
      </c>
      <c r="AT351" s="3">
        <v>304</v>
      </c>
      <c r="AU351" s="3" t="s">
        <v>2866</v>
      </c>
      <c r="AV351" s="3">
        <v>9.66</v>
      </c>
      <c r="AX351" s="3" t="s">
        <v>2807</v>
      </c>
      <c r="AY351" s="65" t="s">
        <v>2808</v>
      </c>
      <c r="BA351" s="109" t="s">
        <v>4283</v>
      </c>
      <c r="BB351" s="183">
        <v>2174901</v>
      </c>
    </row>
    <row r="352" spans="28:54" ht="15.75" thickBot="1" x14ac:dyDescent="0.3">
      <c r="AB352" s="71" t="s">
        <v>860</v>
      </c>
      <c r="AC352" s="72" t="s">
        <v>859</v>
      </c>
      <c r="AD352" s="73" t="str">
        <f t="shared" si="24"/>
        <v>18-7</v>
      </c>
      <c r="AE352" s="74">
        <f t="shared" si="25"/>
        <v>7</v>
      </c>
      <c r="AF352" s="71" t="s">
        <v>866</v>
      </c>
      <c r="AG352" s="73" t="s">
        <v>1902</v>
      </c>
      <c r="AS352" s="3">
        <v>6630</v>
      </c>
      <c r="AT352" s="3">
        <v>401</v>
      </c>
      <c r="AU352" s="3" t="s">
        <v>3477</v>
      </c>
      <c r="AV352" s="3">
        <v>13.1</v>
      </c>
      <c r="AX352" s="3" t="s">
        <v>2809</v>
      </c>
      <c r="AY352" s="65" t="s">
        <v>2810</v>
      </c>
      <c r="BA352" s="108" t="s">
        <v>4284</v>
      </c>
      <c r="BB352" s="182">
        <v>2175001</v>
      </c>
    </row>
    <row r="353" spans="28:54" ht="15.75" thickBot="1" x14ac:dyDescent="0.3">
      <c r="AB353" s="71" t="s">
        <v>860</v>
      </c>
      <c r="AC353" s="72" t="s">
        <v>859</v>
      </c>
      <c r="AD353" s="73" t="str">
        <f t="shared" si="24"/>
        <v>18-8</v>
      </c>
      <c r="AE353" s="74">
        <f t="shared" si="25"/>
        <v>8</v>
      </c>
      <c r="AF353" s="71" t="s">
        <v>867</v>
      </c>
      <c r="AG353" s="73" t="s">
        <v>246</v>
      </c>
      <c r="AS353" s="3">
        <v>6810</v>
      </c>
      <c r="AT353" s="3">
        <v>304</v>
      </c>
      <c r="AU353" s="3" t="s">
        <v>3778</v>
      </c>
      <c r="AV353" s="3">
        <v>9.66</v>
      </c>
      <c r="AX353" s="3" t="s">
        <v>2811</v>
      </c>
      <c r="AY353" s="65" t="s">
        <v>2812</v>
      </c>
      <c r="BA353" s="109" t="s">
        <v>4285</v>
      </c>
      <c r="BB353" s="183">
        <v>2181002</v>
      </c>
    </row>
    <row r="354" spans="28:54" ht="15.75" thickBot="1" x14ac:dyDescent="0.3">
      <c r="AB354" s="71" t="s">
        <v>860</v>
      </c>
      <c r="AC354" s="72" t="s">
        <v>859</v>
      </c>
      <c r="AD354" s="73" t="str">
        <f t="shared" si="24"/>
        <v>18-9</v>
      </c>
      <c r="AE354" s="74">
        <f t="shared" si="25"/>
        <v>9</v>
      </c>
      <c r="AF354" s="71" t="s">
        <v>868</v>
      </c>
      <c r="AG354" s="73" t="s">
        <v>1903</v>
      </c>
      <c r="AS354" s="3">
        <v>6820</v>
      </c>
      <c r="AT354" s="3">
        <v>304</v>
      </c>
      <c r="AU354" s="3" t="s">
        <v>3779</v>
      </c>
      <c r="AV354" s="3">
        <v>9.66</v>
      </c>
      <c r="AX354" s="3" t="s">
        <v>2813</v>
      </c>
      <c r="AY354" s="65" t="s">
        <v>2814</v>
      </c>
      <c r="BA354" s="108" t="s">
        <v>4286</v>
      </c>
      <c r="BB354" s="182">
        <v>2192101</v>
      </c>
    </row>
    <row r="355" spans="28:54" ht="15.75" thickBot="1" x14ac:dyDescent="0.3">
      <c r="AB355" s="71" t="s">
        <v>860</v>
      </c>
      <c r="AC355" s="72" t="s">
        <v>859</v>
      </c>
      <c r="AD355" s="73" t="str">
        <f t="shared" si="24"/>
        <v>18-10</v>
      </c>
      <c r="AE355" s="74">
        <f t="shared" si="25"/>
        <v>10</v>
      </c>
      <c r="AF355" s="71" t="s">
        <v>869</v>
      </c>
      <c r="AG355" s="73" t="s">
        <v>1904</v>
      </c>
      <c r="AS355" s="3">
        <v>7310</v>
      </c>
      <c r="AT355" s="3">
        <v>304</v>
      </c>
      <c r="AU355" s="3" t="s">
        <v>3414</v>
      </c>
      <c r="AV355" s="3">
        <v>9.66</v>
      </c>
      <c r="AX355" s="3" t="s">
        <v>2815</v>
      </c>
      <c r="AY355" s="65" t="s">
        <v>2816</v>
      </c>
      <c r="BA355" s="109" t="s">
        <v>4287</v>
      </c>
      <c r="BB355" s="183">
        <v>2192201</v>
      </c>
    </row>
    <row r="356" spans="28:54" ht="15.75" thickBot="1" x14ac:dyDescent="0.3">
      <c r="AB356" s="71" t="s">
        <v>860</v>
      </c>
      <c r="AC356" s="72" t="s">
        <v>859</v>
      </c>
      <c r="AD356" s="73" t="str">
        <f t="shared" si="24"/>
        <v>18-11</v>
      </c>
      <c r="AE356" s="74">
        <f t="shared" si="25"/>
        <v>11</v>
      </c>
      <c r="AF356" s="71" t="s">
        <v>373</v>
      </c>
      <c r="AG356" s="73" t="s">
        <v>1905</v>
      </c>
      <c r="AS356" s="3">
        <v>7420</v>
      </c>
      <c r="AT356" s="3">
        <v>304</v>
      </c>
      <c r="AU356" s="3" t="s">
        <v>3415</v>
      </c>
      <c r="AV356" s="3">
        <v>9.66</v>
      </c>
      <c r="AX356" s="3" t="s">
        <v>2817</v>
      </c>
      <c r="AY356" s="65" t="s">
        <v>2818</v>
      </c>
      <c r="BA356" s="108" t="s">
        <v>4288</v>
      </c>
      <c r="BB356" s="182">
        <v>2192301</v>
      </c>
    </row>
    <row r="357" spans="28:54" ht="15.75" thickBot="1" x14ac:dyDescent="0.3">
      <c r="AB357" s="71" t="s">
        <v>860</v>
      </c>
      <c r="AC357" s="72" t="s">
        <v>859</v>
      </c>
      <c r="AD357" s="73" t="str">
        <f t="shared" si="24"/>
        <v>18-12</v>
      </c>
      <c r="AE357" s="74">
        <f t="shared" si="25"/>
        <v>12</v>
      </c>
      <c r="AF357" s="71" t="s">
        <v>870</v>
      </c>
      <c r="AG357" s="73" t="s">
        <v>1906</v>
      </c>
      <c r="AS357" s="3">
        <v>7500</v>
      </c>
      <c r="AT357" s="3">
        <v>304</v>
      </c>
      <c r="AU357" s="3" t="s">
        <v>3416</v>
      </c>
      <c r="AV357" s="3">
        <v>9.66</v>
      </c>
      <c r="AX357" s="3" t="s">
        <v>2819</v>
      </c>
      <c r="AY357" s="65" t="s">
        <v>2820</v>
      </c>
      <c r="BA357" s="109" t="s">
        <v>4289</v>
      </c>
      <c r="BB357" s="183">
        <v>2192401</v>
      </c>
    </row>
    <row r="358" spans="28:54" ht="15.75" thickBot="1" x14ac:dyDescent="0.3">
      <c r="AB358" s="71" t="s">
        <v>860</v>
      </c>
      <c r="AC358" s="72" t="s">
        <v>859</v>
      </c>
      <c r="AD358" s="73" t="str">
        <f t="shared" si="24"/>
        <v>18-13</v>
      </c>
      <c r="AE358" s="74">
        <f t="shared" si="25"/>
        <v>13</v>
      </c>
      <c r="AF358" s="71" t="s">
        <v>871</v>
      </c>
      <c r="AG358" s="73" t="s">
        <v>1869</v>
      </c>
      <c r="AS358" s="3">
        <v>7710</v>
      </c>
      <c r="AT358" s="3">
        <v>304</v>
      </c>
      <c r="AU358" s="3" t="s">
        <v>3417</v>
      </c>
      <c r="AV358" s="3">
        <v>9.66</v>
      </c>
      <c r="AX358" s="3" t="s">
        <v>2821</v>
      </c>
      <c r="AY358" s="65" t="s">
        <v>2822</v>
      </c>
      <c r="BA358" s="108" t="s">
        <v>4290</v>
      </c>
      <c r="BB358" s="182">
        <v>2192501</v>
      </c>
    </row>
    <row r="359" spans="28:54" ht="15.75" thickBot="1" x14ac:dyDescent="0.3">
      <c r="AB359" s="71" t="s">
        <v>860</v>
      </c>
      <c r="AC359" s="72" t="s">
        <v>859</v>
      </c>
      <c r="AD359" s="73" t="str">
        <f t="shared" si="24"/>
        <v>18-14</v>
      </c>
      <c r="AE359" s="74">
        <f t="shared" si="25"/>
        <v>14</v>
      </c>
      <c r="AF359" s="71" t="s">
        <v>872</v>
      </c>
      <c r="AG359" s="73" t="s">
        <v>432</v>
      </c>
      <c r="AS359" s="3">
        <v>7721</v>
      </c>
      <c r="AT359" s="3">
        <v>304</v>
      </c>
      <c r="AU359" s="3" t="s">
        <v>3780</v>
      </c>
      <c r="AV359" s="3">
        <v>9.66</v>
      </c>
      <c r="AX359" s="3" t="s">
        <v>2823</v>
      </c>
      <c r="AY359" s="65" t="s">
        <v>2824</v>
      </c>
      <c r="BA359" s="109" t="s">
        <v>4291</v>
      </c>
      <c r="BB359" s="183">
        <v>2192901</v>
      </c>
    </row>
    <row r="360" spans="28:54" ht="15.75" thickBot="1" x14ac:dyDescent="0.3">
      <c r="AB360" s="71" t="s">
        <v>860</v>
      </c>
      <c r="AC360" s="72" t="s">
        <v>859</v>
      </c>
      <c r="AD360" s="73" t="str">
        <f t="shared" si="24"/>
        <v>18-15</v>
      </c>
      <c r="AE360" s="74">
        <f t="shared" si="25"/>
        <v>15</v>
      </c>
      <c r="AF360" s="71" t="s">
        <v>873</v>
      </c>
      <c r="AG360" s="73" t="s">
        <v>1907</v>
      </c>
      <c r="AS360" s="3">
        <v>7722</v>
      </c>
      <c r="AT360" s="3">
        <v>304</v>
      </c>
      <c r="AU360" s="3" t="s">
        <v>3418</v>
      </c>
      <c r="AV360" s="3">
        <v>9.66</v>
      </c>
      <c r="AX360" s="3" t="s">
        <v>2825</v>
      </c>
      <c r="AY360" s="65" t="s">
        <v>2826</v>
      </c>
      <c r="BA360" s="108" t="s">
        <v>4292</v>
      </c>
      <c r="BB360" s="182">
        <v>2193101</v>
      </c>
    </row>
    <row r="361" spans="28:54" ht="30.75" thickBot="1" x14ac:dyDescent="0.3">
      <c r="AB361" s="71" t="s">
        <v>860</v>
      </c>
      <c r="AC361" s="72" t="s">
        <v>859</v>
      </c>
      <c r="AD361" s="73" t="str">
        <f t="shared" si="24"/>
        <v>18-16</v>
      </c>
      <c r="AE361" s="74">
        <f t="shared" si="25"/>
        <v>16</v>
      </c>
      <c r="AF361" s="71" t="s">
        <v>626</v>
      </c>
      <c r="AG361" s="73" t="s">
        <v>1908</v>
      </c>
      <c r="AS361" s="3">
        <v>7729</v>
      </c>
      <c r="AT361" s="3">
        <v>304</v>
      </c>
      <c r="AU361" s="3" t="s">
        <v>2906</v>
      </c>
      <c r="AV361" s="3">
        <v>9.66</v>
      </c>
      <c r="AX361" s="3" t="s">
        <v>2827</v>
      </c>
      <c r="AY361" s="65" t="s">
        <v>2828</v>
      </c>
      <c r="BA361" s="109" t="s">
        <v>4293</v>
      </c>
      <c r="BB361" s="183">
        <v>2209001</v>
      </c>
    </row>
    <row r="362" spans="28:54" ht="15.75" thickBot="1" x14ac:dyDescent="0.3">
      <c r="AB362" s="71" t="s">
        <v>875</v>
      </c>
      <c r="AC362" s="72" t="s">
        <v>874</v>
      </c>
      <c r="AD362" s="73" t="str">
        <f t="shared" si="24"/>
        <v>19-1</v>
      </c>
      <c r="AE362" s="74">
        <f t="shared" si="25"/>
        <v>1</v>
      </c>
      <c r="AF362" s="71" t="s">
        <v>876</v>
      </c>
      <c r="AG362" s="73" t="s">
        <v>334</v>
      </c>
      <c r="AS362" s="3">
        <v>7730</v>
      </c>
      <c r="AT362" s="3">
        <v>304</v>
      </c>
      <c r="AU362" s="3" t="s">
        <v>2908</v>
      </c>
      <c r="AV362" s="3">
        <v>9.66</v>
      </c>
      <c r="AX362" s="3" t="s">
        <v>2829</v>
      </c>
      <c r="AY362" s="65" t="s">
        <v>2830</v>
      </c>
      <c r="BA362" s="108" t="s">
        <v>4294</v>
      </c>
      <c r="BB362" s="182">
        <v>2210201</v>
      </c>
    </row>
    <row r="363" spans="28:54" ht="15.75" thickBot="1" x14ac:dyDescent="0.3">
      <c r="AB363" s="71" t="s">
        <v>875</v>
      </c>
      <c r="AC363" s="72" t="s">
        <v>874</v>
      </c>
      <c r="AD363" s="73" t="str">
        <f t="shared" si="24"/>
        <v>19-2</v>
      </c>
      <c r="AE363" s="74">
        <f t="shared" si="25"/>
        <v>2</v>
      </c>
      <c r="AF363" s="71" t="s">
        <v>877</v>
      </c>
      <c r="AG363" s="73" t="s">
        <v>1820</v>
      </c>
      <c r="AS363" s="3">
        <v>7740</v>
      </c>
      <c r="AT363" s="3">
        <v>304</v>
      </c>
      <c r="AU363" s="3" t="s">
        <v>3781</v>
      </c>
      <c r="AV363" s="3">
        <v>9.66</v>
      </c>
      <c r="AX363" s="3" t="s">
        <v>2831</v>
      </c>
      <c r="AY363" s="65" t="s">
        <v>2832</v>
      </c>
      <c r="BA363" s="109" t="s">
        <v>4295</v>
      </c>
      <c r="BB363" s="183">
        <v>2222001</v>
      </c>
    </row>
    <row r="364" spans="28:54" ht="15.75" thickBot="1" x14ac:dyDescent="0.3">
      <c r="AB364" s="71" t="s">
        <v>875</v>
      </c>
      <c r="AC364" s="72" t="s">
        <v>874</v>
      </c>
      <c r="AD364" s="73" t="str">
        <f t="shared" si="24"/>
        <v>19-3</v>
      </c>
      <c r="AE364" s="74">
        <f t="shared" si="25"/>
        <v>3</v>
      </c>
      <c r="AF364" s="71" t="s">
        <v>35</v>
      </c>
      <c r="AG364" s="73" t="s">
        <v>1885</v>
      </c>
      <c r="AS364" s="3">
        <v>7810</v>
      </c>
      <c r="AT364" s="3">
        <v>304</v>
      </c>
      <c r="AU364" s="3" t="s">
        <v>3603</v>
      </c>
      <c r="AV364" s="3">
        <v>9.66</v>
      </c>
      <c r="AX364" s="3" t="s">
        <v>2833</v>
      </c>
      <c r="AY364" s="65" t="s">
        <v>2834</v>
      </c>
      <c r="BA364" s="108" t="s">
        <v>4296</v>
      </c>
      <c r="BB364" s="182">
        <v>2223301</v>
      </c>
    </row>
    <row r="365" spans="28:54" ht="30.75" thickBot="1" x14ac:dyDescent="0.3">
      <c r="AB365" s="71" t="s">
        <v>875</v>
      </c>
      <c r="AC365" s="72" t="s">
        <v>874</v>
      </c>
      <c r="AD365" s="73" t="str">
        <f t="shared" si="24"/>
        <v>19-4</v>
      </c>
      <c r="AE365" s="74">
        <f t="shared" si="25"/>
        <v>4</v>
      </c>
      <c r="AF365" s="71" t="s">
        <v>878</v>
      </c>
      <c r="AG365" s="73" t="s">
        <v>1909</v>
      </c>
      <c r="AS365" s="3">
        <v>7820</v>
      </c>
      <c r="AT365" s="3">
        <v>304</v>
      </c>
      <c r="AU365" s="3" t="s">
        <v>3604</v>
      </c>
      <c r="AV365" s="3">
        <v>9.66</v>
      </c>
      <c r="AX365" s="3" t="s">
        <v>2835</v>
      </c>
      <c r="AY365" s="65" t="s">
        <v>2836</v>
      </c>
      <c r="BA365" s="109" t="s">
        <v>4297</v>
      </c>
      <c r="BB365" s="183">
        <v>2224001</v>
      </c>
    </row>
    <row r="366" spans="28:54" ht="15.75" thickBot="1" x14ac:dyDescent="0.3">
      <c r="AB366" s="71" t="s">
        <v>875</v>
      </c>
      <c r="AC366" s="72" t="s">
        <v>874</v>
      </c>
      <c r="AD366" s="73" t="str">
        <f t="shared" si="24"/>
        <v>19-5</v>
      </c>
      <c r="AE366" s="74">
        <f t="shared" si="25"/>
        <v>5</v>
      </c>
      <c r="AF366" s="71" t="s">
        <v>879</v>
      </c>
      <c r="AG366" s="73" t="s">
        <v>1910</v>
      </c>
      <c r="AS366" s="3">
        <v>7830</v>
      </c>
      <c r="AT366" s="3">
        <v>304</v>
      </c>
      <c r="AU366" s="3" t="s">
        <v>3605</v>
      </c>
      <c r="AV366" s="3">
        <v>9.66</v>
      </c>
      <c r="AX366" s="3" t="s">
        <v>2837</v>
      </c>
      <c r="AY366" s="65" t="s">
        <v>2838</v>
      </c>
      <c r="BA366" s="108" t="s">
        <v>4298</v>
      </c>
      <c r="BB366" s="182">
        <v>2241301</v>
      </c>
    </row>
    <row r="367" spans="28:54" ht="15.75" thickBot="1" x14ac:dyDescent="0.3">
      <c r="AB367" s="71" t="s">
        <v>875</v>
      </c>
      <c r="AC367" s="72" t="s">
        <v>874</v>
      </c>
      <c r="AD367" s="73" t="str">
        <f t="shared" si="24"/>
        <v>19-6</v>
      </c>
      <c r="AE367" s="74">
        <f t="shared" si="25"/>
        <v>6</v>
      </c>
      <c r="AF367" s="71" t="s">
        <v>880</v>
      </c>
      <c r="AG367" s="73" t="s">
        <v>1911</v>
      </c>
      <c r="AS367" s="3">
        <v>7911</v>
      </c>
      <c r="AT367" s="3">
        <v>304</v>
      </c>
      <c r="AU367" s="3" t="s">
        <v>3419</v>
      </c>
      <c r="AV367" s="3">
        <v>9.66</v>
      </c>
      <c r="AX367" s="3" t="s">
        <v>2839</v>
      </c>
      <c r="AY367" s="65" t="s">
        <v>2840</v>
      </c>
      <c r="BA367" s="109" t="s">
        <v>4299</v>
      </c>
      <c r="BB367" s="183">
        <v>2242401</v>
      </c>
    </row>
    <row r="368" spans="28:54" ht="15.75" thickBot="1" x14ac:dyDescent="0.3">
      <c r="AB368" s="71" t="s">
        <v>875</v>
      </c>
      <c r="AC368" s="72" t="s">
        <v>874</v>
      </c>
      <c r="AD368" s="73" t="str">
        <f t="shared" si="24"/>
        <v>19-7</v>
      </c>
      <c r="AE368" s="74">
        <f t="shared" si="25"/>
        <v>7</v>
      </c>
      <c r="AF368" s="71" t="s">
        <v>881</v>
      </c>
      <c r="AG368" s="73" t="s">
        <v>1912</v>
      </c>
      <c r="AS368" s="3">
        <v>7912</v>
      </c>
      <c r="AT368" s="3">
        <v>304</v>
      </c>
      <c r="AU368" s="3" t="s">
        <v>3420</v>
      </c>
      <c r="AV368" s="3">
        <v>9.66</v>
      </c>
      <c r="AX368" s="3" t="s">
        <v>2841</v>
      </c>
      <c r="AY368" s="65" t="s">
        <v>2842</v>
      </c>
      <c r="BA368" s="108" t="s">
        <v>4300</v>
      </c>
      <c r="BB368" s="182">
        <v>2242901</v>
      </c>
    </row>
    <row r="369" spans="28:54" ht="15.75" thickBot="1" x14ac:dyDescent="0.3">
      <c r="AB369" s="71" t="s">
        <v>875</v>
      </c>
      <c r="AC369" s="72" t="s">
        <v>874</v>
      </c>
      <c r="AD369" s="73" t="str">
        <f t="shared" si="24"/>
        <v>19-8</v>
      </c>
      <c r="AE369" s="74">
        <f t="shared" si="25"/>
        <v>8</v>
      </c>
      <c r="AF369" s="71" t="s">
        <v>882</v>
      </c>
      <c r="AG369" s="73" t="s">
        <v>88</v>
      </c>
      <c r="AS369" s="3">
        <v>7990</v>
      </c>
      <c r="AT369" s="3">
        <v>304</v>
      </c>
      <c r="AU369" s="3" t="s">
        <v>3421</v>
      </c>
      <c r="AV369" s="3">
        <v>9.66</v>
      </c>
      <c r="AX369" s="85" t="s">
        <v>3586</v>
      </c>
      <c r="AY369" s="65" t="s">
        <v>3585</v>
      </c>
      <c r="BA369" s="109" t="s">
        <v>4301</v>
      </c>
      <c r="BB369" s="183">
        <v>2251901</v>
      </c>
    </row>
    <row r="370" spans="28:54" ht="15.75" thickBot="1" x14ac:dyDescent="0.3">
      <c r="AB370" s="71" t="s">
        <v>875</v>
      </c>
      <c r="AC370" s="72" t="s">
        <v>874</v>
      </c>
      <c r="AD370" s="73" t="str">
        <f t="shared" si="24"/>
        <v>19-9</v>
      </c>
      <c r="AE370" s="74">
        <f t="shared" si="25"/>
        <v>9</v>
      </c>
      <c r="AF370" s="71" t="s">
        <v>883</v>
      </c>
      <c r="AG370" s="73" t="s">
        <v>1708</v>
      </c>
      <c r="AS370" s="3">
        <v>8010</v>
      </c>
      <c r="AT370" s="3">
        <v>303</v>
      </c>
      <c r="AU370" s="3" t="s">
        <v>3380</v>
      </c>
      <c r="AV370" s="3">
        <v>13.8</v>
      </c>
      <c r="AX370" s="85" t="s">
        <v>3586</v>
      </c>
      <c r="AY370" s="65" t="s">
        <v>3587</v>
      </c>
      <c r="BA370" s="108" t="s">
        <v>4302</v>
      </c>
      <c r="BB370" s="182">
        <v>2289901</v>
      </c>
    </row>
    <row r="371" spans="28:54" ht="15.75" thickBot="1" x14ac:dyDescent="0.3">
      <c r="AB371" s="71" t="s">
        <v>875</v>
      </c>
      <c r="AC371" s="72" t="s">
        <v>874</v>
      </c>
      <c r="AD371" s="73" t="str">
        <f t="shared" si="24"/>
        <v>19-10</v>
      </c>
      <c r="AE371" s="74">
        <f t="shared" si="25"/>
        <v>10</v>
      </c>
      <c r="AF371" s="71" t="s">
        <v>884</v>
      </c>
      <c r="AG371" s="73" t="s">
        <v>1717</v>
      </c>
      <c r="AS371" s="3">
        <v>8020</v>
      </c>
      <c r="AT371" s="3">
        <v>303</v>
      </c>
      <c r="AU371" s="3" t="s">
        <v>3381</v>
      </c>
      <c r="AV371" s="3">
        <v>13.8</v>
      </c>
      <c r="AX371" s="3" t="s">
        <v>2843</v>
      </c>
      <c r="AY371" s="65" t="s">
        <v>2844</v>
      </c>
      <c r="BA371" s="109" t="s">
        <v>4303</v>
      </c>
      <c r="BB371" s="183">
        <v>2292701</v>
      </c>
    </row>
    <row r="372" spans="28:54" ht="15.75" thickBot="1" x14ac:dyDescent="0.3">
      <c r="AB372" s="71" t="s">
        <v>875</v>
      </c>
      <c r="AC372" s="72" t="s">
        <v>874</v>
      </c>
      <c r="AD372" s="73" t="str">
        <f t="shared" si="24"/>
        <v>19-11</v>
      </c>
      <c r="AE372" s="74">
        <f t="shared" si="25"/>
        <v>11</v>
      </c>
      <c r="AF372" s="71" t="s">
        <v>885</v>
      </c>
      <c r="AG372" s="73" t="s">
        <v>1902</v>
      </c>
      <c r="AS372" s="3">
        <v>8030</v>
      </c>
      <c r="AT372" s="3">
        <v>303</v>
      </c>
      <c r="AU372" s="3" t="s">
        <v>3382</v>
      </c>
      <c r="AV372" s="3">
        <v>13.8</v>
      </c>
      <c r="AX372" s="3" t="s">
        <v>2845</v>
      </c>
      <c r="AY372" s="65" t="s">
        <v>2846</v>
      </c>
      <c r="BA372" s="108" t="s">
        <v>4304</v>
      </c>
      <c r="BB372" s="182">
        <v>2361101</v>
      </c>
    </row>
    <row r="373" spans="28:54" ht="15.75" thickBot="1" x14ac:dyDescent="0.3">
      <c r="AB373" s="71" t="s">
        <v>875</v>
      </c>
      <c r="AC373" s="72" t="s">
        <v>874</v>
      </c>
      <c r="AD373" s="73" t="str">
        <f t="shared" si="24"/>
        <v>19-12</v>
      </c>
      <c r="AE373" s="74">
        <f t="shared" si="25"/>
        <v>12</v>
      </c>
      <c r="AF373" s="71" t="s">
        <v>861</v>
      </c>
      <c r="AG373" s="73" t="s">
        <v>1913</v>
      </c>
      <c r="AS373" s="3">
        <v>8110</v>
      </c>
      <c r="AT373" s="3">
        <v>304</v>
      </c>
      <c r="AU373" s="3" t="s">
        <v>3422</v>
      </c>
      <c r="AV373" s="3">
        <v>9.66</v>
      </c>
      <c r="AX373" s="85" t="s">
        <v>3589</v>
      </c>
      <c r="AY373" s="65" t="s">
        <v>3588</v>
      </c>
      <c r="BA373" s="109" t="s">
        <v>4305</v>
      </c>
      <c r="BB373" s="183">
        <v>2361201</v>
      </c>
    </row>
    <row r="374" spans="28:54" ht="15.75" thickBot="1" x14ac:dyDescent="0.3">
      <c r="AB374" s="71" t="s">
        <v>875</v>
      </c>
      <c r="AC374" s="72" t="s">
        <v>874</v>
      </c>
      <c r="AD374" s="73" t="str">
        <f t="shared" si="24"/>
        <v>19-13</v>
      </c>
      <c r="AE374" s="74">
        <f t="shared" si="25"/>
        <v>13</v>
      </c>
      <c r="AF374" s="71" t="s">
        <v>886</v>
      </c>
      <c r="AG374" s="73" t="s">
        <v>1729</v>
      </c>
      <c r="AS374" s="3">
        <v>8121</v>
      </c>
      <c r="AT374" s="3">
        <v>304</v>
      </c>
      <c r="AU374" s="3" t="s">
        <v>3423</v>
      </c>
      <c r="AV374" s="3">
        <v>9.66</v>
      </c>
      <c r="AX374" s="3" t="s">
        <v>2847</v>
      </c>
      <c r="AY374" s="65" t="s">
        <v>2848</v>
      </c>
      <c r="BA374" s="108" t="s">
        <v>4306</v>
      </c>
      <c r="BB374" s="182">
        <v>2361301</v>
      </c>
    </row>
    <row r="375" spans="28:54" ht="15.75" thickBot="1" x14ac:dyDescent="0.3">
      <c r="AB375" s="71" t="s">
        <v>875</v>
      </c>
      <c r="AC375" s="72" t="s">
        <v>874</v>
      </c>
      <c r="AD375" s="73" t="str">
        <f t="shared" si="24"/>
        <v>19-14</v>
      </c>
      <c r="AE375" s="74">
        <f t="shared" si="25"/>
        <v>14</v>
      </c>
      <c r="AF375" s="71" t="s">
        <v>887</v>
      </c>
      <c r="AG375" s="73" t="s">
        <v>212</v>
      </c>
      <c r="AS375" s="3">
        <v>8129</v>
      </c>
      <c r="AT375" s="3">
        <v>304</v>
      </c>
      <c r="AU375" s="3" t="s">
        <v>3424</v>
      </c>
      <c r="AV375" s="3">
        <v>9.66</v>
      </c>
      <c r="AX375" s="3" t="s">
        <v>2849</v>
      </c>
      <c r="AY375" s="65" t="s">
        <v>2850</v>
      </c>
      <c r="BA375" s="109" t="s">
        <v>4307</v>
      </c>
      <c r="BB375" s="183">
        <v>2361401</v>
      </c>
    </row>
    <row r="376" spans="28:54" ht="15.75" thickBot="1" x14ac:dyDescent="0.3">
      <c r="AB376" s="71" t="s">
        <v>875</v>
      </c>
      <c r="AC376" s="72" t="s">
        <v>874</v>
      </c>
      <c r="AD376" s="73" t="str">
        <f t="shared" si="24"/>
        <v>19-15</v>
      </c>
      <c r="AE376" s="74">
        <f t="shared" si="25"/>
        <v>15</v>
      </c>
      <c r="AF376" s="71" t="s">
        <v>888</v>
      </c>
      <c r="AG376" s="73" t="s">
        <v>1734</v>
      </c>
      <c r="AS376" s="3">
        <v>8130</v>
      </c>
      <c r="AT376" s="3">
        <v>304</v>
      </c>
      <c r="AU376" s="3" t="s">
        <v>3425</v>
      </c>
      <c r="AV376" s="3">
        <v>9.66</v>
      </c>
      <c r="AX376" s="3" t="s">
        <v>2851</v>
      </c>
      <c r="AY376" s="65" t="s">
        <v>2852</v>
      </c>
      <c r="BA376" s="108" t="s">
        <v>4308</v>
      </c>
      <c r="BB376" s="182">
        <v>2361901</v>
      </c>
    </row>
    <row r="377" spans="28:54" ht="15.75" thickBot="1" x14ac:dyDescent="0.3">
      <c r="AB377" s="71" t="s">
        <v>875</v>
      </c>
      <c r="AC377" s="72" t="s">
        <v>874</v>
      </c>
      <c r="AD377" s="73" t="str">
        <f t="shared" si="24"/>
        <v>19-16</v>
      </c>
      <c r="AE377" s="74">
        <f t="shared" si="25"/>
        <v>16</v>
      </c>
      <c r="AF377" s="71" t="s">
        <v>889</v>
      </c>
      <c r="AG377" s="73" t="s">
        <v>1914</v>
      </c>
      <c r="AS377" s="3">
        <v>8211</v>
      </c>
      <c r="AT377" s="3">
        <v>304</v>
      </c>
      <c r="AU377" s="3" t="s">
        <v>3426</v>
      </c>
      <c r="AV377" s="3">
        <v>9.66</v>
      </c>
      <c r="AX377" s="3" t="s">
        <v>2853</v>
      </c>
      <c r="AY377" s="65" t="s">
        <v>2854</v>
      </c>
      <c r="BA377" s="109" t="s">
        <v>4309</v>
      </c>
      <c r="BB377" s="183">
        <v>2369201</v>
      </c>
    </row>
    <row r="378" spans="28:54" ht="15.75" thickBot="1" x14ac:dyDescent="0.3">
      <c r="AB378" s="71" t="s">
        <v>875</v>
      </c>
      <c r="AC378" s="72" t="s">
        <v>874</v>
      </c>
      <c r="AD378" s="73" t="str">
        <f t="shared" si="24"/>
        <v>19-17</v>
      </c>
      <c r="AE378" s="74">
        <f t="shared" si="25"/>
        <v>17</v>
      </c>
      <c r="AF378" s="71" t="s">
        <v>890</v>
      </c>
      <c r="AG378" s="73" t="s">
        <v>1915</v>
      </c>
      <c r="AS378" s="3">
        <v>8219</v>
      </c>
      <c r="AT378" s="3">
        <v>304</v>
      </c>
      <c r="AU378" s="3" t="s">
        <v>3427</v>
      </c>
      <c r="AV378" s="3">
        <v>9.66</v>
      </c>
      <c r="AX378" s="3" t="s">
        <v>2855</v>
      </c>
      <c r="AY378" s="65" t="s">
        <v>2856</v>
      </c>
      <c r="BA378" s="108" t="s">
        <v>4310</v>
      </c>
      <c r="BB378" s="182">
        <v>2369301</v>
      </c>
    </row>
    <row r="379" spans="28:54" ht="15.75" thickBot="1" x14ac:dyDescent="0.3">
      <c r="AB379" s="71" t="s">
        <v>875</v>
      </c>
      <c r="AC379" s="72" t="s">
        <v>874</v>
      </c>
      <c r="AD379" s="73" t="str">
        <f t="shared" si="24"/>
        <v>19-18</v>
      </c>
      <c r="AE379" s="74">
        <f t="shared" si="25"/>
        <v>18</v>
      </c>
      <c r="AF379" s="71" t="s">
        <v>891</v>
      </c>
      <c r="AG379" s="73" t="s">
        <v>1916</v>
      </c>
      <c r="AS379" s="3">
        <v>8220</v>
      </c>
      <c r="AT379" s="3">
        <v>304</v>
      </c>
      <c r="AU379" s="3" t="s">
        <v>3428</v>
      </c>
      <c r="AV379" s="3">
        <v>9.66</v>
      </c>
      <c r="AX379" s="3" t="s">
        <v>2857</v>
      </c>
      <c r="AY379" s="65" t="s">
        <v>2858</v>
      </c>
      <c r="BA379" s="109" t="s">
        <v>4311</v>
      </c>
      <c r="BB379" s="183">
        <v>2369901</v>
      </c>
    </row>
    <row r="380" spans="28:54" ht="15.75" thickBot="1" x14ac:dyDescent="0.3">
      <c r="AB380" s="71" t="s">
        <v>875</v>
      </c>
      <c r="AC380" s="72" t="s">
        <v>874</v>
      </c>
      <c r="AD380" s="73" t="str">
        <f t="shared" si="24"/>
        <v>19-19</v>
      </c>
      <c r="AE380" s="74">
        <f t="shared" si="25"/>
        <v>19</v>
      </c>
      <c r="AF380" s="71" t="s">
        <v>892</v>
      </c>
      <c r="AG380" s="73" t="s">
        <v>276</v>
      </c>
      <c r="AS380" s="3">
        <v>8230</v>
      </c>
      <c r="AT380" s="3">
        <v>304</v>
      </c>
      <c r="AU380" s="3" t="s">
        <v>3782</v>
      </c>
      <c r="AV380" s="3">
        <v>9.66</v>
      </c>
      <c r="AX380" s="3" t="s">
        <v>2859</v>
      </c>
      <c r="AY380" s="65" t="s">
        <v>2860</v>
      </c>
      <c r="BA380" s="108" t="s">
        <v>4312</v>
      </c>
      <c r="BB380" s="182">
        <v>2455202</v>
      </c>
    </row>
    <row r="381" spans="28:54" ht="30.75" thickBot="1" x14ac:dyDescent="0.3">
      <c r="AB381" s="71" t="s">
        <v>875</v>
      </c>
      <c r="AC381" s="72" t="s">
        <v>874</v>
      </c>
      <c r="AD381" s="73" t="str">
        <f t="shared" si="24"/>
        <v>19-20</v>
      </c>
      <c r="AE381" s="74">
        <f t="shared" si="25"/>
        <v>20</v>
      </c>
      <c r="AF381" s="71" t="s">
        <v>893</v>
      </c>
      <c r="AG381" s="73" t="s">
        <v>278</v>
      </c>
      <c r="AS381" s="3">
        <v>8291</v>
      </c>
      <c r="AT381" s="3">
        <v>304</v>
      </c>
      <c r="AU381" s="3" t="s">
        <v>3429</v>
      </c>
      <c r="AV381" s="3">
        <v>9.66</v>
      </c>
      <c r="AX381" s="3" t="s">
        <v>2861</v>
      </c>
      <c r="AY381" s="65" t="s">
        <v>2862</v>
      </c>
      <c r="BA381" s="109" t="s">
        <v>4313</v>
      </c>
      <c r="BB381" s="183">
        <v>2501101</v>
      </c>
    </row>
    <row r="382" spans="28:54" ht="15.75" thickBot="1" x14ac:dyDescent="0.3">
      <c r="AB382" s="71" t="s">
        <v>875</v>
      </c>
      <c r="AC382" s="72" t="s">
        <v>874</v>
      </c>
      <c r="AD382" s="73" t="str">
        <f t="shared" si="24"/>
        <v>19-21</v>
      </c>
      <c r="AE382" s="74">
        <f t="shared" si="25"/>
        <v>21</v>
      </c>
      <c r="AF382" s="71" t="s">
        <v>686</v>
      </c>
      <c r="AG382" s="73" t="s">
        <v>1806</v>
      </c>
      <c r="AS382" s="3">
        <v>8292</v>
      </c>
      <c r="AT382" s="3">
        <v>304</v>
      </c>
      <c r="AU382" s="3" t="s">
        <v>3430</v>
      </c>
      <c r="AV382" s="3">
        <v>9.66</v>
      </c>
      <c r="AX382" s="3" t="s">
        <v>2863</v>
      </c>
      <c r="AY382" s="65" t="s">
        <v>2864</v>
      </c>
      <c r="BA382" s="108" t="s">
        <v>4314</v>
      </c>
      <c r="BB382" s="182">
        <v>2501201</v>
      </c>
    </row>
    <row r="383" spans="28:54" ht="30.75" thickBot="1" x14ac:dyDescent="0.3">
      <c r="AB383" s="71" t="s">
        <v>875</v>
      </c>
      <c r="AC383" s="72" t="s">
        <v>874</v>
      </c>
      <c r="AD383" s="73" t="str">
        <f t="shared" si="24"/>
        <v>19-22</v>
      </c>
      <c r="AE383" s="74">
        <f t="shared" si="25"/>
        <v>22</v>
      </c>
      <c r="AF383" s="71" t="s">
        <v>894</v>
      </c>
      <c r="AG383" s="73" t="s">
        <v>1891</v>
      </c>
      <c r="AS383" s="3">
        <v>8299</v>
      </c>
      <c r="AT383" s="3">
        <v>304</v>
      </c>
      <c r="AU383" s="3" t="s">
        <v>2950</v>
      </c>
      <c r="AV383" s="3">
        <v>9.66</v>
      </c>
      <c r="AX383" s="3" t="s">
        <v>2865</v>
      </c>
      <c r="AY383" s="65" t="s">
        <v>2866</v>
      </c>
      <c r="BA383" s="109" t="s">
        <v>4315</v>
      </c>
      <c r="BB383" s="183">
        <v>2511102</v>
      </c>
    </row>
    <row r="384" spans="28:54" ht="15.75" thickBot="1" x14ac:dyDescent="0.3">
      <c r="AB384" s="71" t="s">
        <v>875</v>
      </c>
      <c r="AC384" s="72" t="s">
        <v>874</v>
      </c>
      <c r="AD384" s="73" t="str">
        <f t="shared" si="24"/>
        <v>19-23</v>
      </c>
      <c r="AE384" s="74">
        <f t="shared" si="25"/>
        <v>23</v>
      </c>
      <c r="AF384" s="71" t="s">
        <v>895</v>
      </c>
      <c r="AG384" s="73" t="s">
        <v>324</v>
      </c>
      <c r="AS384" s="3">
        <v>8411</v>
      </c>
      <c r="AU384" s="65" t="s">
        <v>3167</v>
      </c>
      <c r="AV384" s="3">
        <v>0</v>
      </c>
      <c r="AX384" s="3" t="s">
        <v>2867</v>
      </c>
      <c r="AY384" s="65" t="s">
        <v>2868</v>
      </c>
      <c r="BA384" s="108" t="s">
        <v>4316</v>
      </c>
      <c r="BB384" s="182">
        <v>2511301</v>
      </c>
    </row>
    <row r="385" spans="28:54" ht="30.75" thickBot="1" x14ac:dyDescent="0.3">
      <c r="AB385" s="71" t="s">
        <v>875</v>
      </c>
      <c r="AC385" s="72" t="s">
        <v>874</v>
      </c>
      <c r="AD385" s="73" t="str">
        <f t="shared" si="24"/>
        <v>19-24</v>
      </c>
      <c r="AE385" s="74">
        <f t="shared" si="25"/>
        <v>24</v>
      </c>
      <c r="AF385" s="71" t="s">
        <v>896</v>
      </c>
      <c r="AG385" s="73" t="s">
        <v>1917</v>
      </c>
      <c r="AS385" s="3">
        <v>8412</v>
      </c>
      <c r="AU385" s="65" t="s">
        <v>3168</v>
      </c>
      <c r="AV385" s="3">
        <v>0</v>
      </c>
      <c r="AX385" s="3" t="s">
        <v>2869</v>
      </c>
      <c r="AY385" s="65" t="s">
        <v>2870</v>
      </c>
      <c r="BA385" s="109" t="s">
        <v>4317</v>
      </c>
      <c r="BB385" s="183">
        <v>2512101</v>
      </c>
    </row>
    <row r="386" spans="28:54" ht="45.75" thickBot="1" x14ac:dyDescent="0.3">
      <c r="AB386" s="71" t="s">
        <v>875</v>
      </c>
      <c r="AC386" s="72" t="s">
        <v>874</v>
      </c>
      <c r="AD386" s="73" t="str">
        <f t="shared" si="24"/>
        <v>19-25</v>
      </c>
      <c r="AE386" s="74">
        <f t="shared" si="25"/>
        <v>25</v>
      </c>
      <c r="AF386" s="71" t="s">
        <v>897</v>
      </c>
      <c r="AG386" s="73" t="s">
        <v>1857</v>
      </c>
      <c r="AS386" s="3">
        <v>8413</v>
      </c>
      <c r="AU386" s="65" t="s">
        <v>3842</v>
      </c>
      <c r="AV386" s="3">
        <v>0</v>
      </c>
      <c r="AX386" s="3" t="s">
        <v>2871</v>
      </c>
      <c r="AY386" s="65" t="s">
        <v>2872</v>
      </c>
      <c r="BA386" s="108" t="s">
        <v>4318</v>
      </c>
      <c r="BB386" s="182">
        <v>2512701</v>
      </c>
    </row>
    <row r="387" spans="28:54" ht="15.75" thickBot="1" x14ac:dyDescent="0.3">
      <c r="AB387" s="71" t="s">
        <v>875</v>
      </c>
      <c r="AC387" s="72" t="s">
        <v>874</v>
      </c>
      <c r="AD387" s="73" t="str">
        <f t="shared" ref="AD387:AD450" si="26">CONCATENATE(AC387,"-",AE387)</f>
        <v>19-26</v>
      </c>
      <c r="AE387" s="74">
        <f t="shared" ref="AE387:AE450" si="27">IF(AB387=AB386,1+AE386,1)</f>
        <v>26</v>
      </c>
      <c r="AF387" s="71" t="s">
        <v>898</v>
      </c>
      <c r="AG387" s="73" t="s">
        <v>344</v>
      </c>
      <c r="AS387" s="3">
        <v>8414</v>
      </c>
      <c r="AU387" s="65" t="s">
        <v>3169</v>
      </c>
      <c r="AV387" s="3">
        <v>0</v>
      </c>
      <c r="AX387" s="3" t="s">
        <v>2873</v>
      </c>
      <c r="AY387" s="65" t="s">
        <v>2874</v>
      </c>
      <c r="BA387" s="109" t="s">
        <v>4319</v>
      </c>
      <c r="BB387" s="183">
        <v>2514101</v>
      </c>
    </row>
    <row r="388" spans="28:54" ht="30.75" thickBot="1" x14ac:dyDescent="0.3">
      <c r="AB388" s="71" t="s">
        <v>875</v>
      </c>
      <c r="AC388" s="72" t="s">
        <v>874</v>
      </c>
      <c r="AD388" s="73" t="str">
        <f t="shared" si="26"/>
        <v>19-27</v>
      </c>
      <c r="AE388" s="74">
        <f t="shared" si="27"/>
        <v>27</v>
      </c>
      <c r="AF388" s="71" t="s">
        <v>899</v>
      </c>
      <c r="AG388" s="73" t="s">
        <v>348</v>
      </c>
      <c r="AS388" s="3">
        <v>8415</v>
      </c>
      <c r="AU388" s="65" t="s">
        <v>3619</v>
      </c>
      <c r="AV388" s="3">
        <v>0</v>
      </c>
      <c r="AX388" s="3" t="s">
        <v>2875</v>
      </c>
      <c r="AY388" s="65" t="s">
        <v>2876</v>
      </c>
      <c r="BA388" s="108" t="s">
        <v>4320</v>
      </c>
      <c r="BB388" s="182">
        <v>2516101</v>
      </c>
    </row>
    <row r="389" spans="28:54" ht="15.75" thickBot="1" x14ac:dyDescent="0.3">
      <c r="AB389" s="71" t="s">
        <v>875</v>
      </c>
      <c r="AC389" s="72" t="s">
        <v>874</v>
      </c>
      <c r="AD389" s="73" t="str">
        <f t="shared" si="26"/>
        <v>19-28</v>
      </c>
      <c r="AE389" s="74">
        <f t="shared" si="27"/>
        <v>28</v>
      </c>
      <c r="AF389" s="71" t="s">
        <v>900</v>
      </c>
      <c r="AG389" s="73" t="s">
        <v>1747</v>
      </c>
      <c r="AS389" s="3">
        <v>8421</v>
      </c>
      <c r="AU389" s="65" t="s">
        <v>3170</v>
      </c>
      <c r="AV389" s="3">
        <v>0</v>
      </c>
      <c r="AX389" s="3" t="s">
        <v>2877</v>
      </c>
      <c r="AY389" s="65" t="s">
        <v>2878</v>
      </c>
      <c r="BA389" s="109" t="s">
        <v>4321</v>
      </c>
      <c r="BB389" s="183">
        <v>2516201</v>
      </c>
    </row>
    <row r="390" spans="28:54" ht="15.75" thickBot="1" x14ac:dyDescent="0.3">
      <c r="AB390" s="71" t="s">
        <v>875</v>
      </c>
      <c r="AC390" s="72" t="s">
        <v>874</v>
      </c>
      <c r="AD390" s="73" t="str">
        <f t="shared" si="26"/>
        <v>19-29</v>
      </c>
      <c r="AE390" s="74">
        <f t="shared" si="27"/>
        <v>29</v>
      </c>
      <c r="AF390" s="71" t="s">
        <v>901</v>
      </c>
      <c r="AG390" s="73" t="s">
        <v>1918</v>
      </c>
      <c r="AS390" s="3">
        <v>8422</v>
      </c>
      <c r="AU390" s="65" t="s">
        <v>3171</v>
      </c>
      <c r="AV390" s="3">
        <v>0</v>
      </c>
      <c r="AX390" s="3" t="s">
        <v>2879</v>
      </c>
      <c r="AY390" s="65" t="s">
        <v>2880</v>
      </c>
      <c r="BA390" s="108" t="s">
        <v>4322</v>
      </c>
      <c r="BB390" s="182">
        <v>2517001</v>
      </c>
    </row>
    <row r="391" spans="28:54" ht="15.75" thickBot="1" x14ac:dyDescent="0.3">
      <c r="AB391" s="71" t="s">
        <v>875</v>
      </c>
      <c r="AC391" s="72" t="s">
        <v>874</v>
      </c>
      <c r="AD391" s="73" t="str">
        <f t="shared" si="26"/>
        <v>19-30</v>
      </c>
      <c r="AE391" s="74">
        <f t="shared" si="27"/>
        <v>30</v>
      </c>
      <c r="AF391" s="71" t="s">
        <v>902</v>
      </c>
      <c r="AG391" s="73" t="s">
        <v>1865</v>
      </c>
      <c r="AS391" s="3">
        <v>8423</v>
      </c>
      <c r="AU391" s="65" t="s">
        <v>3172</v>
      </c>
      <c r="AV391" s="3">
        <v>0</v>
      </c>
      <c r="AX391" s="85" t="s">
        <v>3590</v>
      </c>
      <c r="AY391" s="65" t="s">
        <v>3592</v>
      </c>
      <c r="BA391" s="109" t="s">
        <v>4323</v>
      </c>
      <c r="BB391" s="183">
        <v>2519001</v>
      </c>
    </row>
    <row r="392" spans="28:54" ht="30.75" thickBot="1" x14ac:dyDescent="0.3">
      <c r="AB392" s="71" t="s">
        <v>875</v>
      </c>
      <c r="AC392" s="72" t="s">
        <v>874</v>
      </c>
      <c r="AD392" s="73" t="str">
        <f t="shared" si="26"/>
        <v>19-31</v>
      </c>
      <c r="AE392" s="74">
        <f t="shared" si="27"/>
        <v>31</v>
      </c>
      <c r="AF392" s="71" t="s">
        <v>903</v>
      </c>
      <c r="AG392" s="73" t="s">
        <v>1919</v>
      </c>
      <c r="AS392" s="3">
        <v>8424</v>
      </c>
      <c r="AU392" s="65" t="s">
        <v>3173</v>
      </c>
      <c r="AV392" s="3">
        <v>0</v>
      </c>
      <c r="AX392" s="85" t="s">
        <v>3591</v>
      </c>
      <c r="AY392" s="65" t="s">
        <v>3593</v>
      </c>
      <c r="BA392" s="108" t="s">
        <v>4324</v>
      </c>
      <c r="BB392" s="182">
        <v>2521902</v>
      </c>
    </row>
    <row r="393" spans="28:54" ht="15.75" thickBot="1" x14ac:dyDescent="0.3">
      <c r="AB393" s="71" t="s">
        <v>875</v>
      </c>
      <c r="AC393" s="72" t="s">
        <v>874</v>
      </c>
      <c r="AD393" s="73" t="str">
        <f t="shared" si="26"/>
        <v>19-32</v>
      </c>
      <c r="AE393" s="74">
        <f t="shared" si="27"/>
        <v>32</v>
      </c>
      <c r="AF393" s="71" t="s">
        <v>699</v>
      </c>
      <c r="AG393" s="73" t="s">
        <v>1920</v>
      </c>
      <c r="AS393" s="3">
        <v>8430</v>
      </c>
      <c r="AU393" s="65" t="s">
        <v>3174</v>
      </c>
      <c r="AV393" s="3">
        <v>0</v>
      </c>
      <c r="AX393" s="3" t="s">
        <v>2881</v>
      </c>
      <c r="AY393" s="65" t="s">
        <v>2882</v>
      </c>
      <c r="BA393" s="109" t="s">
        <v>4325</v>
      </c>
      <c r="BB393" s="183">
        <v>2522302</v>
      </c>
    </row>
    <row r="394" spans="28:54" ht="30.75" thickBot="1" x14ac:dyDescent="0.3">
      <c r="AB394" s="71" t="s">
        <v>875</v>
      </c>
      <c r="AC394" s="72" t="s">
        <v>874</v>
      </c>
      <c r="AD394" s="73" t="str">
        <f t="shared" si="26"/>
        <v>19-33</v>
      </c>
      <c r="AE394" s="74">
        <f t="shared" si="27"/>
        <v>33</v>
      </c>
      <c r="AF394" s="71" t="s">
        <v>904</v>
      </c>
      <c r="AG394" s="73" t="s">
        <v>1921</v>
      </c>
      <c r="AS394" s="3">
        <v>8511</v>
      </c>
      <c r="AT394" s="3">
        <v>305</v>
      </c>
      <c r="AU394" s="3" t="s">
        <v>3455</v>
      </c>
      <c r="AV394" s="3">
        <v>7</v>
      </c>
      <c r="AX394" s="3" t="s">
        <v>2883</v>
      </c>
      <c r="AY394" s="65" t="s">
        <v>2884</v>
      </c>
      <c r="BA394" s="108" t="s">
        <v>4326</v>
      </c>
      <c r="BB394" s="182">
        <v>2523902</v>
      </c>
    </row>
    <row r="395" spans="28:54" ht="30.75" thickBot="1" x14ac:dyDescent="0.3">
      <c r="AB395" s="71" t="s">
        <v>875</v>
      </c>
      <c r="AC395" s="72" t="s">
        <v>874</v>
      </c>
      <c r="AD395" s="73" t="str">
        <f t="shared" si="26"/>
        <v>19-34</v>
      </c>
      <c r="AE395" s="74">
        <f t="shared" si="27"/>
        <v>34</v>
      </c>
      <c r="AF395" s="71" t="s">
        <v>905</v>
      </c>
      <c r="AG395" s="73" t="s">
        <v>1816</v>
      </c>
      <c r="AS395" s="3">
        <v>8512</v>
      </c>
      <c r="AT395" s="3">
        <v>305</v>
      </c>
      <c r="AU395" s="3" t="s">
        <v>3456</v>
      </c>
      <c r="AV395" s="3">
        <v>7</v>
      </c>
      <c r="AX395" s="3" t="s">
        <v>2885</v>
      </c>
      <c r="AY395" s="65" t="s">
        <v>2886</v>
      </c>
      <c r="BA395" s="109" t="s">
        <v>4327</v>
      </c>
      <c r="BB395" s="183">
        <v>2524102</v>
      </c>
    </row>
    <row r="396" spans="28:54" ht="15.75" thickBot="1" x14ac:dyDescent="0.3">
      <c r="AB396" s="71" t="s">
        <v>875</v>
      </c>
      <c r="AC396" s="72" t="s">
        <v>874</v>
      </c>
      <c r="AD396" s="73" t="str">
        <f t="shared" si="26"/>
        <v>19-35</v>
      </c>
      <c r="AE396" s="74">
        <f t="shared" si="27"/>
        <v>35</v>
      </c>
      <c r="AF396" s="71" t="s">
        <v>906</v>
      </c>
      <c r="AG396" s="73" t="s">
        <v>450</v>
      </c>
      <c r="AS396" s="3">
        <v>8513</v>
      </c>
      <c r="AT396" s="3">
        <v>305</v>
      </c>
      <c r="AU396" s="3" t="s">
        <v>3457</v>
      </c>
      <c r="AV396" s="3">
        <v>7</v>
      </c>
      <c r="AX396" s="3" t="s">
        <v>2887</v>
      </c>
      <c r="AY396" s="65" t="s">
        <v>2888</v>
      </c>
      <c r="BA396" s="108" t="s">
        <v>4328</v>
      </c>
      <c r="BB396" s="182">
        <v>2527102</v>
      </c>
    </row>
    <row r="397" spans="28:54" ht="15.75" thickBot="1" x14ac:dyDescent="0.3">
      <c r="AB397" s="71" t="s">
        <v>875</v>
      </c>
      <c r="AC397" s="72" t="s">
        <v>874</v>
      </c>
      <c r="AD397" s="73" t="str">
        <f t="shared" si="26"/>
        <v>19-36</v>
      </c>
      <c r="AE397" s="74">
        <f t="shared" si="27"/>
        <v>36</v>
      </c>
      <c r="AF397" s="71" t="s">
        <v>907</v>
      </c>
      <c r="AG397" s="73" t="s">
        <v>1907</v>
      </c>
      <c r="AS397" s="3">
        <v>8521</v>
      </c>
      <c r="AT397" s="3">
        <v>305</v>
      </c>
      <c r="AU397" s="3" t="s">
        <v>3458</v>
      </c>
      <c r="AV397" s="3">
        <v>7</v>
      </c>
      <c r="AX397" s="3" t="s">
        <v>2889</v>
      </c>
      <c r="AY397" s="65" t="s">
        <v>2890</v>
      </c>
      <c r="BA397" s="109" t="s">
        <v>4329</v>
      </c>
      <c r="BB397" s="183">
        <v>2527202</v>
      </c>
    </row>
    <row r="398" spans="28:54" ht="15.75" thickBot="1" x14ac:dyDescent="0.3">
      <c r="AB398" s="71" t="s">
        <v>875</v>
      </c>
      <c r="AC398" s="72" t="s">
        <v>874</v>
      </c>
      <c r="AD398" s="73" t="str">
        <f t="shared" si="26"/>
        <v>19-37</v>
      </c>
      <c r="AE398" s="74">
        <f t="shared" si="27"/>
        <v>37</v>
      </c>
      <c r="AF398" s="71" t="s">
        <v>908</v>
      </c>
      <c r="AG398" s="73" t="s">
        <v>1922</v>
      </c>
      <c r="AS398" s="3">
        <v>8522</v>
      </c>
      <c r="AT398" s="3">
        <v>305</v>
      </c>
      <c r="AU398" s="3" t="s">
        <v>3459</v>
      </c>
      <c r="AV398" s="3">
        <v>7</v>
      </c>
      <c r="AX398" s="3" t="s">
        <v>2891</v>
      </c>
      <c r="AY398" s="65" t="s">
        <v>2892</v>
      </c>
      <c r="BA398" s="108" t="s">
        <v>4330</v>
      </c>
      <c r="BB398" s="182">
        <v>2552401</v>
      </c>
    </row>
    <row r="399" spans="28:54" ht="15.75" thickBot="1" x14ac:dyDescent="0.3">
      <c r="AB399" s="71" t="s">
        <v>875</v>
      </c>
      <c r="AC399" s="72" t="s">
        <v>874</v>
      </c>
      <c r="AD399" s="73" t="str">
        <f t="shared" si="26"/>
        <v>19-38</v>
      </c>
      <c r="AE399" s="74">
        <f t="shared" si="27"/>
        <v>38</v>
      </c>
      <c r="AF399" s="71" t="s">
        <v>909</v>
      </c>
      <c r="AG399" s="73" t="s">
        <v>1767</v>
      </c>
      <c r="AS399" s="3">
        <v>8523</v>
      </c>
      <c r="AT399" s="3">
        <v>305</v>
      </c>
      <c r="AU399" s="3" t="s">
        <v>3460</v>
      </c>
      <c r="AV399" s="3">
        <v>7</v>
      </c>
      <c r="AX399" s="3" t="s">
        <v>2893</v>
      </c>
      <c r="AY399" s="65" t="s">
        <v>2894</v>
      </c>
      <c r="BA399" s="109" t="s">
        <v>4331</v>
      </c>
      <c r="BB399" s="183">
        <v>2552901</v>
      </c>
    </row>
    <row r="400" spans="28:54" ht="15.75" thickBot="1" x14ac:dyDescent="0.3">
      <c r="AB400" s="71" t="s">
        <v>875</v>
      </c>
      <c r="AC400" s="72" t="s">
        <v>874</v>
      </c>
      <c r="AD400" s="73" t="str">
        <f t="shared" si="26"/>
        <v>19-39</v>
      </c>
      <c r="AE400" s="74">
        <f t="shared" si="27"/>
        <v>39</v>
      </c>
      <c r="AF400" s="71" t="s">
        <v>910</v>
      </c>
      <c r="AG400" s="73" t="s">
        <v>1923</v>
      </c>
      <c r="AS400" s="3">
        <v>8530</v>
      </c>
      <c r="AT400" s="3">
        <v>305</v>
      </c>
      <c r="AU400" s="3" t="s">
        <v>3783</v>
      </c>
      <c r="AV400" s="3">
        <v>7</v>
      </c>
      <c r="AX400" s="3" t="s">
        <v>2895</v>
      </c>
      <c r="AY400" s="65" t="s">
        <v>2896</v>
      </c>
      <c r="BA400" s="108" t="s">
        <v>4332</v>
      </c>
      <c r="BB400" s="182">
        <v>2632001</v>
      </c>
    </row>
    <row r="401" spans="28:54" ht="15.75" thickBot="1" x14ac:dyDescent="0.3">
      <c r="AB401" s="71" t="s">
        <v>875</v>
      </c>
      <c r="AC401" s="72" t="s">
        <v>874</v>
      </c>
      <c r="AD401" s="73" t="str">
        <f t="shared" si="26"/>
        <v>19-40</v>
      </c>
      <c r="AE401" s="74">
        <f t="shared" si="27"/>
        <v>40</v>
      </c>
      <c r="AF401" s="71" t="s">
        <v>911</v>
      </c>
      <c r="AG401" s="73" t="s">
        <v>1924</v>
      </c>
      <c r="AS401" s="3">
        <v>8541</v>
      </c>
      <c r="AT401" s="3">
        <v>304</v>
      </c>
      <c r="AU401" s="3" t="s">
        <v>3431</v>
      </c>
      <c r="AV401" s="3">
        <v>9.66</v>
      </c>
      <c r="AX401" s="3" t="s">
        <v>2897</v>
      </c>
      <c r="AY401" s="65" t="s">
        <v>2898</v>
      </c>
      <c r="BA401" s="109" t="s">
        <v>4333</v>
      </c>
      <c r="BB401" s="183">
        <v>2642301</v>
      </c>
    </row>
    <row r="402" spans="28:54" ht="15.75" thickBot="1" x14ac:dyDescent="0.3">
      <c r="AB402" s="71" t="s">
        <v>875</v>
      </c>
      <c r="AC402" s="72" t="s">
        <v>874</v>
      </c>
      <c r="AD402" s="73" t="str">
        <f t="shared" si="26"/>
        <v>19-41</v>
      </c>
      <c r="AE402" s="74">
        <f t="shared" si="27"/>
        <v>41</v>
      </c>
      <c r="AF402" s="71" t="s">
        <v>912</v>
      </c>
      <c r="AG402" s="73" t="s">
        <v>480</v>
      </c>
      <c r="AS402" s="3">
        <v>8542</v>
      </c>
      <c r="AT402" s="3">
        <v>304</v>
      </c>
      <c r="AU402" s="3" t="s">
        <v>3432</v>
      </c>
      <c r="AV402" s="3">
        <v>9.66</v>
      </c>
      <c r="AX402" s="3" t="s">
        <v>2899</v>
      </c>
      <c r="AY402" s="65" t="s">
        <v>2900</v>
      </c>
      <c r="BA402" s="108" t="s">
        <v>4334</v>
      </c>
      <c r="BB402" s="182">
        <v>2642401</v>
      </c>
    </row>
    <row r="403" spans="28:54" ht="15.75" thickBot="1" x14ac:dyDescent="0.3">
      <c r="AB403" s="71" t="s">
        <v>914</v>
      </c>
      <c r="AC403" s="72" t="s">
        <v>913</v>
      </c>
      <c r="AD403" s="73" t="str">
        <f t="shared" si="26"/>
        <v>20-1</v>
      </c>
      <c r="AE403" s="74">
        <f t="shared" si="27"/>
        <v>1</v>
      </c>
      <c r="AF403" s="71" t="s">
        <v>915</v>
      </c>
      <c r="AG403" s="73" t="s">
        <v>334</v>
      </c>
      <c r="AS403" s="3">
        <v>8543</v>
      </c>
      <c r="AT403" s="3">
        <v>304</v>
      </c>
      <c r="AU403" s="3" t="s">
        <v>3433</v>
      </c>
      <c r="AV403" s="3">
        <v>9.66</v>
      </c>
      <c r="AX403" s="3" t="s">
        <v>2901</v>
      </c>
      <c r="AY403" s="65" t="s">
        <v>2902</v>
      </c>
      <c r="BA403" s="109" t="s">
        <v>4335</v>
      </c>
      <c r="BB403" s="183">
        <v>2642501</v>
      </c>
    </row>
    <row r="404" spans="28:54" ht="15.75" thickBot="1" x14ac:dyDescent="0.3">
      <c r="AB404" s="71" t="s">
        <v>914</v>
      </c>
      <c r="AC404" s="72" t="s">
        <v>913</v>
      </c>
      <c r="AD404" s="73" t="str">
        <f t="shared" si="26"/>
        <v>20-2</v>
      </c>
      <c r="AE404" s="74">
        <f t="shared" si="27"/>
        <v>2</v>
      </c>
      <c r="AF404" s="71" t="s">
        <v>916</v>
      </c>
      <c r="AG404" s="73" t="s">
        <v>1925</v>
      </c>
      <c r="AS404" s="3">
        <v>8544</v>
      </c>
      <c r="AT404" s="3">
        <v>304</v>
      </c>
      <c r="AU404" s="3" t="s">
        <v>3434</v>
      </c>
      <c r="AV404" s="3">
        <v>9.66</v>
      </c>
      <c r="AX404" s="3" t="s">
        <v>2903</v>
      </c>
      <c r="AY404" s="65" t="s">
        <v>2904</v>
      </c>
      <c r="BA404" s="108" t="s">
        <v>4336</v>
      </c>
      <c r="BB404" s="182">
        <v>2672101</v>
      </c>
    </row>
    <row r="405" spans="28:54" ht="30.75" thickBot="1" x14ac:dyDescent="0.3">
      <c r="AB405" s="71" t="s">
        <v>914</v>
      </c>
      <c r="AC405" s="72" t="s">
        <v>913</v>
      </c>
      <c r="AD405" s="73" t="str">
        <f t="shared" si="26"/>
        <v>20-3</v>
      </c>
      <c r="AE405" s="74">
        <f t="shared" si="27"/>
        <v>3</v>
      </c>
      <c r="AF405" s="71" t="s">
        <v>917</v>
      </c>
      <c r="AG405" s="73" t="s">
        <v>16</v>
      </c>
      <c r="AS405" s="3">
        <v>8551</v>
      </c>
      <c r="AT405" s="3">
        <v>304</v>
      </c>
      <c r="AU405" s="3" t="s">
        <v>3606</v>
      </c>
      <c r="AV405" s="3">
        <v>9.66</v>
      </c>
      <c r="AX405" s="3" t="s">
        <v>2905</v>
      </c>
      <c r="AY405" s="65" t="s">
        <v>2906</v>
      </c>
      <c r="BA405" s="109" t="s">
        <v>4337</v>
      </c>
      <c r="BB405" s="183">
        <v>2711101</v>
      </c>
    </row>
    <row r="406" spans="28:54" ht="30.75" thickBot="1" x14ac:dyDescent="0.3">
      <c r="AB406" s="71" t="s">
        <v>914</v>
      </c>
      <c r="AC406" s="72" t="s">
        <v>913</v>
      </c>
      <c r="AD406" s="73" t="str">
        <f t="shared" si="26"/>
        <v>20-4</v>
      </c>
      <c r="AE406" s="74">
        <f t="shared" si="27"/>
        <v>4</v>
      </c>
      <c r="AF406" s="71" t="s">
        <v>918</v>
      </c>
      <c r="AG406" s="73" t="s">
        <v>418</v>
      </c>
      <c r="AS406" s="3">
        <v>8551</v>
      </c>
      <c r="AT406" s="3">
        <v>304</v>
      </c>
      <c r="AU406" s="3" t="s">
        <v>3453</v>
      </c>
      <c r="AV406" s="3">
        <v>9.66</v>
      </c>
      <c r="AX406" s="3" t="s">
        <v>2907</v>
      </c>
      <c r="AY406" s="65" t="s">
        <v>2908</v>
      </c>
      <c r="BA406" s="108" t="s">
        <v>4338</v>
      </c>
      <c r="BB406" s="182">
        <v>2711201</v>
      </c>
    </row>
    <row r="407" spans="28:54" ht="30.75" thickBot="1" x14ac:dyDescent="0.3">
      <c r="AB407" s="71" t="s">
        <v>914</v>
      </c>
      <c r="AC407" s="72" t="s">
        <v>913</v>
      </c>
      <c r="AD407" s="73" t="str">
        <f t="shared" si="26"/>
        <v>20-5</v>
      </c>
      <c r="AE407" s="74">
        <f t="shared" si="27"/>
        <v>5</v>
      </c>
      <c r="AF407" s="71" t="s">
        <v>919</v>
      </c>
      <c r="AG407" s="73" t="s">
        <v>1696</v>
      </c>
      <c r="AS407" s="3">
        <v>8552</v>
      </c>
      <c r="AT407" s="3">
        <v>304</v>
      </c>
      <c r="AU407" s="3" t="s">
        <v>3435</v>
      </c>
      <c r="AV407" s="3">
        <v>9.66</v>
      </c>
      <c r="AX407" s="3" t="s">
        <v>2909</v>
      </c>
      <c r="AY407" s="65" t="s">
        <v>2910</v>
      </c>
      <c r="BA407" s="109" t="s">
        <v>4339</v>
      </c>
      <c r="BB407" s="183">
        <v>2711301</v>
      </c>
    </row>
    <row r="408" spans="28:54" ht="15.75" thickBot="1" x14ac:dyDescent="0.3">
      <c r="AB408" s="71" t="s">
        <v>914</v>
      </c>
      <c r="AC408" s="72" t="s">
        <v>913</v>
      </c>
      <c r="AD408" s="73" t="str">
        <f t="shared" si="26"/>
        <v>20-6</v>
      </c>
      <c r="AE408" s="74">
        <f t="shared" si="27"/>
        <v>6</v>
      </c>
      <c r="AF408" s="71" t="s">
        <v>920</v>
      </c>
      <c r="AG408" s="73" t="s">
        <v>1926</v>
      </c>
      <c r="AS408" s="3">
        <v>8553</v>
      </c>
      <c r="AT408" s="3">
        <v>304</v>
      </c>
      <c r="AU408" s="3" t="s">
        <v>3436</v>
      </c>
      <c r="AV408" s="3">
        <v>9.66</v>
      </c>
      <c r="AX408" s="3" t="s">
        <v>2911</v>
      </c>
      <c r="AY408" s="65" t="s">
        <v>2912</v>
      </c>
      <c r="BA408" s="108" t="s">
        <v>4340</v>
      </c>
      <c r="BB408" s="182">
        <v>2712101</v>
      </c>
    </row>
    <row r="409" spans="28:54" ht="15.75" thickBot="1" x14ac:dyDescent="0.3">
      <c r="AB409" s="71" t="s">
        <v>914</v>
      </c>
      <c r="AC409" s="72" t="s">
        <v>913</v>
      </c>
      <c r="AD409" s="73" t="str">
        <f t="shared" si="26"/>
        <v>20-7</v>
      </c>
      <c r="AE409" s="74">
        <f t="shared" si="27"/>
        <v>7</v>
      </c>
      <c r="AF409" s="71" t="s">
        <v>921</v>
      </c>
      <c r="AG409" s="73" t="s">
        <v>1927</v>
      </c>
      <c r="AS409" s="3">
        <v>8559</v>
      </c>
      <c r="AT409" s="3">
        <v>304</v>
      </c>
      <c r="AU409" s="3" t="s">
        <v>3000</v>
      </c>
      <c r="AV409" s="3">
        <v>9.66</v>
      </c>
      <c r="AX409" s="3" t="s">
        <v>2913</v>
      </c>
      <c r="AY409" s="65" t="s">
        <v>2914</v>
      </c>
      <c r="BA409" s="109" t="s">
        <v>4341</v>
      </c>
      <c r="BB409" s="183">
        <v>2712201</v>
      </c>
    </row>
    <row r="410" spans="28:54" ht="15.75" thickBot="1" x14ac:dyDescent="0.3">
      <c r="AB410" s="71" t="s">
        <v>914</v>
      </c>
      <c r="AC410" s="72" t="s">
        <v>913</v>
      </c>
      <c r="AD410" s="73" t="str">
        <f t="shared" si="26"/>
        <v>20-8</v>
      </c>
      <c r="AE410" s="74">
        <f t="shared" si="27"/>
        <v>8</v>
      </c>
      <c r="AF410" s="71" t="s">
        <v>922</v>
      </c>
      <c r="AG410" s="73" t="s">
        <v>1928</v>
      </c>
      <c r="AS410" s="3">
        <v>8560</v>
      </c>
      <c r="AT410" s="3">
        <v>304</v>
      </c>
      <c r="AU410" s="3" t="s">
        <v>3437</v>
      </c>
      <c r="AV410" s="3">
        <v>9.66</v>
      </c>
      <c r="AX410" s="3" t="s">
        <v>2915</v>
      </c>
      <c r="AY410" s="65" t="s">
        <v>2916</v>
      </c>
      <c r="BA410" s="108" t="s">
        <v>4342</v>
      </c>
      <c r="BB410" s="182">
        <v>2712301</v>
      </c>
    </row>
    <row r="411" spans="28:54" ht="15.75" thickBot="1" x14ac:dyDescent="0.3">
      <c r="AB411" s="71" t="s">
        <v>914</v>
      </c>
      <c r="AC411" s="72" t="s">
        <v>913</v>
      </c>
      <c r="AD411" s="73" t="str">
        <f t="shared" si="26"/>
        <v>20-9</v>
      </c>
      <c r="AE411" s="74">
        <f t="shared" si="27"/>
        <v>9</v>
      </c>
      <c r="AF411" s="71" t="s">
        <v>923</v>
      </c>
      <c r="AG411" s="73" t="s">
        <v>1929</v>
      </c>
      <c r="AS411" s="3">
        <v>8610</v>
      </c>
      <c r="AT411" s="3">
        <v>304</v>
      </c>
      <c r="AU411" s="3" t="s">
        <v>3438</v>
      </c>
      <c r="AV411" s="3">
        <v>9.66</v>
      </c>
      <c r="AX411" s="3" t="s">
        <v>2917</v>
      </c>
      <c r="AY411" s="65" t="s">
        <v>2918</v>
      </c>
      <c r="BA411" s="109" t="s">
        <v>4343</v>
      </c>
      <c r="BB411" s="183">
        <v>2725001</v>
      </c>
    </row>
    <row r="412" spans="28:54" ht="15.75" thickBot="1" x14ac:dyDescent="0.3">
      <c r="AB412" s="71" t="s">
        <v>914</v>
      </c>
      <c r="AC412" s="72" t="s">
        <v>913</v>
      </c>
      <c r="AD412" s="73" t="str">
        <f t="shared" si="26"/>
        <v>20-10</v>
      </c>
      <c r="AE412" s="74">
        <f t="shared" si="27"/>
        <v>10</v>
      </c>
      <c r="AF412" s="71" t="s">
        <v>924</v>
      </c>
      <c r="AG412" s="73" t="s">
        <v>1838</v>
      </c>
      <c r="AS412" s="3">
        <v>8720</v>
      </c>
      <c r="AT412" s="3">
        <v>304</v>
      </c>
      <c r="AU412" s="3" t="s">
        <v>3786</v>
      </c>
      <c r="AV412" s="3">
        <v>9.66</v>
      </c>
      <c r="AX412" s="3" t="s">
        <v>2919</v>
      </c>
      <c r="AY412" s="65" t="s">
        <v>2920</v>
      </c>
      <c r="BA412" s="108" t="s">
        <v>4344</v>
      </c>
      <c r="BB412" s="182">
        <v>2731002</v>
      </c>
    </row>
    <row r="413" spans="28:54" ht="15.75" thickBot="1" x14ac:dyDescent="0.3">
      <c r="AB413" s="71" t="s">
        <v>914</v>
      </c>
      <c r="AC413" s="72" t="s">
        <v>913</v>
      </c>
      <c r="AD413" s="73" t="str">
        <f t="shared" si="26"/>
        <v>20-11</v>
      </c>
      <c r="AE413" s="74">
        <f t="shared" si="27"/>
        <v>11</v>
      </c>
      <c r="AF413" s="71" t="s">
        <v>925</v>
      </c>
      <c r="AG413" s="73" t="s">
        <v>1720</v>
      </c>
      <c r="AS413" s="3">
        <v>8730</v>
      </c>
      <c r="AT413" s="3">
        <v>304</v>
      </c>
      <c r="AU413" s="3" t="s">
        <v>3439</v>
      </c>
      <c r="AV413" s="3">
        <v>9.66</v>
      </c>
      <c r="AX413" s="3" t="s">
        <v>2921</v>
      </c>
      <c r="AY413" s="65" t="s">
        <v>2922</v>
      </c>
      <c r="BA413" s="109" t="s">
        <v>4345</v>
      </c>
      <c r="BB413" s="183">
        <v>2742102</v>
      </c>
    </row>
    <row r="414" spans="28:54" ht="15.75" thickBot="1" x14ac:dyDescent="0.3">
      <c r="AB414" s="71" t="s">
        <v>914</v>
      </c>
      <c r="AC414" s="72" t="s">
        <v>913</v>
      </c>
      <c r="AD414" s="73" t="str">
        <f t="shared" si="26"/>
        <v>20-12</v>
      </c>
      <c r="AE414" s="74">
        <f t="shared" si="27"/>
        <v>12</v>
      </c>
      <c r="AF414" s="71" t="s">
        <v>926</v>
      </c>
      <c r="AG414" s="73" t="s">
        <v>1930</v>
      </c>
      <c r="AS414" s="3">
        <v>8790</v>
      </c>
      <c r="AT414" s="3">
        <v>304</v>
      </c>
      <c r="AU414" s="3" t="s">
        <v>3022</v>
      </c>
      <c r="AV414" s="3">
        <v>9.66</v>
      </c>
      <c r="AX414" s="3" t="s">
        <v>2923</v>
      </c>
      <c r="AY414" s="65" t="s">
        <v>2924</v>
      </c>
      <c r="BA414" s="108" t="s">
        <v>4346</v>
      </c>
      <c r="BB414" s="182">
        <v>2749201</v>
      </c>
    </row>
    <row r="415" spans="28:54" ht="15.75" thickBot="1" x14ac:dyDescent="0.3">
      <c r="AB415" s="71" t="s">
        <v>914</v>
      </c>
      <c r="AC415" s="72" t="s">
        <v>913</v>
      </c>
      <c r="AD415" s="73" t="str">
        <f t="shared" si="26"/>
        <v>20-13</v>
      </c>
      <c r="AE415" s="74">
        <f t="shared" si="27"/>
        <v>13</v>
      </c>
      <c r="AF415" s="71" t="s">
        <v>927</v>
      </c>
      <c r="AG415" s="73" t="s">
        <v>1727</v>
      </c>
      <c r="AS415" s="3">
        <v>8810</v>
      </c>
      <c r="AT415" s="3">
        <v>304</v>
      </c>
      <c r="AU415" s="3" t="s">
        <v>3440</v>
      </c>
      <c r="AV415" s="3">
        <v>9.66</v>
      </c>
      <c r="AX415" s="3" t="s">
        <v>2925</v>
      </c>
      <c r="AY415" s="65" t="s">
        <v>2926</v>
      </c>
      <c r="BA415" s="109" t="s">
        <v>4347</v>
      </c>
      <c r="BB415" s="183">
        <v>2749301</v>
      </c>
    </row>
    <row r="416" spans="28:54" ht="15.75" thickBot="1" x14ac:dyDescent="0.3">
      <c r="AB416" s="71" t="s">
        <v>914</v>
      </c>
      <c r="AC416" s="72" t="s">
        <v>913</v>
      </c>
      <c r="AD416" s="73" t="str">
        <f t="shared" si="26"/>
        <v>20-14</v>
      </c>
      <c r="AE416" s="74">
        <f t="shared" si="27"/>
        <v>14</v>
      </c>
      <c r="AF416" s="71" t="s">
        <v>928</v>
      </c>
      <c r="AG416" s="73" t="s">
        <v>230</v>
      </c>
      <c r="AS416" s="3">
        <v>8891</v>
      </c>
      <c r="AT416" s="3">
        <v>304</v>
      </c>
      <c r="AU416" s="3" t="s">
        <v>3607</v>
      </c>
      <c r="AV416" s="3">
        <v>9.66</v>
      </c>
      <c r="AX416" s="3" t="s">
        <v>2927</v>
      </c>
      <c r="AY416" s="65" t="s">
        <v>2928</v>
      </c>
      <c r="BA416" s="108" t="s">
        <v>4348</v>
      </c>
      <c r="BB416" s="182">
        <v>2749401</v>
      </c>
    </row>
    <row r="417" spans="28:54" ht="15.75" thickBot="1" x14ac:dyDescent="0.3">
      <c r="AB417" s="71" t="s">
        <v>914</v>
      </c>
      <c r="AC417" s="72" t="s">
        <v>913</v>
      </c>
      <c r="AD417" s="73" t="str">
        <f t="shared" si="26"/>
        <v>20-15</v>
      </c>
      <c r="AE417" s="74">
        <f t="shared" si="27"/>
        <v>15</v>
      </c>
      <c r="AF417" s="71" t="s">
        <v>929</v>
      </c>
      <c r="AG417" s="73" t="s">
        <v>1739</v>
      </c>
      <c r="AS417" s="3">
        <v>8899</v>
      </c>
      <c r="AT417" s="3">
        <v>304</v>
      </c>
      <c r="AU417" s="3" t="s">
        <v>3608</v>
      </c>
      <c r="AV417" s="3">
        <v>9.66</v>
      </c>
      <c r="AX417" s="3" t="s">
        <v>2929</v>
      </c>
      <c r="AY417" s="65" t="s">
        <v>2930</v>
      </c>
      <c r="BA417" s="109" t="s">
        <v>4349</v>
      </c>
      <c r="BB417" s="183">
        <v>2749501</v>
      </c>
    </row>
    <row r="418" spans="28:54" ht="15.75" thickBot="1" x14ac:dyDescent="0.3">
      <c r="AB418" s="71" t="s">
        <v>914</v>
      </c>
      <c r="AC418" s="72" t="s">
        <v>913</v>
      </c>
      <c r="AD418" s="73" t="str">
        <f t="shared" si="26"/>
        <v>20-16</v>
      </c>
      <c r="AE418" s="74">
        <f t="shared" si="27"/>
        <v>16</v>
      </c>
      <c r="AF418" s="71" t="s">
        <v>930</v>
      </c>
      <c r="AG418" s="73" t="s">
        <v>268</v>
      </c>
      <c r="AS418" s="3">
        <v>9001</v>
      </c>
      <c r="AU418" s="65" t="s">
        <v>3175</v>
      </c>
      <c r="AV418" s="3">
        <v>0</v>
      </c>
      <c r="AX418" s="3" t="s">
        <v>2931</v>
      </c>
      <c r="AY418" s="65" t="s">
        <v>2932</v>
      </c>
      <c r="BA418" s="108" t="s">
        <v>4350</v>
      </c>
      <c r="BB418" s="182">
        <v>2749901</v>
      </c>
    </row>
    <row r="419" spans="28:54" ht="30.75" thickBot="1" x14ac:dyDescent="0.3">
      <c r="AB419" s="71" t="s">
        <v>914</v>
      </c>
      <c r="AC419" s="72" t="s">
        <v>913</v>
      </c>
      <c r="AD419" s="73" t="str">
        <f t="shared" si="26"/>
        <v>20-17</v>
      </c>
      <c r="AE419" s="74">
        <f t="shared" si="27"/>
        <v>17</v>
      </c>
      <c r="AF419" s="71" t="s">
        <v>931</v>
      </c>
      <c r="AG419" s="73" t="s">
        <v>324</v>
      </c>
      <c r="AS419" s="3">
        <v>9002</v>
      </c>
      <c r="AU419" s="65" t="s">
        <v>3176</v>
      </c>
      <c r="AV419" s="3">
        <v>0</v>
      </c>
      <c r="AX419" s="3" t="s">
        <v>2933</v>
      </c>
      <c r="AY419" s="65" t="s">
        <v>2934</v>
      </c>
      <c r="BA419" s="109" t="s">
        <v>4351</v>
      </c>
      <c r="BB419" s="183">
        <v>2753001</v>
      </c>
    </row>
    <row r="420" spans="28:54" ht="15.75" thickBot="1" x14ac:dyDescent="0.3">
      <c r="AB420" s="71" t="s">
        <v>914</v>
      </c>
      <c r="AC420" s="72" t="s">
        <v>913</v>
      </c>
      <c r="AD420" s="73" t="str">
        <f t="shared" si="26"/>
        <v>20-18</v>
      </c>
      <c r="AE420" s="74">
        <f t="shared" si="27"/>
        <v>18</v>
      </c>
      <c r="AF420" s="71" t="s">
        <v>932</v>
      </c>
      <c r="AG420" s="73" t="s">
        <v>1859</v>
      </c>
      <c r="AS420" s="3">
        <v>9003</v>
      </c>
      <c r="AU420" s="65" t="s">
        <v>3177</v>
      </c>
      <c r="AV420" s="3">
        <v>0</v>
      </c>
      <c r="AX420" s="3" t="s">
        <v>2935</v>
      </c>
      <c r="AY420" s="65" t="s">
        <v>2936</v>
      </c>
      <c r="BA420" s="108" t="s">
        <v>4352</v>
      </c>
      <c r="BB420" s="182">
        <v>2851202</v>
      </c>
    </row>
    <row r="421" spans="28:54" ht="15.75" thickBot="1" x14ac:dyDescent="0.3">
      <c r="AB421" s="71" t="s">
        <v>914</v>
      </c>
      <c r="AC421" s="72" t="s">
        <v>913</v>
      </c>
      <c r="AD421" s="73" t="str">
        <f t="shared" si="26"/>
        <v>20-19</v>
      </c>
      <c r="AE421" s="74">
        <f t="shared" si="27"/>
        <v>19</v>
      </c>
      <c r="AF421" s="71" t="s">
        <v>933</v>
      </c>
      <c r="AG421" s="73" t="s">
        <v>1931</v>
      </c>
      <c r="AS421" s="3">
        <v>9004</v>
      </c>
      <c r="AU421" s="65" t="s">
        <v>3178</v>
      </c>
      <c r="AV421" s="3">
        <v>0</v>
      </c>
      <c r="AX421" s="3" t="s">
        <v>2937</v>
      </c>
      <c r="AY421" s="65" t="s">
        <v>2938</v>
      </c>
      <c r="BA421" s="109" t="s">
        <v>4353</v>
      </c>
      <c r="BB421" s="183">
        <v>2851302</v>
      </c>
    </row>
    <row r="422" spans="28:54" ht="30.75" thickBot="1" x14ac:dyDescent="0.3">
      <c r="AB422" s="71" t="s">
        <v>914</v>
      </c>
      <c r="AC422" s="72" t="s">
        <v>913</v>
      </c>
      <c r="AD422" s="73" t="str">
        <f t="shared" si="26"/>
        <v>20-20</v>
      </c>
      <c r="AE422" s="74">
        <f t="shared" si="27"/>
        <v>20</v>
      </c>
      <c r="AF422" s="71" t="s">
        <v>934</v>
      </c>
      <c r="AG422" s="73" t="s">
        <v>1893</v>
      </c>
      <c r="AS422" s="3">
        <v>9005</v>
      </c>
      <c r="AU422" s="65" t="s">
        <v>3179</v>
      </c>
      <c r="AV422" s="3">
        <v>0</v>
      </c>
      <c r="AX422" s="3" t="s">
        <v>2939</v>
      </c>
      <c r="AY422" s="65" t="s">
        <v>2940</v>
      </c>
      <c r="BA422" s="108" t="s">
        <v>4354</v>
      </c>
      <c r="BB422" s="182">
        <v>2852001</v>
      </c>
    </row>
    <row r="423" spans="28:54" ht="15.75" thickBot="1" x14ac:dyDescent="0.3">
      <c r="AB423" s="71" t="s">
        <v>914</v>
      </c>
      <c r="AC423" s="72" t="s">
        <v>913</v>
      </c>
      <c r="AD423" s="73" t="str">
        <f t="shared" si="26"/>
        <v>20-21</v>
      </c>
      <c r="AE423" s="74">
        <f t="shared" si="27"/>
        <v>21</v>
      </c>
      <c r="AF423" s="71" t="s">
        <v>935</v>
      </c>
      <c r="AG423" s="73" t="s">
        <v>1861</v>
      </c>
      <c r="AS423" s="3">
        <v>9006</v>
      </c>
      <c r="AU423" s="65" t="s">
        <v>3180</v>
      </c>
      <c r="AV423" s="3">
        <v>0</v>
      </c>
      <c r="AX423" s="3" t="s">
        <v>2941</v>
      </c>
      <c r="AY423" s="65" t="s">
        <v>2942</v>
      </c>
      <c r="BA423" s="109" t="s">
        <v>4355</v>
      </c>
      <c r="BB423" s="183">
        <v>2921101</v>
      </c>
    </row>
    <row r="424" spans="28:54" ht="15.75" thickBot="1" x14ac:dyDescent="0.3">
      <c r="AB424" s="71" t="s">
        <v>914</v>
      </c>
      <c r="AC424" s="72" t="s">
        <v>913</v>
      </c>
      <c r="AD424" s="73" t="str">
        <f t="shared" si="26"/>
        <v>20-22</v>
      </c>
      <c r="AE424" s="74">
        <f t="shared" si="27"/>
        <v>22</v>
      </c>
      <c r="AF424" s="71" t="s">
        <v>936</v>
      </c>
      <c r="AG424" s="73" t="s">
        <v>410</v>
      </c>
      <c r="AS424" s="3">
        <v>9007</v>
      </c>
      <c r="AU424" s="65" t="s">
        <v>3181</v>
      </c>
      <c r="AV424" s="3">
        <v>0</v>
      </c>
      <c r="AX424" s="3" t="s">
        <v>2943</v>
      </c>
      <c r="AY424" s="65" t="s">
        <v>2944</v>
      </c>
      <c r="BA424" s="108" t="s">
        <v>4356</v>
      </c>
      <c r="BB424" s="182">
        <v>2921201</v>
      </c>
    </row>
    <row r="425" spans="28:54" ht="30.75" thickBot="1" x14ac:dyDescent="0.3">
      <c r="AB425" s="71" t="s">
        <v>914</v>
      </c>
      <c r="AC425" s="72" t="s">
        <v>913</v>
      </c>
      <c r="AD425" s="73" t="str">
        <f t="shared" si="26"/>
        <v>20-23</v>
      </c>
      <c r="AE425" s="74">
        <f t="shared" si="27"/>
        <v>23</v>
      </c>
      <c r="AF425" s="71" t="s">
        <v>937</v>
      </c>
      <c r="AG425" s="73" t="s">
        <v>430</v>
      </c>
      <c r="AS425" s="3">
        <v>9008</v>
      </c>
      <c r="AU425" s="65" t="s">
        <v>3620</v>
      </c>
      <c r="AV425" s="3">
        <v>0</v>
      </c>
      <c r="AX425" s="3" t="s">
        <v>2945</v>
      </c>
      <c r="AY425" s="65" t="s">
        <v>2946</v>
      </c>
      <c r="BA425" s="109" t="s">
        <v>4357</v>
      </c>
      <c r="BB425" s="183">
        <v>2921301</v>
      </c>
    </row>
    <row r="426" spans="28:54" ht="15.75" thickBot="1" x14ac:dyDescent="0.3">
      <c r="AB426" s="71" t="s">
        <v>914</v>
      </c>
      <c r="AC426" s="72" t="s">
        <v>913</v>
      </c>
      <c r="AD426" s="73" t="str">
        <f t="shared" si="26"/>
        <v>20-24</v>
      </c>
      <c r="AE426" s="74">
        <f t="shared" si="27"/>
        <v>24</v>
      </c>
      <c r="AF426" s="71" t="s">
        <v>938</v>
      </c>
      <c r="AG426" s="73" t="s">
        <v>440</v>
      </c>
      <c r="AS426" s="3">
        <v>9101</v>
      </c>
      <c r="AU426" s="65" t="s">
        <v>3182</v>
      </c>
      <c r="AV426" s="3">
        <v>0</v>
      </c>
      <c r="AX426" s="3" t="s">
        <v>2947</v>
      </c>
      <c r="AY426" s="65" t="s">
        <v>2948</v>
      </c>
      <c r="BA426" s="108" t="s">
        <v>4358</v>
      </c>
      <c r="BB426" s="182">
        <v>2921401</v>
      </c>
    </row>
    <row r="427" spans="28:54" ht="30.75" thickBot="1" x14ac:dyDescent="0.3">
      <c r="AB427" s="71" t="s">
        <v>914</v>
      </c>
      <c r="AC427" s="72" t="s">
        <v>913</v>
      </c>
      <c r="AD427" s="73" t="str">
        <f t="shared" si="26"/>
        <v>20-25</v>
      </c>
      <c r="AE427" s="74">
        <f t="shared" si="27"/>
        <v>25</v>
      </c>
      <c r="AF427" s="71" t="s">
        <v>939</v>
      </c>
      <c r="AG427" s="73" t="s">
        <v>454</v>
      </c>
      <c r="AS427" s="3">
        <v>9102</v>
      </c>
      <c r="AU427" s="65" t="s">
        <v>3183</v>
      </c>
      <c r="AV427" s="3">
        <v>0</v>
      </c>
      <c r="AX427" s="3" t="s">
        <v>2949</v>
      </c>
      <c r="AY427" s="65" t="s">
        <v>2950</v>
      </c>
      <c r="BA427" s="109" t="s">
        <v>4359</v>
      </c>
      <c r="BB427" s="183">
        <v>2924102</v>
      </c>
    </row>
    <row r="428" spans="28:54" ht="15.75" thickBot="1" x14ac:dyDescent="0.3">
      <c r="AB428" s="71" t="s">
        <v>941</v>
      </c>
      <c r="AC428" s="72" t="s">
        <v>940</v>
      </c>
      <c r="AD428" s="73" t="str">
        <f t="shared" si="26"/>
        <v>23-1</v>
      </c>
      <c r="AE428" s="74">
        <f t="shared" si="27"/>
        <v>1</v>
      </c>
      <c r="AF428" s="71" t="s">
        <v>942</v>
      </c>
      <c r="AG428" s="73" t="s">
        <v>334</v>
      </c>
      <c r="AS428" s="3">
        <v>9103</v>
      </c>
      <c r="AU428" s="65" t="s">
        <v>3184</v>
      </c>
      <c r="AV428" s="3">
        <v>0</v>
      </c>
      <c r="AX428" s="3" t="s">
        <v>2951</v>
      </c>
      <c r="AY428" s="65" t="s">
        <v>2952</v>
      </c>
      <c r="BA428" s="108" t="s">
        <v>4360</v>
      </c>
      <c r="BB428" s="182">
        <v>2924901</v>
      </c>
    </row>
    <row r="429" spans="28:54" ht="15.75" thickBot="1" x14ac:dyDescent="0.3">
      <c r="AB429" s="71" t="s">
        <v>941</v>
      </c>
      <c r="AC429" s="72" t="s">
        <v>940</v>
      </c>
      <c r="AD429" s="73" t="str">
        <f t="shared" si="26"/>
        <v>23-2</v>
      </c>
      <c r="AE429" s="74">
        <f t="shared" si="27"/>
        <v>2</v>
      </c>
      <c r="AF429" s="71" t="s">
        <v>943</v>
      </c>
      <c r="AG429" s="73" t="s">
        <v>1932</v>
      </c>
      <c r="AS429" s="3">
        <v>9311</v>
      </c>
      <c r="AU429" s="65" t="s">
        <v>3185</v>
      </c>
      <c r="AV429" s="3">
        <v>0</v>
      </c>
      <c r="AX429" s="3" t="s">
        <v>2953</v>
      </c>
      <c r="AY429" s="65" t="s">
        <v>2954</v>
      </c>
      <c r="BA429" s="109" t="s">
        <v>4361</v>
      </c>
      <c r="BB429" s="183">
        <v>2930301</v>
      </c>
    </row>
    <row r="430" spans="28:54" ht="45.75" thickBot="1" x14ac:dyDescent="0.3">
      <c r="AB430" s="71" t="s">
        <v>941</v>
      </c>
      <c r="AC430" s="72" t="s">
        <v>940</v>
      </c>
      <c r="AD430" s="73" t="str">
        <f t="shared" si="26"/>
        <v>23-3</v>
      </c>
      <c r="AE430" s="74">
        <f t="shared" si="27"/>
        <v>3</v>
      </c>
      <c r="AF430" s="71" t="s">
        <v>720</v>
      </c>
      <c r="AG430" s="73" t="s">
        <v>1699</v>
      </c>
      <c r="AS430" s="3">
        <v>9312</v>
      </c>
      <c r="AU430" s="65" t="s">
        <v>3186</v>
      </c>
      <c r="AV430" s="3">
        <v>0</v>
      </c>
      <c r="AX430" s="3" t="s">
        <v>2955</v>
      </c>
      <c r="AY430" s="65" t="s">
        <v>2956</v>
      </c>
      <c r="BA430" s="108" t="s">
        <v>4362</v>
      </c>
      <c r="BB430" s="182">
        <v>2930902</v>
      </c>
    </row>
    <row r="431" spans="28:54" ht="15.75" thickBot="1" x14ac:dyDescent="0.3">
      <c r="AB431" s="71" t="s">
        <v>941</v>
      </c>
      <c r="AC431" s="72" t="s">
        <v>940</v>
      </c>
      <c r="AD431" s="73" t="str">
        <f t="shared" si="26"/>
        <v>23-4</v>
      </c>
      <c r="AE431" s="74">
        <f t="shared" si="27"/>
        <v>4</v>
      </c>
      <c r="AF431" s="71" t="s">
        <v>944</v>
      </c>
      <c r="AG431" s="73" t="s">
        <v>64</v>
      </c>
      <c r="AS431" s="3">
        <v>9319</v>
      </c>
      <c r="AU431" s="65" t="s">
        <v>3187</v>
      </c>
      <c r="AV431" s="3">
        <v>0</v>
      </c>
      <c r="AX431" s="3" t="s">
        <v>2957</v>
      </c>
      <c r="AY431" s="65" t="s">
        <v>2958</v>
      </c>
      <c r="BA431" s="109" t="s">
        <v>4363</v>
      </c>
      <c r="BB431" s="183">
        <v>2012701</v>
      </c>
    </row>
    <row r="432" spans="28:54" ht="15.75" thickBot="1" x14ac:dyDescent="0.3">
      <c r="AB432" s="71" t="s">
        <v>941</v>
      </c>
      <c r="AC432" s="72" t="s">
        <v>940</v>
      </c>
      <c r="AD432" s="73" t="str">
        <f t="shared" si="26"/>
        <v>23-5</v>
      </c>
      <c r="AE432" s="74">
        <f t="shared" si="27"/>
        <v>5</v>
      </c>
      <c r="AF432" s="71" t="s">
        <v>945</v>
      </c>
      <c r="AG432" s="73" t="s">
        <v>1828</v>
      </c>
      <c r="AS432" s="3">
        <v>9321</v>
      </c>
      <c r="AT432" s="3">
        <v>304</v>
      </c>
      <c r="AU432" s="3" t="s">
        <v>3441</v>
      </c>
      <c r="AV432" s="3">
        <v>9.66</v>
      </c>
      <c r="AX432" s="3" t="s">
        <v>2959</v>
      </c>
      <c r="AY432" s="65" t="s">
        <v>2960</v>
      </c>
      <c r="BA432" s="108" t="s">
        <v>4364</v>
      </c>
      <c r="BB432" s="182">
        <v>2012801</v>
      </c>
    </row>
    <row r="433" spans="28:54" ht="15.75" thickBot="1" x14ac:dyDescent="0.3">
      <c r="AB433" s="71" t="s">
        <v>941</v>
      </c>
      <c r="AC433" s="72" t="s">
        <v>940</v>
      </c>
      <c r="AD433" s="73" t="str">
        <f t="shared" si="26"/>
        <v>23-6</v>
      </c>
      <c r="AE433" s="74">
        <f t="shared" si="27"/>
        <v>6</v>
      </c>
      <c r="AF433" s="71" t="s">
        <v>946</v>
      </c>
      <c r="AG433" s="73" t="s">
        <v>1933</v>
      </c>
      <c r="AS433" s="3">
        <v>9411</v>
      </c>
      <c r="AT433" s="3">
        <v>304</v>
      </c>
      <c r="AU433" s="3" t="s">
        <v>3060</v>
      </c>
      <c r="AV433" s="3">
        <v>9.66</v>
      </c>
      <c r="AX433" s="3" t="s">
        <v>2961</v>
      </c>
      <c r="AY433" s="65" t="s">
        <v>2962</v>
      </c>
      <c r="BA433" s="109" t="s">
        <v>4365</v>
      </c>
      <c r="BB433" s="183">
        <v>2012802</v>
      </c>
    </row>
    <row r="434" spans="28:54" ht="30.75" thickBot="1" x14ac:dyDescent="0.3">
      <c r="AB434" s="71" t="s">
        <v>941</v>
      </c>
      <c r="AC434" s="72" t="s">
        <v>940</v>
      </c>
      <c r="AD434" s="73" t="str">
        <f t="shared" si="26"/>
        <v>23-7</v>
      </c>
      <c r="AE434" s="74">
        <f t="shared" si="27"/>
        <v>7</v>
      </c>
      <c r="AF434" s="71" t="s">
        <v>947</v>
      </c>
      <c r="AG434" s="73" t="s">
        <v>1934</v>
      </c>
      <c r="AS434" s="3">
        <v>9412</v>
      </c>
      <c r="AU434" s="65" t="s">
        <v>3188</v>
      </c>
      <c r="AV434" s="3">
        <v>0</v>
      </c>
      <c r="AX434" s="3" t="s">
        <v>2963</v>
      </c>
      <c r="AY434" s="65" t="s">
        <v>2964</v>
      </c>
      <c r="BA434" s="108" t="s">
        <v>4366</v>
      </c>
      <c r="BB434" s="182">
        <v>2012901</v>
      </c>
    </row>
    <row r="435" spans="28:54" ht="15.75" thickBot="1" x14ac:dyDescent="0.3">
      <c r="AB435" s="71" t="s">
        <v>941</v>
      </c>
      <c r="AC435" s="72" t="s">
        <v>940</v>
      </c>
      <c r="AD435" s="73" t="str">
        <f t="shared" si="26"/>
        <v>23-8</v>
      </c>
      <c r="AE435" s="74">
        <f t="shared" si="27"/>
        <v>8</v>
      </c>
      <c r="AF435" s="71" t="s">
        <v>948</v>
      </c>
      <c r="AG435" s="73" t="s">
        <v>1832</v>
      </c>
      <c r="AS435" s="3">
        <v>9420</v>
      </c>
      <c r="AU435" s="65" t="s">
        <v>3189</v>
      </c>
      <c r="AV435" s="3">
        <v>0</v>
      </c>
      <c r="AX435" s="3" t="s">
        <v>2965</v>
      </c>
      <c r="AY435" s="65" t="s">
        <v>2966</v>
      </c>
      <c r="BA435" s="109" t="s">
        <v>4367</v>
      </c>
      <c r="BB435" s="183">
        <v>2013001</v>
      </c>
    </row>
    <row r="436" spans="28:54" ht="15.75" thickBot="1" x14ac:dyDescent="0.3">
      <c r="AB436" s="71" t="s">
        <v>941</v>
      </c>
      <c r="AC436" s="72" t="s">
        <v>940</v>
      </c>
      <c r="AD436" s="73" t="str">
        <f t="shared" si="26"/>
        <v>23-9</v>
      </c>
      <c r="AE436" s="74">
        <f t="shared" si="27"/>
        <v>9</v>
      </c>
      <c r="AF436" s="71" t="s">
        <v>949</v>
      </c>
      <c r="AG436" s="73" t="s">
        <v>1802</v>
      </c>
      <c r="AS436" s="3">
        <v>9491</v>
      </c>
      <c r="AU436" s="65" t="s">
        <v>3190</v>
      </c>
      <c r="AV436" s="3">
        <v>0</v>
      </c>
      <c r="AX436" s="3" t="s">
        <v>2967</v>
      </c>
      <c r="AY436" s="65" t="s">
        <v>2968</v>
      </c>
      <c r="BA436" s="108" t="s">
        <v>4368</v>
      </c>
      <c r="BB436" s="182">
        <v>2013002</v>
      </c>
    </row>
    <row r="437" spans="28:54" ht="15.75" thickBot="1" x14ac:dyDescent="0.3">
      <c r="AB437" s="71" t="s">
        <v>941</v>
      </c>
      <c r="AC437" s="72" t="s">
        <v>940</v>
      </c>
      <c r="AD437" s="73" t="str">
        <f t="shared" si="26"/>
        <v>23-10</v>
      </c>
      <c r="AE437" s="74">
        <f t="shared" si="27"/>
        <v>10</v>
      </c>
      <c r="AF437" s="71" t="s">
        <v>950</v>
      </c>
      <c r="AG437" s="73" t="s">
        <v>1935</v>
      </c>
      <c r="AS437" s="3">
        <v>9492</v>
      </c>
      <c r="AU437" s="65" t="s">
        <v>3191</v>
      </c>
      <c r="AV437" s="3">
        <v>0</v>
      </c>
      <c r="AX437" s="3" t="s">
        <v>2969</v>
      </c>
      <c r="AY437" s="65" t="s">
        <v>2970</v>
      </c>
      <c r="BA437" s="109" t="s">
        <v>4369</v>
      </c>
      <c r="BB437" s="183">
        <v>2014101</v>
      </c>
    </row>
    <row r="438" spans="28:54" ht="15.75" thickBot="1" x14ac:dyDescent="0.3">
      <c r="AB438" s="71" t="s">
        <v>941</v>
      </c>
      <c r="AC438" s="72" t="s">
        <v>940</v>
      </c>
      <c r="AD438" s="73" t="str">
        <f t="shared" si="26"/>
        <v>23-11</v>
      </c>
      <c r="AE438" s="74">
        <f t="shared" si="27"/>
        <v>11</v>
      </c>
      <c r="AF438" s="71" t="s">
        <v>951</v>
      </c>
      <c r="AG438" s="73" t="s">
        <v>1936</v>
      </c>
      <c r="AS438" s="3">
        <v>9499</v>
      </c>
      <c r="AT438" s="3">
        <v>304</v>
      </c>
      <c r="AU438" s="3" t="s">
        <v>3070</v>
      </c>
      <c r="AV438" s="3">
        <v>9.66</v>
      </c>
      <c r="AX438" s="3" t="s">
        <v>2971</v>
      </c>
      <c r="AY438" s="65" t="s">
        <v>2972</v>
      </c>
      <c r="BA438" s="108" t="s">
        <v>4370</v>
      </c>
      <c r="BB438" s="182">
        <v>2014102</v>
      </c>
    </row>
    <row r="439" spans="28:54" ht="15.75" thickBot="1" x14ac:dyDescent="0.3">
      <c r="AB439" s="71" t="s">
        <v>941</v>
      </c>
      <c r="AC439" s="72" t="s">
        <v>940</v>
      </c>
      <c r="AD439" s="73" t="str">
        <f t="shared" si="26"/>
        <v>23-12</v>
      </c>
      <c r="AE439" s="74">
        <f t="shared" si="27"/>
        <v>12</v>
      </c>
      <c r="AF439" s="71" t="s">
        <v>952</v>
      </c>
      <c r="AG439" s="73" t="s">
        <v>1937</v>
      </c>
      <c r="AS439" s="3">
        <v>9511</v>
      </c>
      <c r="AT439" s="3">
        <v>304</v>
      </c>
      <c r="AU439" s="3" t="s">
        <v>3787</v>
      </c>
      <c r="AV439" s="3">
        <v>9.66</v>
      </c>
      <c r="AX439" s="3" t="s">
        <v>2973</v>
      </c>
      <c r="AY439" s="65" t="s">
        <v>2974</v>
      </c>
      <c r="BA439" s="109" t="s">
        <v>4371</v>
      </c>
      <c r="BB439" s="183">
        <v>2014103</v>
      </c>
    </row>
    <row r="440" spans="28:54" ht="15.75" thickBot="1" x14ac:dyDescent="0.3">
      <c r="AB440" s="71" t="s">
        <v>941</v>
      </c>
      <c r="AC440" s="72" t="s">
        <v>940</v>
      </c>
      <c r="AD440" s="73" t="str">
        <f t="shared" si="26"/>
        <v>23-13</v>
      </c>
      <c r="AE440" s="74">
        <f t="shared" si="27"/>
        <v>13</v>
      </c>
      <c r="AF440" s="71" t="s">
        <v>953</v>
      </c>
      <c r="AG440" s="73" t="s">
        <v>284</v>
      </c>
      <c r="AS440" s="3">
        <v>9512</v>
      </c>
      <c r="AT440" s="3">
        <v>304</v>
      </c>
      <c r="AU440" s="3" t="s">
        <v>3442</v>
      </c>
      <c r="AV440" s="3">
        <v>9.66</v>
      </c>
      <c r="AX440" s="3" t="s">
        <v>2975</v>
      </c>
      <c r="AY440" s="65" t="s">
        <v>2976</v>
      </c>
      <c r="BA440" s="108" t="s">
        <v>4372</v>
      </c>
      <c r="BB440" s="182">
        <v>2014201</v>
      </c>
    </row>
    <row r="441" spans="28:54" ht="15.75" thickBot="1" x14ac:dyDescent="0.3">
      <c r="AB441" s="71" t="s">
        <v>941</v>
      </c>
      <c r="AC441" s="72" t="s">
        <v>940</v>
      </c>
      <c r="AD441" s="73" t="str">
        <f t="shared" si="26"/>
        <v>23-14</v>
      </c>
      <c r="AE441" s="74">
        <f t="shared" si="27"/>
        <v>14</v>
      </c>
      <c r="AF441" s="71" t="s">
        <v>954</v>
      </c>
      <c r="AG441" s="73" t="s">
        <v>1849</v>
      </c>
      <c r="AS441" s="3">
        <v>9521</v>
      </c>
      <c r="AT441" s="3">
        <v>304</v>
      </c>
      <c r="AU441" s="3" t="s">
        <v>3788</v>
      </c>
      <c r="AV441" s="3">
        <v>9.66</v>
      </c>
      <c r="AX441" s="3" t="s">
        <v>2977</v>
      </c>
      <c r="AY441" s="65" t="s">
        <v>2978</v>
      </c>
      <c r="BA441" s="109" t="s">
        <v>4373</v>
      </c>
      <c r="BB441" s="183">
        <v>2014301</v>
      </c>
    </row>
    <row r="442" spans="28:54" ht="15.75" thickBot="1" x14ac:dyDescent="0.3">
      <c r="AB442" s="71" t="s">
        <v>941</v>
      </c>
      <c r="AC442" s="72" t="s">
        <v>940</v>
      </c>
      <c r="AD442" s="73" t="str">
        <f t="shared" si="26"/>
        <v>23-15</v>
      </c>
      <c r="AE442" s="74">
        <f t="shared" si="27"/>
        <v>15</v>
      </c>
      <c r="AF442" s="71" t="s">
        <v>955</v>
      </c>
      <c r="AG442" s="73" t="s">
        <v>1852</v>
      </c>
      <c r="AS442" s="3">
        <v>9522</v>
      </c>
      <c r="AT442" s="3">
        <v>304</v>
      </c>
      <c r="AU442" s="3" t="s">
        <v>3443</v>
      </c>
      <c r="AV442" s="3">
        <v>9.66</v>
      </c>
      <c r="AX442" s="3" t="s">
        <v>2979</v>
      </c>
      <c r="AY442" s="65" t="s">
        <v>2980</v>
      </c>
      <c r="BA442" s="108" t="s">
        <v>4374</v>
      </c>
      <c r="BB442" s="182">
        <v>2014302</v>
      </c>
    </row>
    <row r="443" spans="28:54" ht="15.75" thickBot="1" x14ac:dyDescent="0.3">
      <c r="AB443" s="71" t="s">
        <v>941</v>
      </c>
      <c r="AC443" s="72" t="s">
        <v>940</v>
      </c>
      <c r="AD443" s="73" t="str">
        <f t="shared" si="26"/>
        <v>23-16</v>
      </c>
      <c r="AE443" s="74">
        <f t="shared" si="27"/>
        <v>16</v>
      </c>
      <c r="AF443" s="71" t="s">
        <v>956</v>
      </c>
      <c r="AG443" s="73" t="s">
        <v>1938</v>
      </c>
      <c r="AS443" s="3">
        <v>9523</v>
      </c>
      <c r="AT443" s="3">
        <v>304</v>
      </c>
      <c r="AU443" s="3" t="s">
        <v>3444</v>
      </c>
      <c r="AV443" s="3">
        <v>9.66</v>
      </c>
      <c r="AX443" s="3" t="s">
        <v>2981</v>
      </c>
      <c r="AY443" s="65" t="s">
        <v>2982</v>
      </c>
      <c r="BA443" s="109" t="s">
        <v>4375</v>
      </c>
      <c r="BB443" s="183">
        <v>2014401</v>
      </c>
    </row>
    <row r="444" spans="28:54" ht="15.75" thickBot="1" x14ac:dyDescent="0.3">
      <c r="AB444" s="71" t="s">
        <v>941</v>
      </c>
      <c r="AC444" s="72" t="s">
        <v>940</v>
      </c>
      <c r="AD444" s="73" t="str">
        <f t="shared" si="26"/>
        <v>23-17</v>
      </c>
      <c r="AE444" s="74">
        <f t="shared" si="27"/>
        <v>17</v>
      </c>
      <c r="AF444" s="71" t="s">
        <v>957</v>
      </c>
      <c r="AG444" s="73" t="s">
        <v>1931</v>
      </c>
      <c r="AS444" s="3">
        <v>9524</v>
      </c>
      <c r="AT444" s="3">
        <v>304</v>
      </c>
      <c r="AU444" s="3" t="s">
        <v>3445</v>
      </c>
      <c r="AV444" s="3">
        <v>9.66</v>
      </c>
      <c r="AX444" s="3" t="s">
        <v>2983</v>
      </c>
      <c r="AY444" s="65" t="s">
        <v>2984</v>
      </c>
      <c r="BA444" s="108" t="s">
        <v>4376</v>
      </c>
      <c r="BB444" s="182">
        <v>2014501</v>
      </c>
    </row>
    <row r="445" spans="28:54" ht="15.75" thickBot="1" x14ac:dyDescent="0.3">
      <c r="AB445" s="71" t="s">
        <v>941</v>
      </c>
      <c r="AC445" s="72" t="s">
        <v>940</v>
      </c>
      <c r="AD445" s="73" t="str">
        <f t="shared" si="26"/>
        <v>23-18</v>
      </c>
      <c r="AE445" s="74">
        <f t="shared" si="27"/>
        <v>18</v>
      </c>
      <c r="AF445" s="71" t="s">
        <v>958</v>
      </c>
      <c r="AG445" s="73" t="s">
        <v>1939</v>
      </c>
      <c r="AS445" s="3">
        <v>9529</v>
      </c>
      <c r="AT445" s="3">
        <v>304</v>
      </c>
      <c r="AU445" s="3" t="s">
        <v>3789</v>
      </c>
      <c r="AV445" s="3">
        <v>9.66</v>
      </c>
      <c r="AX445" s="3" t="s">
        <v>2985</v>
      </c>
      <c r="AY445" s="65" t="s">
        <v>2986</v>
      </c>
      <c r="BA445" s="109" t="s">
        <v>4377</v>
      </c>
      <c r="BB445" s="183">
        <v>2014502</v>
      </c>
    </row>
    <row r="446" spans="28:54" ht="15.75" thickBot="1" x14ac:dyDescent="0.3">
      <c r="AB446" s="71" t="s">
        <v>941</v>
      </c>
      <c r="AC446" s="72" t="s">
        <v>940</v>
      </c>
      <c r="AD446" s="73" t="str">
        <f t="shared" si="26"/>
        <v>23-19</v>
      </c>
      <c r="AE446" s="74">
        <f t="shared" si="27"/>
        <v>19</v>
      </c>
      <c r="AF446" s="71" t="s">
        <v>959</v>
      </c>
      <c r="AG446" s="73" t="s">
        <v>356</v>
      </c>
      <c r="AS446" s="3">
        <v>9601</v>
      </c>
      <c r="AT446" s="3">
        <v>304</v>
      </c>
      <c r="AU446" s="3" t="s">
        <v>3790</v>
      </c>
      <c r="AV446" s="3">
        <v>9.66</v>
      </c>
      <c r="AX446" s="3" t="s">
        <v>2987</v>
      </c>
      <c r="AY446" s="65" t="s">
        <v>2988</v>
      </c>
      <c r="BA446" s="108" t="s">
        <v>4378</v>
      </c>
      <c r="BB446" s="182">
        <v>2014901</v>
      </c>
    </row>
    <row r="447" spans="28:54" ht="30.75" thickBot="1" x14ac:dyDescent="0.3">
      <c r="AB447" s="71" t="s">
        <v>941</v>
      </c>
      <c r="AC447" s="72" t="s">
        <v>940</v>
      </c>
      <c r="AD447" s="73" t="str">
        <f t="shared" si="26"/>
        <v>23-20</v>
      </c>
      <c r="AE447" s="74">
        <f t="shared" si="27"/>
        <v>20</v>
      </c>
      <c r="AF447" s="71" t="s">
        <v>960</v>
      </c>
      <c r="AG447" s="73" t="s">
        <v>360</v>
      </c>
      <c r="AS447" s="3">
        <v>9602</v>
      </c>
      <c r="AT447" s="3">
        <v>304</v>
      </c>
      <c r="AU447" s="3" t="s">
        <v>3446</v>
      </c>
      <c r="AV447" s="3">
        <v>9.66</v>
      </c>
      <c r="AX447" s="3" t="s">
        <v>2989</v>
      </c>
      <c r="AY447" s="65" t="s">
        <v>2990</v>
      </c>
      <c r="BA447" s="109" t="s">
        <v>4379</v>
      </c>
      <c r="BB447" s="183">
        <v>2014902</v>
      </c>
    </row>
    <row r="448" spans="28:54" ht="15.75" thickBot="1" x14ac:dyDescent="0.3">
      <c r="AB448" s="71" t="s">
        <v>941</v>
      </c>
      <c r="AC448" s="72" t="s">
        <v>940</v>
      </c>
      <c r="AD448" s="73" t="str">
        <f t="shared" si="26"/>
        <v>23-21</v>
      </c>
      <c r="AE448" s="74">
        <f t="shared" si="27"/>
        <v>21</v>
      </c>
      <c r="AF448" s="71" t="s">
        <v>961</v>
      </c>
      <c r="AG448" s="73" t="s">
        <v>386</v>
      </c>
      <c r="AS448" s="3">
        <v>9603</v>
      </c>
      <c r="AT448" s="3">
        <v>304</v>
      </c>
      <c r="AU448" s="3" t="s">
        <v>3447</v>
      </c>
      <c r="AV448" s="3">
        <v>9.66</v>
      </c>
      <c r="AX448" s="3" t="s">
        <v>2991</v>
      </c>
      <c r="AY448" s="65" t="s">
        <v>2992</v>
      </c>
      <c r="BA448" s="108" t="s">
        <v>4380</v>
      </c>
      <c r="BB448" s="182">
        <v>2015001</v>
      </c>
    </row>
    <row r="449" spans="28:54" ht="15.75" thickBot="1" x14ac:dyDescent="0.3">
      <c r="AB449" s="71" t="s">
        <v>941</v>
      </c>
      <c r="AC449" s="72" t="s">
        <v>940</v>
      </c>
      <c r="AD449" s="73" t="str">
        <f t="shared" si="26"/>
        <v>23-22</v>
      </c>
      <c r="AE449" s="74">
        <f t="shared" si="27"/>
        <v>22</v>
      </c>
      <c r="AF449" s="71" t="s">
        <v>962</v>
      </c>
      <c r="AG449" s="73" t="s">
        <v>388</v>
      </c>
      <c r="AS449" s="3">
        <v>9609</v>
      </c>
      <c r="AT449" s="3">
        <v>304</v>
      </c>
      <c r="AU449" s="3" t="s">
        <v>3092</v>
      </c>
      <c r="AV449" s="3">
        <v>9.66</v>
      </c>
      <c r="AX449" s="3" t="s">
        <v>2993</v>
      </c>
      <c r="AY449" s="65" t="s">
        <v>2994</v>
      </c>
      <c r="BA449" s="109" t="s">
        <v>4381</v>
      </c>
      <c r="BB449" s="183">
        <v>2016101</v>
      </c>
    </row>
    <row r="450" spans="28:54" ht="30.75" thickBot="1" x14ac:dyDescent="0.3">
      <c r="AB450" s="71" t="s">
        <v>941</v>
      </c>
      <c r="AC450" s="72" t="s">
        <v>940</v>
      </c>
      <c r="AD450" s="73" t="str">
        <f t="shared" si="26"/>
        <v>23-23</v>
      </c>
      <c r="AE450" s="74">
        <f t="shared" si="27"/>
        <v>23</v>
      </c>
      <c r="AF450" s="71" t="s">
        <v>963</v>
      </c>
      <c r="AG450" s="73" t="s">
        <v>1940</v>
      </c>
      <c r="AS450" s="3">
        <v>9700</v>
      </c>
      <c r="AU450" s="65" t="s">
        <v>3192</v>
      </c>
      <c r="AV450" s="3">
        <v>0</v>
      </c>
      <c r="AX450" s="3" t="s">
        <v>2995</v>
      </c>
      <c r="AY450" s="65" t="s">
        <v>2996</v>
      </c>
      <c r="BA450" s="108" t="s">
        <v>4382</v>
      </c>
      <c r="BB450" s="182">
        <v>2016102</v>
      </c>
    </row>
    <row r="451" spans="28:54" ht="30.75" thickBot="1" x14ac:dyDescent="0.3">
      <c r="AB451" s="71" t="s">
        <v>941</v>
      </c>
      <c r="AC451" s="72" t="s">
        <v>940</v>
      </c>
      <c r="AD451" s="73" t="str">
        <f t="shared" ref="AD451:AD514" si="28">CONCATENATE(AC451,"-",AE451)</f>
        <v>23-24</v>
      </c>
      <c r="AE451" s="74">
        <f t="shared" ref="AE451:AE514" si="29">IF(AB451=AB450,1+AE450,1)</f>
        <v>24</v>
      </c>
      <c r="AF451" s="71" t="s">
        <v>964</v>
      </c>
      <c r="AG451" s="73" t="s">
        <v>392</v>
      </c>
      <c r="AS451" s="3">
        <v>9810</v>
      </c>
      <c r="AU451" s="65" t="s">
        <v>3193</v>
      </c>
      <c r="AV451" s="3">
        <v>0</v>
      </c>
      <c r="AX451" s="3" t="s">
        <v>2997</v>
      </c>
      <c r="AY451" s="65" t="s">
        <v>2998</v>
      </c>
      <c r="BA451" s="109" t="s">
        <v>4383</v>
      </c>
      <c r="BB451" s="183">
        <v>2016103</v>
      </c>
    </row>
    <row r="452" spans="28:54" ht="30.75" thickBot="1" x14ac:dyDescent="0.3">
      <c r="AB452" s="71" t="s">
        <v>941</v>
      </c>
      <c r="AC452" s="72" t="s">
        <v>940</v>
      </c>
      <c r="AD452" s="73" t="str">
        <f t="shared" si="28"/>
        <v>23-25</v>
      </c>
      <c r="AE452" s="74">
        <f t="shared" si="29"/>
        <v>25</v>
      </c>
      <c r="AF452" s="71" t="s">
        <v>599</v>
      </c>
      <c r="AG452" s="73" t="s">
        <v>1941</v>
      </c>
      <c r="AS452" s="3">
        <v>9820</v>
      </c>
      <c r="AU452" s="65" t="s">
        <v>3194</v>
      </c>
      <c r="AV452" s="3">
        <v>0</v>
      </c>
      <c r="AX452" s="3" t="s">
        <v>2999</v>
      </c>
      <c r="AY452" s="65" t="s">
        <v>3000</v>
      </c>
      <c r="BA452" s="108" t="s">
        <v>4384</v>
      </c>
      <c r="BB452" s="182">
        <v>2016201</v>
      </c>
    </row>
    <row r="453" spans="28:54" ht="30.75" thickBot="1" x14ac:dyDescent="0.3">
      <c r="AB453" s="71" t="s">
        <v>941</v>
      </c>
      <c r="AC453" s="72" t="s">
        <v>940</v>
      </c>
      <c r="AD453" s="73" t="str">
        <f t="shared" si="28"/>
        <v>23-26</v>
      </c>
      <c r="AE453" s="74">
        <f t="shared" si="29"/>
        <v>26</v>
      </c>
      <c r="AF453" s="71" t="s">
        <v>965</v>
      </c>
      <c r="AG453" s="73" t="s">
        <v>1762</v>
      </c>
      <c r="AS453" s="3">
        <v>9900</v>
      </c>
      <c r="AU453" s="65" t="s">
        <v>3195</v>
      </c>
      <c r="AV453" s="3">
        <v>0</v>
      </c>
      <c r="AX453" s="3" t="s">
        <v>3001</v>
      </c>
      <c r="AY453" s="65" t="s">
        <v>3002</v>
      </c>
      <c r="BA453" s="109" t="s">
        <v>4385</v>
      </c>
      <c r="BB453" s="183">
        <v>2016202</v>
      </c>
    </row>
    <row r="454" spans="28:54" ht="15.75" thickBot="1" x14ac:dyDescent="0.3">
      <c r="AB454" s="71" t="s">
        <v>941</v>
      </c>
      <c r="AC454" s="72" t="s">
        <v>940</v>
      </c>
      <c r="AD454" s="73" t="str">
        <f t="shared" si="28"/>
        <v>23-27</v>
      </c>
      <c r="AE454" s="74">
        <f t="shared" si="29"/>
        <v>27</v>
      </c>
      <c r="AF454" s="71" t="s">
        <v>966</v>
      </c>
      <c r="AG454" s="73" t="s">
        <v>1922</v>
      </c>
      <c r="AS454" s="3">
        <v>10201</v>
      </c>
      <c r="AT454" s="3">
        <v>101</v>
      </c>
      <c r="AU454" s="3" t="s">
        <v>3791</v>
      </c>
      <c r="AV454" s="3">
        <v>4.1399999999999997</v>
      </c>
      <c r="AX454" s="3" t="s">
        <v>3003</v>
      </c>
      <c r="AY454" s="65" t="s">
        <v>3004</v>
      </c>
      <c r="BA454" s="108" t="s">
        <v>4386</v>
      </c>
      <c r="BB454" s="182">
        <v>2016203</v>
      </c>
    </row>
    <row r="455" spans="28:54" ht="15.75" thickBot="1" x14ac:dyDescent="0.3">
      <c r="AB455" s="71" t="s">
        <v>941</v>
      </c>
      <c r="AC455" s="72" t="s">
        <v>940</v>
      </c>
      <c r="AD455" s="73" t="str">
        <f t="shared" si="28"/>
        <v>23-28</v>
      </c>
      <c r="AE455" s="74">
        <f t="shared" si="29"/>
        <v>28</v>
      </c>
      <c r="AF455" s="71" t="s">
        <v>967</v>
      </c>
      <c r="AG455" s="73" t="s">
        <v>488</v>
      </c>
      <c r="AS455" s="3">
        <v>10202</v>
      </c>
      <c r="AT455" s="3">
        <v>103</v>
      </c>
      <c r="AU455" s="3" t="s">
        <v>3298</v>
      </c>
      <c r="AV455" s="3">
        <v>11.04</v>
      </c>
      <c r="AX455" s="3" t="s">
        <v>3005</v>
      </c>
      <c r="AY455" s="65" t="s">
        <v>3006</v>
      </c>
      <c r="BA455" s="109" t="s">
        <v>4387</v>
      </c>
      <c r="BB455" s="183">
        <v>2016301</v>
      </c>
    </row>
    <row r="456" spans="28:54" ht="15.75" thickBot="1" x14ac:dyDescent="0.3">
      <c r="AB456" s="71" t="s">
        <v>969</v>
      </c>
      <c r="AC456" s="72" t="s">
        <v>968</v>
      </c>
      <c r="AD456" s="73" t="str">
        <f t="shared" si="28"/>
        <v>25-1</v>
      </c>
      <c r="AE456" s="74">
        <f t="shared" si="29"/>
        <v>1</v>
      </c>
      <c r="AF456" s="71" t="s">
        <v>970</v>
      </c>
      <c r="AG456" s="73" t="s">
        <v>334</v>
      </c>
      <c r="AS456" s="3">
        <v>10401</v>
      </c>
      <c r="AT456" s="3">
        <v>101</v>
      </c>
      <c r="AU456" s="3" t="s">
        <v>3209</v>
      </c>
      <c r="AV456" s="3">
        <v>4.1399999999999997</v>
      </c>
      <c r="AX456" s="3" t="s">
        <v>3007</v>
      </c>
      <c r="AY456" s="65" t="s">
        <v>3008</v>
      </c>
      <c r="BA456" s="108" t="s">
        <v>4388</v>
      </c>
      <c r="BB456" s="182">
        <v>2016302</v>
      </c>
    </row>
    <row r="457" spans="28:54" ht="15.75" thickBot="1" x14ac:dyDescent="0.3">
      <c r="AB457" s="71" t="s">
        <v>969</v>
      </c>
      <c r="AC457" s="72" t="s">
        <v>968</v>
      </c>
      <c r="AD457" s="73" t="str">
        <f t="shared" si="28"/>
        <v>25-2</v>
      </c>
      <c r="AE457" s="74">
        <f t="shared" si="29"/>
        <v>2</v>
      </c>
      <c r="AF457" s="71" t="s">
        <v>971</v>
      </c>
      <c r="AG457" s="73" t="s">
        <v>1942</v>
      </c>
      <c r="AS457" s="3">
        <v>10402</v>
      </c>
      <c r="AT457" s="3">
        <v>103</v>
      </c>
      <c r="AU457" s="3" t="s">
        <v>3299</v>
      </c>
      <c r="AV457" s="3">
        <v>11.04</v>
      </c>
      <c r="AX457" s="3" t="s">
        <v>3009</v>
      </c>
      <c r="AY457" s="65" t="s">
        <v>3010</v>
      </c>
      <c r="BA457" s="109" t="s">
        <v>4389</v>
      </c>
      <c r="BB457" s="183">
        <v>2016303</v>
      </c>
    </row>
    <row r="458" spans="28:54" ht="15.75" thickBot="1" x14ac:dyDescent="0.3">
      <c r="AB458" s="71" t="s">
        <v>969</v>
      </c>
      <c r="AC458" s="72" t="s">
        <v>968</v>
      </c>
      <c r="AD458" s="73" t="str">
        <f t="shared" si="28"/>
        <v>25-3</v>
      </c>
      <c r="AE458" s="74">
        <f t="shared" si="29"/>
        <v>3</v>
      </c>
      <c r="AF458" s="71" t="s">
        <v>972</v>
      </c>
      <c r="AG458" s="73" t="s">
        <v>1943</v>
      </c>
      <c r="AS458" s="3">
        <v>14201</v>
      </c>
      <c r="AT458" s="3">
        <v>101</v>
      </c>
      <c r="AU458" s="3" t="s">
        <v>3210</v>
      </c>
      <c r="AV458" s="3">
        <v>4.1399999999999997</v>
      </c>
      <c r="AX458" s="3" t="s">
        <v>3011</v>
      </c>
      <c r="AY458" s="65" t="s">
        <v>3012</v>
      </c>
      <c r="BA458" s="108" t="s">
        <v>4390</v>
      </c>
      <c r="BB458" s="182">
        <v>2016401</v>
      </c>
    </row>
    <row r="459" spans="28:54" ht="15.75" thickBot="1" x14ac:dyDescent="0.3">
      <c r="AB459" s="71" t="s">
        <v>969</v>
      </c>
      <c r="AC459" s="72" t="s">
        <v>968</v>
      </c>
      <c r="AD459" s="73" t="str">
        <f t="shared" si="28"/>
        <v>25-4</v>
      </c>
      <c r="AE459" s="74">
        <f t="shared" si="29"/>
        <v>4</v>
      </c>
      <c r="AF459" s="71" t="s">
        <v>973</v>
      </c>
      <c r="AG459" s="73" t="s">
        <v>24</v>
      </c>
      <c r="AS459" s="3">
        <v>14202</v>
      </c>
      <c r="AT459" s="3">
        <v>103</v>
      </c>
      <c r="AU459" s="3" t="s">
        <v>3300</v>
      </c>
      <c r="AV459" s="3">
        <v>11.04</v>
      </c>
      <c r="AX459" s="3" t="s">
        <v>3013</v>
      </c>
      <c r="AY459" s="65" t="s">
        <v>3014</v>
      </c>
      <c r="BA459" s="109" t="s">
        <v>4391</v>
      </c>
      <c r="BB459" s="183">
        <v>2017001</v>
      </c>
    </row>
    <row r="460" spans="28:54" ht="15.75" thickBot="1" x14ac:dyDescent="0.3">
      <c r="AB460" s="71" t="s">
        <v>969</v>
      </c>
      <c r="AC460" s="72" t="s">
        <v>968</v>
      </c>
      <c r="AD460" s="73" t="str">
        <f t="shared" si="28"/>
        <v>25-5</v>
      </c>
      <c r="AE460" s="74">
        <f t="shared" si="29"/>
        <v>5</v>
      </c>
      <c r="AF460" s="71" t="s">
        <v>974</v>
      </c>
      <c r="AG460" s="73" t="s">
        <v>32</v>
      </c>
      <c r="AS460" s="3">
        <v>14301</v>
      </c>
      <c r="AT460" s="3">
        <v>101</v>
      </c>
      <c r="AU460" s="3" t="s">
        <v>3792</v>
      </c>
      <c r="AV460" s="3">
        <v>4.1399999999999997</v>
      </c>
      <c r="AX460" s="3" t="s">
        <v>3015</v>
      </c>
      <c r="AY460" s="65" t="s">
        <v>3016</v>
      </c>
      <c r="BA460" s="108" t="s">
        <v>4392</v>
      </c>
      <c r="BB460" s="182">
        <v>2017002</v>
      </c>
    </row>
    <row r="461" spans="28:54" ht="45.75" thickBot="1" x14ac:dyDescent="0.3">
      <c r="AB461" s="71" t="s">
        <v>969</v>
      </c>
      <c r="AC461" s="72" t="s">
        <v>968</v>
      </c>
      <c r="AD461" s="73" t="str">
        <f t="shared" si="28"/>
        <v>25-6</v>
      </c>
      <c r="AE461" s="74">
        <f t="shared" si="29"/>
        <v>6</v>
      </c>
      <c r="AF461" s="71" t="s">
        <v>975</v>
      </c>
      <c r="AG461" s="73" t="s">
        <v>1700</v>
      </c>
      <c r="AS461" s="3">
        <v>14302</v>
      </c>
      <c r="AT461" s="3">
        <v>103</v>
      </c>
      <c r="AU461" s="3" t="s">
        <v>3793</v>
      </c>
      <c r="AV461" s="3">
        <v>11.04</v>
      </c>
      <c r="AX461" s="3" t="s">
        <v>3017</v>
      </c>
      <c r="AY461" s="65" t="s">
        <v>3018</v>
      </c>
      <c r="BA461" s="109" t="s">
        <v>4393</v>
      </c>
      <c r="BB461" s="183">
        <v>2017003</v>
      </c>
    </row>
    <row r="462" spans="28:54" ht="30.75" thickBot="1" x14ac:dyDescent="0.3">
      <c r="AB462" s="71" t="s">
        <v>969</v>
      </c>
      <c r="AC462" s="72" t="s">
        <v>968</v>
      </c>
      <c r="AD462" s="73" t="str">
        <f t="shared" si="28"/>
        <v>25-7</v>
      </c>
      <c r="AE462" s="74">
        <f t="shared" si="29"/>
        <v>7</v>
      </c>
      <c r="AF462" s="71" t="s">
        <v>976</v>
      </c>
      <c r="AG462" s="73" t="s">
        <v>1944</v>
      </c>
      <c r="AS462" s="3">
        <v>35201</v>
      </c>
      <c r="AT462" s="3">
        <v>103</v>
      </c>
      <c r="AU462" s="3" t="s">
        <v>3301</v>
      </c>
      <c r="AV462" s="3">
        <v>11.04</v>
      </c>
      <c r="AX462" s="3" t="s">
        <v>3019</v>
      </c>
      <c r="AY462" s="65" t="s">
        <v>3020</v>
      </c>
      <c r="BA462" s="108" t="s">
        <v>4394</v>
      </c>
      <c r="BB462" s="182">
        <v>2021001</v>
      </c>
    </row>
    <row r="463" spans="28:54" ht="15.75" thickBot="1" x14ac:dyDescent="0.3">
      <c r="AB463" s="71" t="s">
        <v>969</v>
      </c>
      <c r="AC463" s="72" t="s">
        <v>968</v>
      </c>
      <c r="AD463" s="73" t="str">
        <f t="shared" si="28"/>
        <v>25-8</v>
      </c>
      <c r="AE463" s="74">
        <f t="shared" si="29"/>
        <v>8</v>
      </c>
      <c r="AF463" s="71" t="s">
        <v>977</v>
      </c>
      <c r="AG463" s="73" t="s">
        <v>1945</v>
      </c>
      <c r="AS463" s="3">
        <v>35202</v>
      </c>
      <c r="AT463" s="3">
        <v>304</v>
      </c>
      <c r="AU463" s="3" t="s">
        <v>3609</v>
      </c>
      <c r="AV463" s="3">
        <v>9.66</v>
      </c>
      <c r="AX463" s="3" t="s">
        <v>3021</v>
      </c>
      <c r="AY463" s="65" t="s">
        <v>3022</v>
      </c>
      <c r="BA463" s="109" t="s">
        <v>4395</v>
      </c>
      <c r="BB463" s="183">
        <v>2021002</v>
      </c>
    </row>
    <row r="464" spans="28:54" ht="30.75" thickBot="1" x14ac:dyDescent="0.3">
      <c r="AB464" s="71" t="s">
        <v>969</v>
      </c>
      <c r="AC464" s="72" t="s">
        <v>968</v>
      </c>
      <c r="AD464" s="73" t="str">
        <f t="shared" si="28"/>
        <v>25-9</v>
      </c>
      <c r="AE464" s="74">
        <f t="shared" si="29"/>
        <v>9</v>
      </c>
      <c r="AF464" s="71" t="s">
        <v>978</v>
      </c>
      <c r="AG464" s="73" t="s">
        <v>1703</v>
      </c>
      <c r="AS464" s="3">
        <v>36001</v>
      </c>
      <c r="AT464" s="3">
        <v>103</v>
      </c>
      <c r="AU464" s="3" t="s">
        <v>3302</v>
      </c>
      <c r="AV464" s="3">
        <v>11.04</v>
      </c>
      <c r="AX464" s="3" t="s">
        <v>3023</v>
      </c>
      <c r="AY464" s="65" t="s">
        <v>3024</v>
      </c>
      <c r="BA464" s="108" t="s">
        <v>4396</v>
      </c>
      <c r="BB464" s="182">
        <v>2022001</v>
      </c>
    </row>
    <row r="465" spans="28:54" ht="15.75" thickBot="1" x14ac:dyDescent="0.3">
      <c r="AB465" s="71" t="s">
        <v>969</v>
      </c>
      <c r="AC465" s="72" t="s">
        <v>968</v>
      </c>
      <c r="AD465" s="73" t="str">
        <f t="shared" si="28"/>
        <v>25-10</v>
      </c>
      <c r="AE465" s="74">
        <f t="shared" si="29"/>
        <v>10</v>
      </c>
      <c r="AF465" s="71" t="s">
        <v>979</v>
      </c>
      <c r="AG465" s="73" t="s">
        <v>1946</v>
      </c>
      <c r="AS465" s="3">
        <v>36002</v>
      </c>
      <c r="AT465" s="3">
        <v>304</v>
      </c>
      <c r="AU465" s="3" t="s">
        <v>3794</v>
      </c>
      <c r="AV465" s="3">
        <v>9.66</v>
      </c>
      <c r="AX465" s="85" t="s">
        <v>3596</v>
      </c>
      <c r="AY465" s="65" t="s">
        <v>3594</v>
      </c>
      <c r="BA465" s="109" t="s">
        <v>4397</v>
      </c>
      <c r="BB465" s="183">
        <v>2022002</v>
      </c>
    </row>
    <row r="466" spans="28:54" ht="15.75" thickBot="1" x14ac:dyDescent="0.3">
      <c r="AB466" s="71" t="s">
        <v>969</v>
      </c>
      <c r="AC466" s="72" t="s">
        <v>968</v>
      </c>
      <c r="AD466" s="73" t="str">
        <f t="shared" si="28"/>
        <v>25-11</v>
      </c>
      <c r="AE466" s="74">
        <f t="shared" si="29"/>
        <v>11</v>
      </c>
      <c r="AF466" s="71" t="s">
        <v>980</v>
      </c>
      <c r="AG466" s="73" t="s">
        <v>1947</v>
      </c>
      <c r="AS466" s="3">
        <v>39001</v>
      </c>
      <c r="AT466" s="3">
        <v>304</v>
      </c>
      <c r="AU466" s="3" t="s">
        <v>3795</v>
      </c>
      <c r="AV466" s="3">
        <v>9.66</v>
      </c>
      <c r="AX466" s="85" t="s">
        <v>3597</v>
      </c>
      <c r="AY466" s="65" t="s">
        <v>3595</v>
      </c>
      <c r="BA466" s="108" t="s">
        <v>4398</v>
      </c>
      <c r="BB466" s="182">
        <v>2022003</v>
      </c>
    </row>
    <row r="467" spans="28:54" ht="15.75" thickBot="1" x14ac:dyDescent="0.3">
      <c r="AB467" s="71" t="s">
        <v>969</v>
      </c>
      <c r="AC467" s="72" t="s">
        <v>968</v>
      </c>
      <c r="AD467" s="73" t="str">
        <f t="shared" si="28"/>
        <v>25-12</v>
      </c>
      <c r="AE467" s="74">
        <f t="shared" si="29"/>
        <v>12</v>
      </c>
      <c r="AF467" s="71" t="s">
        <v>981</v>
      </c>
      <c r="AG467" s="73" t="s">
        <v>1710</v>
      </c>
      <c r="AS467" s="3">
        <v>39002</v>
      </c>
      <c r="AT467" s="3">
        <v>302</v>
      </c>
      <c r="AU467" s="3" t="s">
        <v>3796</v>
      </c>
      <c r="AV467" s="3">
        <v>6.9</v>
      </c>
      <c r="AX467" s="3" t="s">
        <v>3025</v>
      </c>
      <c r="AY467" s="65" t="s">
        <v>3026</v>
      </c>
      <c r="BA467" s="109" t="s">
        <v>4399</v>
      </c>
      <c r="BB467" s="183">
        <v>2023001</v>
      </c>
    </row>
    <row r="468" spans="28:54" ht="15.75" thickBot="1" x14ac:dyDescent="0.3">
      <c r="AB468" s="71" t="s">
        <v>969</v>
      </c>
      <c r="AC468" s="72" t="s">
        <v>968</v>
      </c>
      <c r="AD468" s="73" t="str">
        <f t="shared" si="28"/>
        <v>25-13</v>
      </c>
      <c r="AE468" s="74">
        <f t="shared" si="29"/>
        <v>13</v>
      </c>
      <c r="AF468" s="71" t="s">
        <v>982</v>
      </c>
      <c r="AG468" s="73" t="s">
        <v>1948</v>
      </c>
      <c r="AS468" s="3">
        <v>45411</v>
      </c>
      <c r="AT468" s="3">
        <v>202</v>
      </c>
      <c r="AU468" s="3" t="s">
        <v>3311</v>
      </c>
      <c r="AV468" s="3">
        <v>6.9</v>
      </c>
      <c r="AX468" s="3" t="s">
        <v>3027</v>
      </c>
      <c r="AY468" s="65" t="s">
        <v>3028</v>
      </c>
      <c r="BA468" s="108" t="s">
        <v>4400</v>
      </c>
      <c r="BB468" s="182">
        <v>2023002</v>
      </c>
    </row>
    <row r="469" spans="28:54" ht="15.75" thickBot="1" x14ac:dyDescent="0.3">
      <c r="AB469" s="71" t="s">
        <v>969</v>
      </c>
      <c r="AC469" s="72" t="s">
        <v>968</v>
      </c>
      <c r="AD469" s="73" t="str">
        <f t="shared" si="28"/>
        <v>25-14</v>
      </c>
      <c r="AE469" s="74">
        <f t="shared" si="29"/>
        <v>14</v>
      </c>
      <c r="AF469" s="71" t="s">
        <v>983</v>
      </c>
      <c r="AG469" s="73" t="s">
        <v>1712</v>
      </c>
      <c r="AS469" s="3">
        <v>45412</v>
      </c>
      <c r="AT469" s="3">
        <v>204</v>
      </c>
      <c r="AU469" s="3" t="s">
        <v>3333</v>
      </c>
      <c r="AV469" s="3">
        <v>11.04</v>
      </c>
      <c r="AX469" s="3" t="s">
        <v>3029</v>
      </c>
      <c r="AY469" s="65" t="s">
        <v>3030</v>
      </c>
      <c r="BA469" s="109" t="s">
        <v>4401</v>
      </c>
      <c r="BB469" s="183">
        <v>2024001</v>
      </c>
    </row>
    <row r="470" spans="28:54" ht="15.75" thickBot="1" x14ac:dyDescent="0.3">
      <c r="AB470" s="71" t="s">
        <v>969</v>
      </c>
      <c r="AC470" s="72" t="s">
        <v>968</v>
      </c>
      <c r="AD470" s="73" t="str">
        <f t="shared" si="28"/>
        <v>25-15</v>
      </c>
      <c r="AE470" s="74">
        <f t="shared" si="29"/>
        <v>15</v>
      </c>
      <c r="AF470" s="71" t="s">
        <v>984</v>
      </c>
      <c r="AG470" s="73" t="s">
        <v>1933</v>
      </c>
      <c r="AS470" s="3">
        <v>46201</v>
      </c>
      <c r="AT470" s="3">
        <v>201</v>
      </c>
      <c r="AU470" s="3" t="s">
        <v>3797</v>
      </c>
      <c r="AV470" s="3">
        <v>4.1399999999999997</v>
      </c>
      <c r="AX470" s="3" t="s">
        <v>3031</v>
      </c>
      <c r="AY470" s="65" t="s">
        <v>3032</v>
      </c>
      <c r="BA470" s="108" t="s">
        <v>4402</v>
      </c>
      <c r="BB470" s="182">
        <v>2024002</v>
      </c>
    </row>
    <row r="471" spans="28:54" ht="15.75" thickBot="1" x14ac:dyDescent="0.3">
      <c r="AB471" s="71" t="s">
        <v>969</v>
      </c>
      <c r="AC471" s="72" t="s">
        <v>968</v>
      </c>
      <c r="AD471" s="73" t="str">
        <f t="shared" si="28"/>
        <v>25-16</v>
      </c>
      <c r="AE471" s="74">
        <f t="shared" si="29"/>
        <v>16</v>
      </c>
      <c r="AF471" s="71" t="s">
        <v>985</v>
      </c>
      <c r="AG471" s="73" t="s">
        <v>1927</v>
      </c>
      <c r="AS471" s="3">
        <v>46202</v>
      </c>
      <c r="AT471" s="3">
        <v>204</v>
      </c>
      <c r="AU471" s="3" t="s">
        <v>3798</v>
      </c>
      <c r="AV471" s="3">
        <v>11.04</v>
      </c>
      <c r="AX471" s="3" t="s">
        <v>3033</v>
      </c>
      <c r="AY471" s="65" t="s">
        <v>3034</v>
      </c>
      <c r="BA471" s="109" t="s">
        <v>4403</v>
      </c>
      <c r="BB471" s="183">
        <v>2024003</v>
      </c>
    </row>
    <row r="472" spans="28:54" ht="15.75" thickBot="1" x14ac:dyDescent="0.3">
      <c r="AB472" s="71" t="s">
        <v>969</v>
      </c>
      <c r="AC472" s="72" t="s">
        <v>968</v>
      </c>
      <c r="AD472" s="73" t="str">
        <f t="shared" si="28"/>
        <v>25-17</v>
      </c>
      <c r="AE472" s="74">
        <f t="shared" si="29"/>
        <v>17</v>
      </c>
      <c r="AF472" s="71" t="s">
        <v>986</v>
      </c>
      <c r="AG472" s="73" t="s">
        <v>1928</v>
      </c>
      <c r="AS472" s="3">
        <v>46321</v>
      </c>
      <c r="AT472" s="3">
        <v>204</v>
      </c>
      <c r="AU472" s="3" t="s">
        <v>3334</v>
      </c>
      <c r="AV472" s="3">
        <v>11.04</v>
      </c>
      <c r="AX472" s="3" t="s">
        <v>3035</v>
      </c>
      <c r="AY472" s="65" t="s">
        <v>3036</v>
      </c>
      <c r="BA472" s="108" t="s">
        <v>4404</v>
      </c>
      <c r="BB472" s="182">
        <v>2024004</v>
      </c>
    </row>
    <row r="473" spans="28:54" ht="15.75" thickBot="1" x14ac:dyDescent="0.3">
      <c r="AB473" s="71" t="s">
        <v>969</v>
      </c>
      <c r="AC473" s="72" t="s">
        <v>968</v>
      </c>
      <c r="AD473" s="73" t="str">
        <f t="shared" si="28"/>
        <v>25-18</v>
      </c>
      <c r="AE473" s="74">
        <f t="shared" si="29"/>
        <v>18</v>
      </c>
      <c r="AF473" s="71" t="s">
        <v>987</v>
      </c>
      <c r="AG473" s="73" t="s">
        <v>1949</v>
      </c>
      <c r="AS473" s="3">
        <v>46322</v>
      </c>
      <c r="AT473" s="3">
        <v>203</v>
      </c>
      <c r="AU473" s="3" t="s">
        <v>3314</v>
      </c>
      <c r="AV473" s="3">
        <v>13.8</v>
      </c>
      <c r="AX473" s="3" t="s">
        <v>3037</v>
      </c>
      <c r="AY473" s="65" t="s">
        <v>3038</v>
      </c>
      <c r="BA473" s="109" t="s">
        <v>4405</v>
      </c>
      <c r="BB473" s="183">
        <v>2032101</v>
      </c>
    </row>
    <row r="474" spans="28:54" ht="15.75" thickBot="1" x14ac:dyDescent="0.3">
      <c r="AB474" s="71" t="s">
        <v>969</v>
      </c>
      <c r="AC474" s="72" t="s">
        <v>968</v>
      </c>
      <c r="AD474" s="73" t="str">
        <f t="shared" si="28"/>
        <v>25-19</v>
      </c>
      <c r="AE474" s="74">
        <f t="shared" si="29"/>
        <v>19</v>
      </c>
      <c r="AF474" s="71" t="s">
        <v>988</v>
      </c>
      <c r="AG474" s="73" t="s">
        <v>118</v>
      </c>
      <c r="AS474" s="3">
        <v>46451</v>
      </c>
      <c r="AT474" s="3">
        <v>201</v>
      </c>
      <c r="AU474" s="3" t="s">
        <v>3307</v>
      </c>
      <c r="AV474" s="3">
        <v>4.1399999999999997</v>
      </c>
      <c r="AX474" s="3" t="s">
        <v>3039</v>
      </c>
      <c r="AY474" s="65" t="s">
        <v>3040</v>
      </c>
      <c r="BA474" s="108" t="s">
        <v>4406</v>
      </c>
      <c r="BB474" s="182">
        <v>2032102</v>
      </c>
    </row>
    <row r="475" spans="28:54" ht="15.75" thickBot="1" x14ac:dyDescent="0.3">
      <c r="AB475" s="71" t="s">
        <v>969</v>
      </c>
      <c r="AC475" s="72" t="s">
        <v>968</v>
      </c>
      <c r="AD475" s="73" t="str">
        <f t="shared" si="28"/>
        <v>25-20</v>
      </c>
      <c r="AE475" s="74">
        <f t="shared" si="29"/>
        <v>20</v>
      </c>
      <c r="AF475" s="71" t="s">
        <v>989</v>
      </c>
      <c r="AG475" s="73" t="s">
        <v>1950</v>
      </c>
      <c r="AS475" s="3">
        <v>46452</v>
      </c>
      <c r="AT475" s="3">
        <v>204</v>
      </c>
      <c r="AU475" s="3" t="s">
        <v>3335</v>
      </c>
      <c r="AV475" s="3">
        <v>11.04</v>
      </c>
      <c r="AX475" s="3" t="s">
        <v>3041</v>
      </c>
      <c r="AY475" s="65" t="s">
        <v>3042</v>
      </c>
      <c r="BA475" s="109" t="s">
        <v>4407</v>
      </c>
      <c r="BB475" s="183">
        <v>2032103</v>
      </c>
    </row>
    <row r="476" spans="28:54" ht="30.75" thickBot="1" x14ac:dyDescent="0.3">
      <c r="AB476" s="71" t="s">
        <v>969</v>
      </c>
      <c r="AC476" s="72" t="s">
        <v>968</v>
      </c>
      <c r="AD476" s="73" t="str">
        <f t="shared" si="28"/>
        <v>25-21</v>
      </c>
      <c r="AE476" s="74">
        <f t="shared" si="29"/>
        <v>21</v>
      </c>
      <c r="AF476" s="71" t="s">
        <v>990</v>
      </c>
      <c r="AG476" s="73" t="s">
        <v>1951</v>
      </c>
      <c r="AS476" s="3">
        <v>46491</v>
      </c>
      <c r="AT476" s="3">
        <v>204</v>
      </c>
      <c r="AU476" s="3" t="s">
        <v>3799</v>
      </c>
      <c r="AV476" s="3">
        <v>11.04</v>
      </c>
      <c r="AX476" s="3" t="s">
        <v>3043</v>
      </c>
      <c r="AY476" s="65" t="s">
        <v>3044</v>
      </c>
      <c r="BA476" s="108" t="s">
        <v>4408</v>
      </c>
      <c r="BB476" s="182">
        <v>2032201</v>
      </c>
    </row>
    <row r="477" spans="28:54" ht="15.75" thickBot="1" x14ac:dyDescent="0.3">
      <c r="AB477" s="71" t="s">
        <v>969</v>
      </c>
      <c r="AC477" s="72" t="s">
        <v>968</v>
      </c>
      <c r="AD477" s="73" t="str">
        <f t="shared" si="28"/>
        <v>25-22</v>
      </c>
      <c r="AE477" s="74">
        <f t="shared" si="29"/>
        <v>22</v>
      </c>
      <c r="AF477" s="71" t="s">
        <v>991</v>
      </c>
      <c r="AG477" s="73" t="s">
        <v>1835</v>
      </c>
      <c r="AS477" s="3">
        <v>46492</v>
      </c>
      <c r="AT477" s="3">
        <v>203</v>
      </c>
      <c r="AU477" s="3" t="s">
        <v>3315</v>
      </c>
      <c r="AV477" s="3">
        <v>13.8</v>
      </c>
      <c r="AX477" s="3" t="s">
        <v>3045</v>
      </c>
      <c r="AY477" s="65" t="s">
        <v>3046</v>
      </c>
      <c r="BA477" s="109" t="s">
        <v>4409</v>
      </c>
      <c r="BB477" s="183">
        <v>2032202</v>
      </c>
    </row>
    <row r="478" spans="28:54" ht="15.75" thickBot="1" x14ac:dyDescent="0.3">
      <c r="AB478" s="71" t="s">
        <v>969</v>
      </c>
      <c r="AC478" s="72" t="s">
        <v>968</v>
      </c>
      <c r="AD478" s="73" t="str">
        <f t="shared" si="28"/>
        <v>25-23</v>
      </c>
      <c r="AE478" s="74">
        <f t="shared" si="29"/>
        <v>23</v>
      </c>
      <c r="AF478" s="71" t="s">
        <v>992</v>
      </c>
      <c r="AG478" s="73" t="s">
        <v>154</v>
      </c>
      <c r="AS478" s="3">
        <v>46611</v>
      </c>
      <c r="AT478" s="3">
        <v>204</v>
      </c>
      <c r="AU478" s="3" t="s">
        <v>3800</v>
      </c>
      <c r="AV478" s="3">
        <v>11.04</v>
      </c>
      <c r="AX478" s="3" t="s">
        <v>3047</v>
      </c>
      <c r="AY478" s="65" t="s">
        <v>3048</v>
      </c>
      <c r="BA478" s="108" t="s">
        <v>4410</v>
      </c>
      <c r="BB478" s="182">
        <v>2032203</v>
      </c>
    </row>
    <row r="479" spans="28:54" ht="15.75" thickBot="1" x14ac:dyDescent="0.3">
      <c r="AB479" s="71" t="s">
        <v>969</v>
      </c>
      <c r="AC479" s="72" t="s">
        <v>968</v>
      </c>
      <c r="AD479" s="73" t="str">
        <f t="shared" si="28"/>
        <v>25-24</v>
      </c>
      <c r="AE479" s="74">
        <f t="shared" si="29"/>
        <v>24</v>
      </c>
      <c r="AF479" s="71" t="s">
        <v>678</v>
      </c>
      <c r="AG479" s="73" t="s">
        <v>1952</v>
      </c>
      <c r="AS479" s="3">
        <v>46612</v>
      </c>
      <c r="AT479" s="3">
        <v>203</v>
      </c>
      <c r="AU479" s="3" t="s">
        <v>3801</v>
      </c>
      <c r="AV479" s="3">
        <v>13.8</v>
      </c>
      <c r="AX479" s="3" t="s">
        <v>3049</v>
      </c>
      <c r="AY479" s="65" t="s">
        <v>3050</v>
      </c>
      <c r="BA479" s="109" t="s">
        <v>4411</v>
      </c>
      <c r="BB479" s="183">
        <v>2101101</v>
      </c>
    </row>
    <row r="480" spans="28:54" ht="15.75" thickBot="1" x14ac:dyDescent="0.3">
      <c r="AB480" s="71" t="s">
        <v>969</v>
      </c>
      <c r="AC480" s="72" t="s">
        <v>968</v>
      </c>
      <c r="AD480" s="73" t="str">
        <f t="shared" si="28"/>
        <v>25-25</v>
      </c>
      <c r="AE480" s="74">
        <f t="shared" si="29"/>
        <v>25</v>
      </c>
      <c r="AF480" s="71" t="s">
        <v>993</v>
      </c>
      <c r="AG480" s="73" t="s">
        <v>1953</v>
      </c>
      <c r="AS480" s="3">
        <v>46631</v>
      </c>
      <c r="AT480" s="3">
        <v>202</v>
      </c>
      <c r="AU480" s="3" t="s">
        <v>3312</v>
      </c>
      <c r="AV480" s="3">
        <v>6.9</v>
      </c>
      <c r="AX480" s="3" t="s">
        <v>3051</v>
      </c>
      <c r="AY480" s="65" t="s">
        <v>3052</v>
      </c>
      <c r="BA480" s="108" t="s">
        <v>4412</v>
      </c>
      <c r="BB480" s="182">
        <v>2101102</v>
      </c>
    </row>
    <row r="481" spans="28:54" ht="15.75" thickBot="1" x14ac:dyDescent="0.3">
      <c r="AB481" s="71" t="s">
        <v>969</v>
      </c>
      <c r="AC481" s="72" t="s">
        <v>968</v>
      </c>
      <c r="AD481" s="73" t="str">
        <f t="shared" si="28"/>
        <v>25-26</v>
      </c>
      <c r="AE481" s="74">
        <f t="shared" si="29"/>
        <v>26</v>
      </c>
      <c r="AF481" s="71" t="s">
        <v>994</v>
      </c>
      <c r="AG481" s="73" t="s">
        <v>1954</v>
      </c>
      <c r="AS481" s="3">
        <v>46632</v>
      </c>
      <c r="AT481" s="3">
        <v>204</v>
      </c>
      <c r="AU481" s="3" t="s">
        <v>3610</v>
      </c>
      <c r="AV481" s="3">
        <v>11.04</v>
      </c>
      <c r="AX481" s="3" t="s">
        <v>3053</v>
      </c>
      <c r="AY481" s="65" t="s">
        <v>3054</v>
      </c>
      <c r="BA481" s="109" t="s">
        <v>4413</v>
      </c>
      <c r="BB481" s="183">
        <v>2101103</v>
      </c>
    </row>
    <row r="482" spans="28:54" ht="15.75" thickBot="1" x14ac:dyDescent="0.3">
      <c r="AB482" s="71" t="s">
        <v>969</v>
      </c>
      <c r="AC482" s="72" t="s">
        <v>968</v>
      </c>
      <c r="AD482" s="73" t="str">
        <f t="shared" si="28"/>
        <v>25-27</v>
      </c>
      <c r="AE482" s="74">
        <f t="shared" si="29"/>
        <v>27</v>
      </c>
      <c r="AF482" s="71" t="s">
        <v>995</v>
      </c>
      <c r="AG482" s="73" t="s">
        <v>1955</v>
      </c>
      <c r="AS482" s="3">
        <v>47111</v>
      </c>
      <c r="AT482" s="3">
        <v>201</v>
      </c>
      <c r="AU482" s="3" t="s">
        <v>3802</v>
      </c>
      <c r="AV482" s="3">
        <v>4.1399999999999997</v>
      </c>
      <c r="AX482" s="3" t="s">
        <v>3055</v>
      </c>
      <c r="AY482" s="65" t="s">
        <v>3056</v>
      </c>
      <c r="BA482" s="108" t="s">
        <v>4414</v>
      </c>
      <c r="BB482" s="182">
        <v>2102001</v>
      </c>
    </row>
    <row r="483" spans="28:54" ht="15.75" thickBot="1" x14ac:dyDescent="0.3">
      <c r="AB483" s="71" t="s">
        <v>969</v>
      </c>
      <c r="AC483" s="72" t="s">
        <v>968</v>
      </c>
      <c r="AD483" s="73" t="str">
        <f t="shared" si="28"/>
        <v>25-28</v>
      </c>
      <c r="AE483" s="74">
        <f t="shared" si="29"/>
        <v>28</v>
      </c>
      <c r="AF483" s="71" t="s">
        <v>996</v>
      </c>
      <c r="AG483" s="73" t="s">
        <v>172</v>
      </c>
      <c r="AS483" s="3">
        <v>47112</v>
      </c>
      <c r="AT483" s="3">
        <v>203</v>
      </c>
      <c r="AU483" s="3" t="s">
        <v>3611</v>
      </c>
      <c r="AV483" s="3">
        <v>13.8</v>
      </c>
      <c r="AX483" s="3" t="s">
        <v>3057</v>
      </c>
      <c r="AY483" s="65" t="s">
        <v>3058</v>
      </c>
      <c r="BA483" s="109" t="s">
        <v>4415</v>
      </c>
      <c r="BB483" s="183">
        <v>2102002</v>
      </c>
    </row>
    <row r="484" spans="28:54" ht="15.75" thickBot="1" x14ac:dyDescent="0.3">
      <c r="AB484" s="71" t="s">
        <v>969</v>
      </c>
      <c r="AC484" s="72" t="s">
        <v>968</v>
      </c>
      <c r="AD484" s="73" t="str">
        <f t="shared" si="28"/>
        <v>25-29</v>
      </c>
      <c r="AE484" s="74">
        <f t="shared" si="29"/>
        <v>29</v>
      </c>
      <c r="AF484" s="71" t="s">
        <v>997</v>
      </c>
      <c r="AG484" s="73" t="s">
        <v>176</v>
      </c>
      <c r="AS484" s="3">
        <v>47191</v>
      </c>
      <c r="AT484" s="3">
        <v>204</v>
      </c>
      <c r="AU484" s="3" t="s">
        <v>3803</v>
      </c>
      <c r="AV484" s="3">
        <v>11.04</v>
      </c>
      <c r="AX484" s="3" t="s">
        <v>3059</v>
      </c>
      <c r="AY484" s="65" t="s">
        <v>3060</v>
      </c>
      <c r="BA484" s="108" t="s">
        <v>4416</v>
      </c>
      <c r="BB484" s="182">
        <v>2102003</v>
      </c>
    </row>
    <row r="485" spans="28:54" ht="15.75" thickBot="1" x14ac:dyDescent="0.3">
      <c r="AB485" s="71" t="s">
        <v>969</v>
      </c>
      <c r="AC485" s="72" t="s">
        <v>968</v>
      </c>
      <c r="AD485" s="73" t="str">
        <f t="shared" si="28"/>
        <v>25-30</v>
      </c>
      <c r="AE485" s="74">
        <f t="shared" si="29"/>
        <v>30</v>
      </c>
      <c r="AF485" s="71" t="s">
        <v>998</v>
      </c>
      <c r="AG485" s="73" t="s">
        <v>1956</v>
      </c>
      <c r="AS485" s="3">
        <v>47192</v>
      </c>
      <c r="AT485" s="3">
        <v>201</v>
      </c>
      <c r="AU485" s="3" t="s">
        <v>3804</v>
      </c>
      <c r="AV485" s="3">
        <v>4.1399999999999997</v>
      </c>
      <c r="AX485" s="3" t="s">
        <v>3061</v>
      </c>
      <c r="AY485" s="65" t="s">
        <v>3062</v>
      </c>
      <c r="BA485" s="109" t="s">
        <v>4417</v>
      </c>
      <c r="BB485" s="183">
        <v>2102004</v>
      </c>
    </row>
    <row r="486" spans="28:54" ht="15.75" thickBot="1" x14ac:dyDescent="0.3">
      <c r="AB486" s="71" t="s">
        <v>969</v>
      </c>
      <c r="AC486" s="72" t="s">
        <v>968</v>
      </c>
      <c r="AD486" s="73" t="str">
        <f t="shared" si="28"/>
        <v>25-31</v>
      </c>
      <c r="AE486" s="74">
        <f t="shared" si="29"/>
        <v>31</v>
      </c>
      <c r="AF486" s="71" t="s">
        <v>999</v>
      </c>
      <c r="AG486" s="73" t="s">
        <v>1913</v>
      </c>
      <c r="AS486" s="3">
        <v>47241</v>
      </c>
      <c r="AT486" s="3">
        <v>204</v>
      </c>
      <c r="AU486" s="3" t="s">
        <v>3805</v>
      </c>
      <c r="AV486" s="3">
        <v>11.04</v>
      </c>
      <c r="AX486" s="3" t="s">
        <v>3063</v>
      </c>
      <c r="AY486" s="65" t="s">
        <v>3064</v>
      </c>
      <c r="BA486" s="108" t="s">
        <v>4418</v>
      </c>
      <c r="BB486" s="182">
        <v>2102005</v>
      </c>
    </row>
    <row r="487" spans="28:54" ht="15.75" thickBot="1" x14ac:dyDescent="0.3">
      <c r="AB487" s="71" t="s">
        <v>969</v>
      </c>
      <c r="AC487" s="72" t="s">
        <v>968</v>
      </c>
      <c r="AD487" s="73" t="str">
        <f t="shared" si="28"/>
        <v>25-32</v>
      </c>
      <c r="AE487" s="74">
        <f t="shared" si="29"/>
        <v>32</v>
      </c>
      <c r="AF487" s="71" t="s">
        <v>1000</v>
      </c>
      <c r="AG487" s="73" t="s">
        <v>182</v>
      </c>
      <c r="AS487" s="3">
        <v>47242</v>
      </c>
      <c r="AT487" s="3">
        <v>203</v>
      </c>
      <c r="AU487" s="3" t="s">
        <v>3316</v>
      </c>
      <c r="AV487" s="3">
        <v>13.8</v>
      </c>
      <c r="AX487" s="3" t="s">
        <v>3065</v>
      </c>
      <c r="AY487" s="65" t="s">
        <v>3066</v>
      </c>
      <c r="BA487" s="109" t="s">
        <v>4419</v>
      </c>
      <c r="BB487" s="183">
        <v>2104001</v>
      </c>
    </row>
    <row r="488" spans="28:54" ht="15.75" thickBot="1" x14ac:dyDescent="0.3">
      <c r="AB488" s="71" t="s">
        <v>969</v>
      </c>
      <c r="AC488" s="72" t="s">
        <v>968</v>
      </c>
      <c r="AD488" s="73" t="str">
        <f t="shared" si="28"/>
        <v>25-33</v>
      </c>
      <c r="AE488" s="74">
        <f t="shared" si="29"/>
        <v>33</v>
      </c>
      <c r="AF488" s="71" t="s">
        <v>1001</v>
      </c>
      <c r="AG488" s="73" t="s">
        <v>1930</v>
      </c>
      <c r="AS488" s="3">
        <v>47521</v>
      </c>
      <c r="AT488" s="3">
        <v>202</v>
      </c>
      <c r="AU488" s="3" t="s">
        <v>3313</v>
      </c>
      <c r="AV488" s="3">
        <v>6.9</v>
      </c>
      <c r="AX488" s="3" t="s">
        <v>3067</v>
      </c>
      <c r="AY488" s="65" t="s">
        <v>3068</v>
      </c>
      <c r="BA488" s="108" t="s">
        <v>4420</v>
      </c>
      <c r="BB488" s="182">
        <v>2104002</v>
      </c>
    </row>
    <row r="489" spans="28:54" ht="15.75" thickBot="1" x14ac:dyDescent="0.3">
      <c r="AB489" s="71" t="s">
        <v>969</v>
      </c>
      <c r="AC489" s="72" t="s">
        <v>968</v>
      </c>
      <c r="AD489" s="73" t="str">
        <f t="shared" si="28"/>
        <v>25-34</v>
      </c>
      <c r="AE489" s="74">
        <f t="shared" si="29"/>
        <v>34</v>
      </c>
      <c r="AF489" s="71" t="s">
        <v>1002</v>
      </c>
      <c r="AG489" s="73" t="s">
        <v>184</v>
      </c>
      <c r="AS489" s="3">
        <v>47522</v>
      </c>
      <c r="AT489" s="3">
        <v>204</v>
      </c>
      <c r="AU489" s="3" t="s">
        <v>3806</v>
      </c>
      <c r="AV489" s="3">
        <v>11.04</v>
      </c>
      <c r="AX489" s="3" t="s">
        <v>3069</v>
      </c>
      <c r="AY489" s="65" t="s">
        <v>3070</v>
      </c>
      <c r="BA489" s="109" t="s">
        <v>4421</v>
      </c>
      <c r="BB489" s="183">
        <v>2104003</v>
      </c>
    </row>
    <row r="490" spans="28:54" ht="30.75" thickBot="1" x14ac:dyDescent="0.3">
      <c r="AB490" s="71" t="s">
        <v>969</v>
      </c>
      <c r="AC490" s="72" t="s">
        <v>968</v>
      </c>
      <c r="AD490" s="73" t="str">
        <f t="shared" si="28"/>
        <v>25-35</v>
      </c>
      <c r="AE490" s="74">
        <f t="shared" si="29"/>
        <v>35</v>
      </c>
      <c r="AF490" s="71" t="s">
        <v>1003</v>
      </c>
      <c r="AG490" s="73" t="s">
        <v>1841</v>
      </c>
      <c r="AS490" s="3">
        <v>47611</v>
      </c>
      <c r="AT490" s="3">
        <v>201</v>
      </c>
      <c r="AU490" s="3" t="s">
        <v>3807</v>
      </c>
      <c r="AV490" s="3">
        <v>4.1399999999999997</v>
      </c>
      <c r="AX490" s="3" t="s">
        <v>3071</v>
      </c>
      <c r="AY490" s="65" t="s">
        <v>3072</v>
      </c>
      <c r="BA490" s="108" t="s">
        <v>4422</v>
      </c>
      <c r="BB490" s="182">
        <v>2105101</v>
      </c>
    </row>
    <row r="491" spans="28:54" ht="15.75" thickBot="1" x14ac:dyDescent="0.3">
      <c r="AB491" s="71" t="s">
        <v>969</v>
      </c>
      <c r="AC491" s="72" t="s">
        <v>968</v>
      </c>
      <c r="AD491" s="73" t="str">
        <f t="shared" si="28"/>
        <v>25-36</v>
      </c>
      <c r="AE491" s="74">
        <f t="shared" si="29"/>
        <v>36</v>
      </c>
      <c r="AF491" s="71" t="s">
        <v>1004</v>
      </c>
      <c r="AG491" s="73" t="s">
        <v>1957</v>
      </c>
      <c r="AS491" s="3">
        <v>47612</v>
      </c>
      <c r="AT491" s="3">
        <v>204</v>
      </c>
      <c r="AU491" s="3" t="s">
        <v>3808</v>
      </c>
      <c r="AV491" s="3">
        <v>11.04</v>
      </c>
      <c r="AX491" s="3" t="s">
        <v>3073</v>
      </c>
      <c r="AY491" s="65" t="s">
        <v>3074</v>
      </c>
      <c r="BA491" s="109" t="s">
        <v>4423</v>
      </c>
      <c r="BB491" s="183">
        <v>2105201</v>
      </c>
    </row>
    <row r="492" spans="28:54" ht="15.75" thickBot="1" x14ac:dyDescent="0.3">
      <c r="AB492" s="71" t="s">
        <v>969</v>
      </c>
      <c r="AC492" s="72" t="s">
        <v>968</v>
      </c>
      <c r="AD492" s="73" t="str">
        <f t="shared" si="28"/>
        <v>25-37</v>
      </c>
      <c r="AE492" s="74">
        <f t="shared" si="29"/>
        <v>37</v>
      </c>
      <c r="AF492" s="71" t="s">
        <v>185</v>
      </c>
      <c r="AG492" s="73" t="s">
        <v>1958</v>
      </c>
      <c r="AS492" s="3">
        <v>47731</v>
      </c>
      <c r="AT492" s="3">
        <v>201</v>
      </c>
      <c r="AU492" s="3" t="s">
        <v>3809</v>
      </c>
      <c r="AV492" s="3">
        <v>4.1399999999999997</v>
      </c>
      <c r="AX492" s="3" t="s">
        <v>3075</v>
      </c>
      <c r="AY492" s="65" t="s">
        <v>3076</v>
      </c>
      <c r="BA492" s="108" t="s">
        <v>4424</v>
      </c>
      <c r="BB492" s="182">
        <v>2105202</v>
      </c>
    </row>
    <row r="493" spans="28:54" ht="30.75" thickBot="1" x14ac:dyDescent="0.3">
      <c r="AB493" s="71" t="s">
        <v>969</v>
      </c>
      <c r="AC493" s="72" t="s">
        <v>968</v>
      </c>
      <c r="AD493" s="73" t="str">
        <f t="shared" si="28"/>
        <v>25-38</v>
      </c>
      <c r="AE493" s="74">
        <f t="shared" si="29"/>
        <v>38</v>
      </c>
      <c r="AF493" s="71" t="s">
        <v>1005</v>
      </c>
      <c r="AG493" s="73" t="s">
        <v>194</v>
      </c>
      <c r="AS493" s="3">
        <v>47732</v>
      </c>
      <c r="AT493" s="3">
        <v>204</v>
      </c>
      <c r="AU493" s="3" t="s">
        <v>3810</v>
      </c>
      <c r="AV493" s="3">
        <v>11.04</v>
      </c>
      <c r="AX493" s="3" t="s">
        <v>3077</v>
      </c>
      <c r="AY493" s="65" t="s">
        <v>3078</v>
      </c>
      <c r="BA493" s="109" t="s">
        <v>4425</v>
      </c>
      <c r="BB493" s="183">
        <v>2108101</v>
      </c>
    </row>
    <row r="494" spans="28:54" ht="15.75" thickBot="1" x14ac:dyDescent="0.3">
      <c r="AB494" s="71" t="s">
        <v>969</v>
      </c>
      <c r="AC494" s="72" t="s">
        <v>968</v>
      </c>
      <c r="AD494" s="73" t="str">
        <f t="shared" si="28"/>
        <v>25-39</v>
      </c>
      <c r="AE494" s="74">
        <f t="shared" si="29"/>
        <v>39</v>
      </c>
      <c r="AF494" s="71" t="s">
        <v>1006</v>
      </c>
      <c r="AG494" s="73" t="s">
        <v>1959</v>
      </c>
      <c r="AS494" s="3">
        <v>47811</v>
      </c>
      <c r="AT494" s="3">
        <v>201</v>
      </c>
      <c r="AU494" s="3" t="s">
        <v>3308</v>
      </c>
      <c r="AV494" s="3">
        <v>4.1399999999999997</v>
      </c>
      <c r="AX494" s="3" t="s">
        <v>3079</v>
      </c>
      <c r="AY494" s="65" t="s">
        <v>3080</v>
      </c>
      <c r="BA494" s="108" t="s">
        <v>4426</v>
      </c>
      <c r="BB494" s="182">
        <v>2108102</v>
      </c>
    </row>
    <row r="495" spans="28:54" ht="15.75" thickBot="1" x14ac:dyDescent="0.3">
      <c r="AB495" s="71" t="s">
        <v>969</v>
      </c>
      <c r="AC495" s="72" t="s">
        <v>968</v>
      </c>
      <c r="AD495" s="73" t="str">
        <f t="shared" si="28"/>
        <v>25-40</v>
      </c>
      <c r="AE495" s="74">
        <f t="shared" si="29"/>
        <v>40</v>
      </c>
      <c r="AF495" s="71" t="s">
        <v>1007</v>
      </c>
      <c r="AG495" s="73" t="s">
        <v>1842</v>
      </c>
      <c r="AS495" s="3">
        <v>47812</v>
      </c>
      <c r="AT495" s="3">
        <v>204</v>
      </c>
      <c r="AU495" s="3" t="s">
        <v>3811</v>
      </c>
      <c r="AV495" s="3">
        <v>11.04</v>
      </c>
      <c r="AX495" s="3" t="s">
        <v>3081</v>
      </c>
      <c r="AY495" s="65" t="s">
        <v>3082</v>
      </c>
      <c r="BA495" s="109" t="s">
        <v>4427</v>
      </c>
      <c r="BB495" s="183">
        <v>2108901</v>
      </c>
    </row>
    <row r="496" spans="28:54" ht="30.75" thickBot="1" x14ac:dyDescent="0.3">
      <c r="AB496" s="71" t="s">
        <v>969</v>
      </c>
      <c r="AC496" s="72" t="s">
        <v>968</v>
      </c>
      <c r="AD496" s="73" t="str">
        <f t="shared" si="28"/>
        <v>25-41</v>
      </c>
      <c r="AE496" s="74">
        <f t="shared" si="29"/>
        <v>41</v>
      </c>
      <c r="AF496" s="71" t="s">
        <v>1008</v>
      </c>
      <c r="AG496" s="73" t="s">
        <v>1960</v>
      </c>
      <c r="AS496" s="3">
        <v>47813</v>
      </c>
      <c r="AT496" s="3">
        <v>203</v>
      </c>
      <c r="AU496" s="3" t="s">
        <v>3317</v>
      </c>
      <c r="AV496" s="3">
        <v>13.8</v>
      </c>
      <c r="AX496" s="3" t="s">
        <v>3083</v>
      </c>
      <c r="AY496" s="65" t="s">
        <v>3084</v>
      </c>
      <c r="BA496" s="108" t="s">
        <v>4428</v>
      </c>
      <c r="BB496" s="182">
        <v>2108902</v>
      </c>
    </row>
    <row r="497" spans="28:54" ht="30.75" thickBot="1" x14ac:dyDescent="0.3">
      <c r="AB497" s="71" t="s">
        <v>969</v>
      </c>
      <c r="AC497" s="72" t="s">
        <v>968</v>
      </c>
      <c r="AD497" s="73" t="str">
        <f t="shared" si="28"/>
        <v>25-42</v>
      </c>
      <c r="AE497" s="74">
        <f t="shared" si="29"/>
        <v>42</v>
      </c>
      <c r="AF497" s="71" t="s">
        <v>1009</v>
      </c>
      <c r="AG497" s="73" t="s">
        <v>1961</v>
      </c>
      <c r="AS497" s="3">
        <v>47911</v>
      </c>
      <c r="AT497" s="3">
        <v>201</v>
      </c>
      <c r="AU497" s="3" t="s">
        <v>3812</v>
      </c>
      <c r="AV497" s="3">
        <v>4.1399999999999997</v>
      </c>
      <c r="AX497" s="3" t="s">
        <v>3085</v>
      </c>
      <c r="AY497" s="65" t="s">
        <v>3086</v>
      </c>
      <c r="BA497" s="109" t="s">
        <v>4429</v>
      </c>
      <c r="BB497" s="183">
        <v>2108903</v>
      </c>
    </row>
    <row r="498" spans="28:54" ht="15.75" thickBot="1" x14ac:dyDescent="0.3">
      <c r="AB498" s="71" t="s">
        <v>969</v>
      </c>
      <c r="AC498" s="72" t="s">
        <v>968</v>
      </c>
      <c r="AD498" s="73" t="str">
        <f t="shared" si="28"/>
        <v>25-43</v>
      </c>
      <c r="AE498" s="74">
        <f t="shared" si="29"/>
        <v>43</v>
      </c>
      <c r="AF498" s="71" t="s">
        <v>1010</v>
      </c>
      <c r="AG498" s="73" t="s">
        <v>1962</v>
      </c>
      <c r="AS498" s="3">
        <v>47912</v>
      </c>
      <c r="AT498" s="3">
        <v>202</v>
      </c>
      <c r="AU498" s="3" t="s">
        <v>3813</v>
      </c>
      <c r="AV498" s="3">
        <v>6.9</v>
      </c>
      <c r="AX498" s="3" t="s">
        <v>3087</v>
      </c>
      <c r="AY498" s="65" t="s">
        <v>3088</v>
      </c>
      <c r="BA498" s="108" t="s">
        <v>3900</v>
      </c>
      <c r="BB498" s="182">
        <v>2131301</v>
      </c>
    </row>
    <row r="499" spans="28:54" ht="15.75" thickBot="1" x14ac:dyDescent="0.3">
      <c r="AB499" s="71" t="s">
        <v>969</v>
      </c>
      <c r="AC499" s="72" t="s">
        <v>968</v>
      </c>
      <c r="AD499" s="73" t="str">
        <f t="shared" si="28"/>
        <v>25-44</v>
      </c>
      <c r="AE499" s="74">
        <f t="shared" si="29"/>
        <v>44</v>
      </c>
      <c r="AF499" s="71" t="s">
        <v>1011</v>
      </c>
      <c r="AG499" s="73" t="s">
        <v>1963</v>
      </c>
      <c r="AS499" s="3">
        <v>47913</v>
      </c>
      <c r="AT499" s="3">
        <v>203</v>
      </c>
      <c r="AU499" s="3" t="s">
        <v>3814</v>
      </c>
      <c r="AV499" s="3">
        <v>13.8</v>
      </c>
      <c r="AX499" s="3" t="s">
        <v>3089</v>
      </c>
      <c r="AY499" s="65" t="s">
        <v>3090</v>
      </c>
      <c r="BA499" s="109" t="s">
        <v>4430</v>
      </c>
      <c r="BB499" s="183">
        <v>2139101</v>
      </c>
    </row>
    <row r="500" spans="28:54" ht="15.75" thickBot="1" x14ac:dyDescent="0.3">
      <c r="AB500" s="71" t="s">
        <v>969</v>
      </c>
      <c r="AC500" s="72" t="s">
        <v>968</v>
      </c>
      <c r="AD500" s="73" t="str">
        <f t="shared" si="28"/>
        <v>25-45</v>
      </c>
      <c r="AE500" s="74">
        <f t="shared" si="29"/>
        <v>45</v>
      </c>
      <c r="AF500" s="71" t="s">
        <v>1012</v>
      </c>
      <c r="AG500" s="73" t="s">
        <v>1964</v>
      </c>
      <c r="AS500" s="3">
        <v>47914</v>
      </c>
      <c r="AT500" s="3">
        <v>204</v>
      </c>
      <c r="AU500" s="3" t="s">
        <v>3815</v>
      </c>
      <c r="AV500" s="3">
        <v>11.04</v>
      </c>
      <c r="AX500" s="3" t="s">
        <v>3091</v>
      </c>
      <c r="AY500" s="65" t="s">
        <v>3092</v>
      </c>
      <c r="BA500" s="108" t="s">
        <v>4431</v>
      </c>
      <c r="BB500" s="182">
        <v>2139102</v>
      </c>
    </row>
    <row r="501" spans="28:54" ht="30.75" thickBot="1" x14ac:dyDescent="0.3">
      <c r="AB501" s="71" t="s">
        <v>969</v>
      </c>
      <c r="AC501" s="72" t="s">
        <v>968</v>
      </c>
      <c r="AD501" s="73" t="str">
        <f t="shared" si="28"/>
        <v>25-46</v>
      </c>
      <c r="AE501" s="74">
        <f t="shared" si="29"/>
        <v>46</v>
      </c>
      <c r="AF501" s="71" t="s">
        <v>1013</v>
      </c>
      <c r="AG501" s="73" t="s">
        <v>1735</v>
      </c>
      <c r="AS501" s="3">
        <v>47921</v>
      </c>
      <c r="AT501" s="3">
        <v>201</v>
      </c>
      <c r="AU501" s="3" t="s">
        <v>3816</v>
      </c>
      <c r="AV501" s="3">
        <v>4.1399999999999997</v>
      </c>
      <c r="AX501" s="3" t="s">
        <v>3093</v>
      </c>
      <c r="AY501" s="65" t="s">
        <v>3094</v>
      </c>
      <c r="BA501" s="109" t="s">
        <v>4432</v>
      </c>
      <c r="BB501" s="183">
        <v>2139201</v>
      </c>
    </row>
    <row r="502" spans="28:54" ht="30.75" thickBot="1" x14ac:dyDescent="0.3">
      <c r="AB502" s="71" t="s">
        <v>969</v>
      </c>
      <c r="AC502" s="72" t="s">
        <v>968</v>
      </c>
      <c r="AD502" s="73" t="str">
        <f t="shared" si="28"/>
        <v>25-47</v>
      </c>
      <c r="AE502" s="74">
        <f t="shared" si="29"/>
        <v>47</v>
      </c>
      <c r="AF502" s="71" t="s">
        <v>1014</v>
      </c>
      <c r="AG502" s="73" t="s">
        <v>220</v>
      </c>
      <c r="AS502" s="3">
        <v>47922</v>
      </c>
      <c r="AT502" s="3">
        <v>202</v>
      </c>
      <c r="AU502" s="3" t="s">
        <v>3817</v>
      </c>
      <c r="AV502" s="3">
        <v>6.9</v>
      </c>
      <c r="AX502" s="3" t="s">
        <v>3095</v>
      </c>
      <c r="AY502" s="65" t="s">
        <v>3096</v>
      </c>
      <c r="BA502" s="108" t="s">
        <v>4433</v>
      </c>
      <c r="BB502" s="182">
        <v>2139202</v>
      </c>
    </row>
    <row r="503" spans="28:54" ht="30.75" thickBot="1" x14ac:dyDescent="0.3">
      <c r="AB503" s="71" t="s">
        <v>969</v>
      </c>
      <c r="AC503" s="72" t="s">
        <v>968</v>
      </c>
      <c r="AD503" s="73" t="str">
        <f t="shared" si="28"/>
        <v>25-48</v>
      </c>
      <c r="AE503" s="74">
        <f t="shared" si="29"/>
        <v>48</v>
      </c>
      <c r="AF503" s="71" t="s">
        <v>1015</v>
      </c>
      <c r="AG503" s="73" t="s">
        <v>1846</v>
      </c>
      <c r="AS503" s="3">
        <v>47923</v>
      </c>
      <c r="AT503" s="3">
        <v>203</v>
      </c>
      <c r="AU503" s="3" t="s">
        <v>3612</v>
      </c>
      <c r="AV503" s="3">
        <v>13.8</v>
      </c>
      <c r="AX503" s="3" t="s">
        <v>3097</v>
      </c>
      <c r="AY503" s="65" t="s">
        <v>3098</v>
      </c>
      <c r="BA503" s="109" t="s">
        <v>4434</v>
      </c>
      <c r="BB503" s="183">
        <v>2139203</v>
      </c>
    </row>
    <row r="504" spans="28:54" ht="15.75" thickBot="1" x14ac:dyDescent="0.3">
      <c r="AB504" s="71" t="s">
        <v>969</v>
      </c>
      <c r="AC504" s="72" t="s">
        <v>968</v>
      </c>
      <c r="AD504" s="73" t="str">
        <f t="shared" si="28"/>
        <v>25-49</v>
      </c>
      <c r="AE504" s="74">
        <f t="shared" si="29"/>
        <v>49</v>
      </c>
      <c r="AF504" s="71" t="s">
        <v>1016</v>
      </c>
      <c r="AG504" s="73" t="s">
        <v>232</v>
      </c>
      <c r="AS504" s="3">
        <v>47924</v>
      </c>
      <c r="AT504" s="3">
        <v>204</v>
      </c>
      <c r="AU504" s="3" t="s">
        <v>3613</v>
      </c>
      <c r="AV504" s="3">
        <v>11.04</v>
      </c>
      <c r="AX504" s="3" t="s">
        <v>3099</v>
      </c>
      <c r="AY504" s="65" t="s">
        <v>3100</v>
      </c>
      <c r="BA504" s="108" t="s">
        <v>4435</v>
      </c>
      <c r="BB504" s="182">
        <v>2139301</v>
      </c>
    </row>
    <row r="505" spans="28:54" ht="15.75" thickBot="1" x14ac:dyDescent="0.3">
      <c r="AB505" s="71" t="s">
        <v>969</v>
      </c>
      <c r="AC505" s="72" t="s">
        <v>968</v>
      </c>
      <c r="AD505" s="73" t="str">
        <f t="shared" si="28"/>
        <v>25-50</v>
      </c>
      <c r="AE505" s="74">
        <f t="shared" si="29"/>
        <v>50</v>
      </c>
      <c r="AF505" s="71" t="s">
        <v>1017</v>
      </c>
      <c r="AG505" s="73" t="s">
        <v>1965</v>
      </c>
      <c r="AS505" s="3">
        <v>47991</v>
      </c>
      <c r="AT505" s="3">
        <v>201</v>
      </c>
      <c r="AU505" s="3" t="s">
        <v>3818</v>
      </c>
      <c r="AV505" s="3">
        <v>4.1399999999999997</v>
      </c>
      <c r="BA505" s="109" t="s">
        <v>4436</v>
      </c>
      <c r="BB505" s="183">
        <v>2139901</v>
      </c>
    </row>
    <row r="506" spans="28:54" ht="15.75" thickBot="1" x14ac:dyDescent="0.3">
      <c r="AB506" s="71" t="s">
        <v>969</v>
      </c>
      <c r="AC506" s="72" t="s">
        <v>968</v>
      </c>
      <c r="AD506" s="73" t="str">
        <f t="shared" si="28"/>
        <v>25-51</v>
      </c>
      <c r="AE506" s="74">
        <f t="shared" si="29"/>
        <v>51</v>
      </c>
      <c r="AF506" s="71" t="s">
        <v>1018</v>
      </c>
      <c r="AG506" s="73" t="s">
        <v>1966</v>
      </c>
      <c r="AS506" s="3">
        <v>47992</v>
      </c>
      <c r="AT506" s="3">
        <v>202</v>
      </c>
      <c r="AU506" s="3" t="s">
        <v>3819</v>
      </c>
      <c r="AV506" s="3">
        <v>6.9</v>
      </c>
      <c r="BA506" s="108" t="s">
        <v>4437</v>
      </c>
      <c r="BB506" s="182">
        <v>2139902</v>
      </c>
    </row>
    <row r="507" spans="28:54" ht="15.75" thickBot="1" x14ac:dyDescent="0.3">
      <c r="AB507" s="71" t="s">
        <v>969</v>
      </c>
      <c r="AC507" s="72" t="s">
        <v>968</v>
      </c>
      <c r="AD507" s="73" t="str">
        <f t="shared" si="28"/>
        <v>25-52</v>
      </c>
      <c r="AE507" s="74">
        <f t="shared" si="29"/>
        <v>52</v>
      </c>
      <c r="AF507" s="71" t="s">
        <v>890</v>
      </c>
      <c r="AG507" s="73" t="s">
        <v>1967</v>
      </c>
      <c r="AS507" s="3">
        <v>47993</v>
      </c>
      <c r="AT507" s="3">
        <v>203</v>
      </c>
      <c r="AU507" s="3" t="s">
        <v>3820</v>
      </c>
      <c r="AV507" s="3">
        <v>13.8</v>
      </c>
      <c r="BA507" s="109" t="s">
        <v>4438</v>
      </c>
      <c r="BB507" s="183">
        <v>2141001</v>
      </c>
    </row>
    <row r="508" spans="28:54" ht="15.75" thickBot="1" x14ac:dyDescent="0.3">
      <c r="AB508" s="71" t="s">
        <v>969</v>
      </c>
      <c r="AC508" s="72" t="s">
        <v>968</v>
      </c>
      <c r="AD508" s="73" t="str">
        <f t="shared" si="28"/>
        <v>25-53</v>
      </c>
      <c r="AE508" s="74">
        <f t="shared" si="29"/>
        <v>53</v>
      </c>
      <c r="AF508" s="71" t="s">
        <v>1019</v>
      </c>
      <c r="AG508" s="73" t="s">
        <v>1848</v>
      </c>
      <c r="AS508" s="3">
        <v>47994</v>
      </c>
      <c r="AT508" s="3">
        <v>204</v>
      </c>
      <c r="AU508" s="3" t="s">
        <v>3821</v>
      </c>
      <c r="AV508" s="3">
        <v>11.04</v>
      </c>
      <c r="BA508" s="108" t="s">
        <v>4439</v>
      </c>
      <c r="BB508" s="182">
        <v>2141002</v>
      </c>
    </row>
    <row r="509" spans="28:54" ht="15.75" thickBot="1" x14ac:dyDescent="0.3">
      <c r="AB509" s="71" t="s">
        <v>969</v>
      </c>
      <c r="AC509" s="72" t="s">
        <v>968</v>
      </c>
      <c r="AD509" s="73" t="str">
        <f t="shared" si="28"/>
        <v>25-54</v>
      </c>
      <c r="AE509" s="74">
        <f t="shared" si="29"/>
        <v>54</v>
      </c>
      <c r="AF509" s="71" t="s">
        <v>1020</v>
      </c>
      <c r="AG509" s="73" t="s">
        <v>256</v>
      </c>
      <c r="AS509" s="3">
        <v>58111</v>
      </c>
      <c r="AT509" s="3">
        <v>301</v>
      </c>
      <c r="AU509" s="3" t="s">
        <v>3351</v>
      </c>
      <c r="AV509" s="3">
        <v>4.1399999999999997</v>
      </c>
      <c r="BA509" s="109" t="s">
        <v>4440</v>
      </c>
      <c r="BB509" s="183">
        <v>2141003</v>
      </c>
    </row>
    <row r="510" spans="28:54" ht="15.75" thickBot="1" x14ac:dyDescent="0.3">
      <c r="AB510" s="71" t="s">
        <v>969</v>
      </c>
      <c r="AC510" s="72" t="s">
        <v>968</v>
      </c>
      <c r="AD510" s="73" t="str">
        <f t="shared" si="28"/>
        <v>25-55</v>
      </c>
      <c r="AE510" s="74">
        <f t="shared" si="29"/>
        <v>55</v>
      </c>
      <c r="AF510" s="71" t="s">
        <v>1021</v>
      </c>
      <c r="AG510" s="73" t="s">
        <v>1803</v>
      </c>
      <c r="AS510" s="3">
        <v>58112</v>
      </c>
      <c r="AT510" s="3">
        <v>104</v>
      </c>
      <c r="AU510" s="3" t="s">
        <v>3303</v>
      </c>
      <c r="AV510" s="3">
        <v>8</v>
      </c>
      <c r="BA510" s="108" t="s">
        <v>4441</v>
      </c>
      <c r="BB510" s="182">
        <v>2141004</v>
      </c>
    </row>
    <row r="511" spans="28:54" ht="15.75" thickBot="1" x14ac:dyDescent="0.3">
      <c r="AB511" s="71" t="s">
        <v>969</v>
      </c>
      <c r="AC511" s="72" t="s">
        <v>968</v>
      </c>
      <c r="AD511" s="73" t="str">
        <f t="shared" si="28"/>
        <v>25-56</v>
      </c>
      <c r="AE511" s="74">
        <f t="shared" si="29"/>
        <v>56</v>
      </c>
      <c r="AF511" s="71" t="s">
        <v>1022</v>
      </c>
      <c r="AG511" s="73" t="s">
        <v>1782</v>
      </c>
      <c r="AS511" s="3">
        <v>58113</v>
      </c>
      <c r="AT511" s="3">
        <v>101</v>
      </c>
      <c r="AU511" s="3" t="s">
        <v>3822</v>
      </c>
      <c r="AV511" s="3">
        <v>4.1399999999999997</v>
      </c>
      <c r="BA511" s="109" t="s">
        <v>4442</v>
      </c>
      <c r="BB511" s="183">
        <v>2142001</v>
      </c>
    </row>
    <row r="512" spans="28:54" ht="15.75" thickBot="1" x14ac:dyDescent="0.3">
      <c r="AB512" s="71" t="s">
        <v>969</v>
      </c>
      <c r="AC512" s="72" t="s">
        <v>968</v>
      </c>
      <c r="AD512" s="73" t="str">
        <f t="shared" si="28"/>
        <v>25-57</v>
      </c>
      <c r="AE512" s="74">
        <f t="shared" si="29"/>
        <v>57</v>
      </c>
      <c r="AF512" s="71" t="s">
        <v>1023</v>
      </c>
      <c r="AG512" s="73" t="s">
        <v>264</v>
      </c>
      <c r="AS512" s="3">
        <v>60201</v>
      </c>
      <c r="AT512" s="3">
        <v>301</v>
      </c>
      <c r="AU512" s="3" t="s">
        <v>3352</v>
      </c>
      <c r="AV512" s="3">
        <v>4.1399999999999997</v>
      </c>
      <c r="BA512" s="108" t="s">
        <v>4443</v>
      </c>
      <c r="BB512" s="182">
        <v>2143001</v>
      </c>
    </row>
    <row r="513" spans="28:54" ht="15.75" thickBot="1" x14ac:dyDescent="0.3">
      <c r="AB513" s="71" t="s">
        <v>969</v>
      </c>
      <c r="AC513" s="72" t="s">
        <v>968</v>
      </c>
      <c r="AD513" s="73" t="str">
        <f t="shared" si="28"/>
        <v>25-58</v>
      </c>
      <c r="AE513" s="74">
        <f t="shared" si="29"/>
        <v>58</v>
      </c>
      <c r="AF513" s="71" t="s">
        <v>1024</v>
      </c>
      <c r="AG513" s="73" t="s">
        <v>1806</v>
      </c>
      <c r="AS513" s="3">
        <v>60202</v>
      </c>
      <c r="AT513" s="3">
        <v>304</v>
      </c>
      <c r="AU513" s="3" t="s">
        <v>3448</v>
      </c>
      <c r="AV513" s="3">
        <v>9.66</v>
      </c>
      <c r="BA513" s="109" t="s">
        <v>4444</v>
      </c>
      <c r="BB513" s="183">
        <v>2151201</v>
      </c>
    </row>
    <row r="514" spans="28:54" ht="15.75" thickBot="1" x14ac:dyDescent="0.3">
      <c r="AB514" s="71" t="s">
        <v>969</v>
      </c>
      <c r="AC514" s="72" t="s">
        <v>968</v>
      </c>
      <c r="AD514" s="73" t="str">
        <f t="shared" si="28"/>
        <v>25-59</v>
      </c>
      <c r="AE514" s="74">
        <f t="shared" si="29"/>
        <v>59</v>
      </c>
      <c r="AF514" s="71" t="s">
        <v>582</v>
      </c>
      <c r="AG514" s="73" t="s">
        <v>1743</v>
      </c>
      <c r="AS514" s="3">
        <v>64991</v>
      </c>
      <c r="AT514" s="3">
        <v>401</v>
      </c>
      <c r="AU514" s="3" t="s">
        <v>2836</v>
      </c>
      <c r="AV514" s="3">
        <v>13.1</v>
      </c>
      <c r="BA514" s="108" t="s">
        <v>4445</v>
      </c>
      <c r="BB514" s="182">
        <v>2152101</v>
      </c>
    </row>
    <row r="515" spans="28:54" ht="15.75" thickBot="1" x14ac:dyDescent="0.3">
      <c r="AB515" s="71" t="s">
        <v>969</v>
      </c>
      <c r="AC515" s="72" t="s">
        <v>968</v>
      </c>
      <c r="AD515" s="73" t="str">
        <f t="shared" ref="AD515:AD578" si="30">CONCATENATE(AC515,"-",AE515)</f>
        <v>25-60</v>
      </c>
      <c r="AE515" s="74">
        <f t="shared" ref="AE515:AE578" si="31">IF(AB515=AB514,1+AE514,1)</f>
        <v>60</v>
      </c>
      <c r="AF515" s="71" t="s">
        <v>1025</v>
      </c>
      <c r="AG515" s="73" t="s">
        <v>1890</v>
      </c>
      <c r="AS515" s="3">
        <v>64992</v>
      </c>
      <c r="AT515" s="3">
        <v>204</v>
      </c>
      <c r="AU515" s="3" t="s">
        <v>3336</v>
      </c>
      <c r="AV515" s="3">
        <v>11.04</v>
      </c>
      <c r="BA515" s="109" t="s">
        <v>4446</v>
      </c>
      <c r="BB515" s="183">
        <v>2152201</v>
      </c>
    </row>
    <row r="516" spans="28:54" ht="15.75" thickBot="1" x14ac:dyDescent="0.3">
      <c r="AB516" s="71" t="s">
        <v>969</v>
      </c>
      <c r="AC516" s="72" t="s">
        <v>968</v>
      </c>
      <c r="AD516" s="73" t="str">
        <f t="shared" si="30"/>
        <v>25-61</v>
      </c>
      <c r="AE516" s="74">
        <f t="shared" si="31"/>
        <v>61</v>
      </c>
      <c r="AF516" s="71" t="s">
        <v>1026</v>
      </c>
      <c r="AG516" s="73" t="s">
        <v>298</v>
      </c>
      <c r="AS516" s="3">
        <v>64993</v>
      </c>
      <c r="AT516" s="3">
        <v>303</v>
      </c>
      <c r="AU516" s="3" t="s">
        <v>3383</v>
      </c>
      <c r="AV516" s="3">
        <v>13.8</v>
      </c>
      <c r="BA516" s="108" t="s">
        <v>4447</v>
      </c>
      <c r="BB516" s="182">
        <v>2169001</v>
      </c>
    </row>
    <row r="517" spans="28:54" ht="15.75" thickBot="1" x14ac:dyDescent="0.3">
      <c r="AB517" s="71" t="s">
        <v>969</v>
      </c>
      <c r="AC517" s="72" t="s">
        <v>968</v>
      </c>
      <c r="AD517" s="73" t="str">
        <f t="shared" si="30"/>
        <v>25-62</v>
      </c>
      <c r="AE517" s="74">
        <f t="shared" si="31"/>
        <v>62</v>
      </c>
      <c r="AF517" s="71" t="s">
        <v>1027</v>
      </c>
      <c r="AG517" s="73" t="s">
        <v>1968</v>
      </c>
      <c r="AS517" s="3">
        <v>66111</v>
      </c>
      <c r="AT517" s="3">
        <v>401</v>
      </c>
      <c r="AU517" s="3" t="s">
        <v>3479</v>
      </c>
      <c r="AV517" s="3">
        <v>13.1</v>
      </c>
      <c r="BA517" s="109" t="s">
        <v>4448</v>
      </c>
      <c r="BB517" s="183">
        <v>2170201</v>
      </c>
    </row>
    <row r="518" spans="28:54" ht="15.75" thickBot="1" x14ac:dyDescent="0.3">
      <c r="AB518" s="71" t="s">
        <v>969</v>
      </c>
      <c r="AC518" s="72" t="s">
        <v>968</v>
      </c>
      <c r="AD518" s="73" t="str">
        <f t="shared" si="30"/>
        <v>25-63</v>
      </c>
      <c r="AE518" s="74">
        <f t="shared" si="31"/>
        <v>63</v>
      </c>
      <c r="AF518" s="71" t="s">
        <v>1028</v>
      </c>
      <c r="AG518" s="73" t="s">
        <v>1851</v>
      </c>
      <c r="AS518" s="3">
        <v>66112</v>
      </c>
      <c r="AT518" s="3">
        <v>304</v>
      </c>
      <c r="AU518" s="3" t="s">
        <v>3413</v>
      </c>
      <c r="AV518" s="3">
        <v>9.66</v>
      </c>
      <c r="BA518" s="108" t="s">
        <v>4449</v>
      </c>
      <c r="BB518" s="182">
        <v>2170901</v>
      </c>
    </row>
    <row r="519" spans="28:54" ht="15.75" thickBot="1" x14ac:dyDescent="0.3">
      <c r="AB519" s="71" t="s">
        <v>969</v>
      </c>
      <c r="AC519" s="72" t="s">
        <v>968</v>
      </c>
      <c r="AD519" s="73" t="str">
        <f t="shared" si="30"/>
        <v>25-64</v>
      </c>
      <c r="AE519" s="74">
        <f t="shared" si="31"/>
        <v>64</v>
      </c>
      <c r="AF519" s="71" t="s">
        <v>628</v>
      </c>
      <c r="AG519" s="73" t="s">
        <v>1969</v>
      </c>
      <c r="AS519" s="3">
        <v>69101</v>
      </c>
      <c r="AT519" s="3">
        <v>302</v>
      </c>
      <c r="AU519" s="3" t="s">
        <v>3363</v>
      </c>
      <c r="AV519" s="3">
        <v>8.66</v>
      </c>
      <c r="BA519" s="109" t="s">
        <v>4450</v>
      </c>
      <c r="BB519" s="183">
        <v>2170902</v>
      </c>
    </row>
    <row r="520" spans="28:54" ht="15.75" thickBot="1" x14ac:dyDescent="0.3">
      <c r="AB520" s="71" t="s">
        <v>969</v>
      </c>
      <c r="AC520" s="72" t="s">
        <v>968</v>
      </c>
      <c r="AD520" s="73" t="str">
        <f t="shared" si="30"/>
        <v>25-65</v>
      </c>
      <c r="AE520" s="74">
        <f t="shared" si="31"/>
        <v>65</v>
      </c>
      <c r="AF520" s="71" t="s">
        <v>1029</v>
      </c>
      <c r="AG520" s="73" t="s">
        <v>1891</v>
      </c>
      <c r="AS520" s="3">
        <v>69102</v>
      </c>
      <c r="AT520" s="3">
        <v>304</v>
      </c>
      <c r="AU520" s="3" t="s">
        <v>3449</v>
      </c>
      <c r="AV520" s="3">
        <v>7.66</v>
      </c>
      <c r="BA520" s="108" t="s">
        <v>4451</v>
      </c>
      <c r="BB520" s="182">
        <v>2181101</v>
      </c>
    </row>
    <row r="521" spans="28:54" ht="15.75" thickBot="1" x14ac:dyDescent="0.3">
      <c r="AB521" s="71" t="s">
        <v>969</v>
      </c>
      <c r="AC521" s="72" t="s">
        <v>968</v>
      </c>
      <c r="AD521" s="73" t="str">
        <f t="shared" si="30"/>
        <v>25-66</v>
      </c>
      <c r="AE521" s="74">
        <f t="shared" si="31"/>
        <v>66</v>
      </c>
      <c r="AF521" s="71" t="s">
        <v>1030</v>
      </c>
      <c r="AG521" s="73" t="s">
        <v>1855</v>
      </c>
      <c r="AS521" s="3">
        <v>69201</v>
      </c>
      <c r="AT521" s="3">
        <v>302</v>
      </c>
      <c r="AU521" s="3" t="s">
        <v>3823</v>
      </c>
      <c r="AV521" s="3">
        <v>8.66</v>
      </c>
      <c r="BA521" s="109" t="s">
        <v>4452</v>
      </c>
      <c r="BB521" s="183">
        <v>2181201</v>
      </c>
    </row>
    <row r="522" spans="28:54" ht="15.75" thickBot="1" x14ac:dyDescent="0.3">
      <c r="AB522" s="71" t="s">
        <v>969</v>
      </c>
      <c r="AC522" s="72" t="s">
        <v>968</v>
      </c>
      <c r="AD522" s="73" t="str">
        <f t="shared" si="30"/>
        <v>25-67</v>
      </c>
      <c r="AE522" s="74">
        <f t="shared" si="31"/>
        <v>67</v>
      </c>
      <c r="AF522" s="71" t="s">
        <v>1031</v>
      </c>
      <c r="AG522" s="73" t="s">
        <v>1892</v>
      </c>
      <c r="AS522" s="3">
        <v>69202</v>
      </c>
      <c r="AT522" s="3">
        <v>304</v>
      </c>
      <c r="AU522" s="3" t="s">
        <v>3824</v>
      </c>
      <c r="AV522" s="3">
        <v>7.66</v>
      </c>
      <c r="BA522" s="108" t="s">
        <v>4453</v>
      </c>
      <c r="BB522" s="182">
        <v>2182001</v>
      </c>
    </row>
    <row r="523" spans="28:54" ht="15.75" thickBot="1" x14ac:dyDescent="0.3">
      <c r="AB523" s="71" t="s">
        <v>969</v>
      </c>
      <c r="AC523" s="72" t="s">
        <v>968</v>
      </c>
      <c r="AD523" s="73" t="str">
        <f t="shared" si="30"/>
        <v>25-68</v>
      </c>
      <c r="AE523" s="74">
        <f t="shared" si="31"/>
        <v>68</v>
      </c>
      <c r="AF523" s="71" t="s">
        <v>1032</v>
      </c>
      <c r="AG523" s="73" t="s">
        <v>1970</v>
      </c>
      <c r="AS523" s="3">
        <v>70101</v>
      </c>
      <c r="AT523" s="3">
        <v>302</v>
      </c>
      <c r="AU523" s="3" t="s">
        <v>3364</v>
      </c>
      <c r="AV523" s="3">
        <v>8.66</v>
      </c>
      <c r="BA523" s="109" t="s">
        <v>4454</v>
      </c>
      <c r="BB523" s="183">
        <v>2201301</v>
      </c>
    </row>
    <row r="524" spans="28:54" ht="15.75" thickBot="1" x14ac:dyDescent="0.3">
      <c r="AB524" s="71" t="s">
        <v>969</v>
      </c>
      <c r="AC524" s="72" t="s">
        <v>968</v>
      </c>
      <c r="AD524" s="73" t="str">
        <f t="shared" si="30"/>
        <v>25-69</v>
      </c>
      <c r="AE524" s="74">
        <f t="shared" si="31"/>
        <v>69</v>
      </c>
      <c r="AF524" s="71" t="s">
        <v>1033</v>
      </c>
      <c r="AG524" s="73" t="s">
        <v>338</v>
      </c>
      <c r="AS524" s="3">
        <v>70102</v>
      </c>
      <c r="AT524" s="3">
        <v>304</v>
      </c>
      <c r="AU524" s="3" t="s">
        <v>3450</v>
      </c>
      <c r="AV524" s="3">
        <v>7.66</v>
      </c>
      <c r="BA524" s="108" t="s">
        <v>4455</v>
      </c>
      <c r="BB524" s="182">
        <v>2202301</v>
      </c>
    </row>
    <row r="525" spans="28:54" ht="15.75" thickBot="1" x14ac:dyDescent="0.3">
      <c r="AB525" s="71" t="s">
        <v>969</v>
      </c>
      <c r="AC525" s="72" t="s">
        <v>968</v>
      </c>
      <c r="AD525" s="73" t="str">
        <f t="shared" si="30"/>
        <v>25-70</v>
      </c>
      <c r="AE525" s="74">
        <f t="shared" si="31"/>
        <v>70</v>
      </c>
      <c r="AF525" s="71" t="s">
        <v>1034</v>
      </c>
      <c r="AG525" s="73" t="s">
        <v>1860</v>
      </c>
      <c r="AS525" s="3">
        <v>70201</v>
      </c>
      <c r="AT525" s="3">
        <v>302</v>
      </c>
      <c r="AU525" s="3" t="s">
        <v>3365</v>
      </c>
      <c r="AV525" s="3">
        <v>8.66</v>
      </c>
      <c r="BA525" s="109" t="s">
        <v>4456</v>
      </c>
      <c r="BB525" s="183">
        <v>2202302</v>
      </c>
    </row>
    <row r="526" spans="28:54" ht="15.75" thickBot="1" x14ac:dyDescent="0.3">
      <c r="AB526" s="71" t="s">
        <v>969</v>
      </c>
      <c r="AC526" s="72" t="s">
        <v>968</v>
      </c>
      <c r="AD526" s="73" t="str">
        <f t="shared" si="30"/>
        <v>25-71</v>
      </c>
      <c r="AE526" s="74">
        <f t="shared" si="31"/>
        <v>71</v>
      </c>
      <c r="AF526" s="71" t="s">
        <v>1035</v>
      </c>
      <c r="AG526" s="73" t="s">
        <v>356</v>
      </c>
      <c r="AS526" s="3">
        <v>70202</v>
      </c>
      <c r="AT526" s="3">
        <v>304</v>
      </c>
      <c r="AU526" s="3" t="s">
        <v>3825</v>
      </c>
      <c r="AV526" s="3">
        <v>7.66</v>
      </c>
      <c r="BA526" s="108" t="s">
        <v>4457</v>
      </c>
      <c r="BB526" s="182">
        <v>2202901</v>
      </c>
    </row>
    <row r="527" spans="28:54" ht="15.75" thickBot="1" x14ac:dyDescent="0.3">
      <c r="AB527" s="71" t="s">
        <v>969</v>
      </c>
      <c r="AC527" s="72" t="s">
        <v>968</v>
      </c>
      <c r="AD527" s="73" t="str">
        <f t="shared" si="30"/>
        <v>25-72</v>
      </c>
      <c r="AE527" s="74">
        <f t="shared" si="31"/>
        <v>72</v>
      </c>
      <c r="AF527" s="71" t="s">
        <v>1036</v>
      </c>
      <c r="AG527" s="73" t="s">
        <v>1905</v>
      </c>
      <c r="AS527" s="3">
        <v>71111</v>
      </c>
      <c r="AT527" s="3">
        <v>302</v>
      </c>
      <c r="AU527" s="3" t="s">
        <v>3614</v>
      </c>
      <c r="AV527" s="3">
        <v>8.66</v>
      </c>
      <c r="BA527" s="109" t="s">
        <v>4458</v>
      </c>
      <c r="BB527" s="183">
        <v>2202902</v>
      </c>
    </row>
    <row r="528" spans="28:54" ht="15.75" thickBot="1" x14ac:dyDescent="0.3">
      <c r="AB528" s="71" t="s">
        <v>969</v>
      </c>
      <c r="AC528" s="72" t="s">
        <v>968</v>
      </c>
      <c r="AD528" s="73" t="str">
        <f t="shared" si="30"/>
        <v>25-73</v>
      </c>
      <c r="AE528" s="74">
        <f t="shared" si="31"/>
        <v>73</v>
      </c>
      <c r="AF528" s="71" t="s">
        <v>1037</v>
      </c>
      <c r="AG528" s="73" t="s">
        <v>1971</v>
      </c>
      <c r="AS528" s="3">
        <v>71112</v>
      </c>
      <c r="AT528" s="3">
        <v>304</v>
      </c>
      <c r="AU528" s="3" t="s">
        <v>3615</v>
      </c>
      <c r="AV528" s="3">
        <v>7.66</v>
      </c>
      <c r="BA528" s="108" t="s">
        <v>4459</v>
      </c>
      <c r="BB528" s="182">
        <v>2221901</v>
      </c>
    </row>
    <row r="529" spans="28:54" ht="15.75" thickBot="1" x14ac:dyDescent="0.3">
      <c r="AB529" s="71" t="s">
        <v>969</v>
      </c>
      <c r="AC529" s="72" t="s">
        <v>968</v>
      </c>
      <c r="AD529" s="73" t="str">
        <f t="shared" si="30"/>
        <v>25-74</v>
      </c>
      <c r="AE529" s="74">
        <f t="shared" si="31"/>
        <v>74</v>
      </c>
      <c r="AF529" s="71" t="s">
        <v>1038</v>
      </c>
      <c r="AG529" s="73" t="s">
        <v>1972</v>
      </c>
      <c r="AS529" s="3">
        <v>71121</v>
      </c>
      <c r="AT529" s="3">
        <v>302</v>
      </c>
      <c r="AU529" s="3" t="s">
        <v>3616</v>
      </c>
      <c r="AV529" s="3">
        <v>8.66</v>
      </c>
      <c r="BA529" s="109" t="s">
        <v>4460</v>
      </c>
      <c r="BB529" s="183">
        <v>2259901</v>
      </c>
    </row>
    <row r="530" spans="28:54" ht="15.75" thickBot="1" x14ac:dyDescent="0.3">
      <c r="AB530" s="71" t="s">
        <v>969</v>
      </c>
      <c r="AC530" s="72" t="s">
        <v>968</v>
      </c>
      <c r="AD530" s="73" t="str">
        <f t="shared" si="30"/>
        <v>25-75</v>
      </c>
      <c r="AE530" s="74">
        <f t="shared" si="31"/>
        <v>75</v>
      </c>
      <c r="AF530" s="71" t="s">
        <v>1039</v>
      </c>
      <c r="AG530" s="73" t="s">
        <v>366</v>
      </c>
      <c r="AS530" s="3">
        <v>71122</v>
      </c>
      <c r="AT530" s="3">
        <v>304</v>
      </c>
      <c r="AU530" s="3" t="s">
        <v>3826</v>
      </c>
      <c r="AV530" s="3">
        <v>7.66</v>
      </c>
      <c r="BA530" s="108" t="s">
        <v>4461</v>
      </c>
      <c r="BB530" s="182">
        <v>2267001</v>
      </c>
    </row>
    <row r="531" spans="28:54" ht="15.75" thickBot="1" x14ac:dyDescent="0.3">
      <c r="AB531" s="71" t="s">
        <v>969</v>
      </c>
      <c r="AC531" s="72" t="s">
        <v>968</v>
      </c>
      <c r="AD531" s="73" t="str">
        <f t="shared" si="30"/>
        <v>25-76</v>
      </c>
      <c r="AE531" s="74">
        <f t="shared" si="31"/>
        <v>76</v>
      </c>
      <c r="AF531" s="71" t="s">
        <v>1040</v>
      </c>
      <c r="AG531" s="73" t="s">
        <v>1973</v>
      </c>
      <c r="AS531" s="3">
        <v>71201</v>
      </c>
      <c r="AT531" s="3">
        <v>302</v>
      </c>
      <c r="AU531" s="3" t="s">
        <v>3366</v>
      </c>
      <c r="AV531" s="3">
        <v>8.66</v>
      </c>
      <c r="BA531" s="109" t="s">
        <v>4462</v>
      </c>
      <c r="BB531" s="183">
        <v>2268001</v>
      </c>
    </row>
    <row r="532" spans="28:54" ht="15.75" thickBot="1" x14ac:dyDescent="0.3">
      <c r="AB532" s="71" t="s">
        <v>969</v>
      </c>
      <c r="AC532" s="72" t="s">
        <v>968</v>
      </c>
      <c r="AD532" s="73" t="str">
        <f t="shared" si="30"/>
        <v>25-77</v>
      </c>
      <c r="AE532" s="74">
        <f t="shared" si="31"/>
        <v>77</v>
      </c>
      <c r="AF532" s="71" t="s">
        <v>1041</v>
      </c>
      <c r="AG532" s="73" t="s">
        <v>1974</v>
      </c>
      <c r="AS532" s="3">
        <v>71202</v>
      </c>
      <c r="AT532" s="3">
        <v>304</v>
      </c>
      <c r="AU532" s="3" t="s">
        <v>3827</v>
      </c>
      <c r="AV532" s="3">
        <v>7.66</v>
      </c>
      <c r="BA532" s="108" t="s">
        <v>4463</v>
      </c>
      <c r="BB532" s="182">
        <v>2311001</v>
      </c>
    </row>
    <row r="533" spans="28:54" ht="15.75" thickBot="1" x14ac:dyDescent="0.3">
      <c r="AB533" s="71" t="s">
        <v>969</v>
      </c>
      <c r="AC533" s="72" t="s">
        <v>968</v>
      </c>
      <c r="AD533" s="73" t="str">
        <f t="shared" si="30"/>
        <v>25-78</v>
      </c>
      <c r="AE533" s="74">
        <f t="shared" si="31"/>
        <v>78</v>
      </c>
      <c r="AF533" s="71" t="s">
        <v>1042</v>
      </c>
      <c r="AG533" s="73" t="s">
        <v>1753</v>
      </c>
      <c r="AS533" s="3">
        <v>72101</v>
      </c>
      <c r="AT533" s="3">
        <v>302</v>
      </c>
      <c r="AU533" s="3" t="s">
        <v>3828</v>
      </c>
      <c r="AV533" s="3">
        <v>8.66</v>
      </c>
      <c r="BA533" s="109" t="s">
        <v>4464</v>
      </c>
      <c r="BB533" s="183">
        <v>2311002</v>
      </c>
    </row>
    <row r="534" spans="28:54" ht="15.75" thickBot="1" x14ac:dyDescent="0.3">
      <c r="AB534" s="71" t="s">
        <v>969</v>
      </c>
      <c r="AC534" s="72" t="s">
        <v>968</v>
      </c>
      <c r="AD534" s="73" t="str">
        <f t="shared" si="30"/>
        <v>25-79</v>
      </c>
      <c r="AE534" s="74">
        <f t="shared" si="31"/>
        <v>79</v>
      </c>
      <c r="AF534" s="71" t="s">
        <v>1043</v>
      </c>
      <c r="AG534" s="73" t="s">
        <v>1895</v>
      </c>
      <c r="AS534" s="3">
        <v>72102</v>
      </c>
      <c r="AT534" s="3">
        <v>304</v>
      </c>
      <c r="AU534" s="3" t="s">
        <v>3617</v>
      </c>
      <c r="AV534" s="3">
        <v>7.66</v>
      </c>
      <c r="BA534" s="108" t="s">
        <v>4465</v>
      </c>
      <c r="BB534" s="182">
        <v>2322001</v>
      </c>
    </row>
    <row r="535" spans="28:54" ht="15.75" thickBot="1" x14ac:dyDescent="0.3">
      <c r="AB535" s="71" t="s">
        <v>969</v>
      </c>
      <c r="AC535" s="72" t="s">
        <v>968</v>
      </c>
      <c r="AD535" s="73" t="str">
        <f t="shared" si="30"/>
        <v>25-80</v>
      </c>
      <c r="AE535" s="74">
        <f t="shared" si="31"/>
        <v>80</v>
      </c>
      <c r="AF535" s="71" t="s">
        <v>600</v>
      </c>
      <c r="AG535" s="73" t="s">
        <v>1756</v>
      </c>
      <c r="AS535" s="3">
        <v>72201</v>
      </c>
      <c r="AT535" s="3">
        <v>302</v>
      </c>
      <c r="AU535" s="3" t="s">
        <v>3618</v>
      </c>
      <c r="AV535" s="3">
        <v>8.66</v>
      </c>
      <c r="BA535" s="109" t="s">
        <v>4466</v>
      </c>
      <c r="BB535" s="183">
        <v>2322002</v>
      </c>
    </row>
    <row r="536" spans="28:54" ht="15.75" thickBot="1" x14ac:dyDescent="0.3">
      <c r="AB536" s="71" t="s">
        <v>969</v>
      </c>
      <c r="AC536" s="72" t="s">
        <v>968</v>
      </c>
      <c r="AD536" s="73" t="str">
        <f t="shared" si="30"/>
        <v>25-81</v>
      </c>
      <c r="AE536" s="74">
        <f t="shared" si="31"/>
        <v>81</v>
      </c>
      <c r="AF536" s="71" t="s">
        <v>1044</v>
      </c>
      <c r="AG536" s="73" t="s">
        <v>1896</v>
      </c>
      <c r="AS536" s="3">
        <v>72202</v>
      </c>
      <c r="AT536" s="3">
        <v>304</v>
      </c>
      <c r="AU536" s="3" t="s">
        <v>3829</v>
      </c>
      <c r="AV536" s="3">
        <v>7.66</v>
      </c>
      <c r="BA536" s="108" t="s">
        <v>4467</v>
      </c>
      <c r="BB536" s="182">
        <v>2323001</v>
      </c>
    </row>
    <row r="537" spans="28:54" ht="15.75" thickBot="1" x14ac:dyDescent="0.3">
      <c r="AB537" s="71" t="s">
        <v>969</v>
      </c>
      <c r="AC537" s="72" t="s">
        <v>968</v>
      </c>
      <c r="AD537" s="73" t="str">
        <f t="shared" si="30"/>
        <v>25-82</v>
      </c>
      <c r="AE537" s="74">
        <f t="shared" si="31"/>
        <v>82</v>
      </c>
      <c r="AF537" s="71" t="s">
        <v>1045</v>
      </c>
      <c r="AG537" s="73" t="s">
        <v>1975</v>
      </c>
      <c r="AS537" s="3">
        <v>73201</v>
      </c>
      <c r="AT537" s="3">
        <v>302</v>
      </c>
      <c r="AU537" s="3" t="s">
        <v>3830</v>
      </c>
      <c r="AV537" s="3">
        <v>8.66</v>
      </c>
      <c r="BA537" s="109" t="s">
        <v>4468</v>
      </c>
      <c r="BB537" s="183">
        <v>2323002</v>
      </c>
    </row>
    <row r="538" spans="28:54" ht="15.75" thickBot="1" x14ac:dyDescent="0.3">
      <c r="AB538" s="71" t="s">
        <v>969</v>
      </c>
      <c r="AC538" s="72" t="s">
        <v>968</v>
      </c>
      <c r="AD538" s="73" t="str">
        <f t="shared" si="30"/>
        <v>25-83</v>
      </c>
      <c r="AE538" s="74">
        <f t="shared" si="31"/>
        <v>83</v>
      </c>
      <c r="AF538" s="71" t="s">
        <v>1046</v>
      </c>
      <c r="AG538" s="73" t="s">
        <v>1763</v>
      </c>
      <c r="AS538" s="3">
        <v>73202</v>
      </c>
      <c r="AT538" s="3">
        <v>304</v>
      </c>
      <c r="AU538" s="3" t="s">
        <v>3451</v>
      </c>
      <c r="AV538" s="3">
        <v>7.66</v>
      </c>
      <c r="BA538" s="108" t="s">
        <v>4469</v>
      </c>
      <c r="BB538" s="182">
        <v>2323003</v>
      </c>
    </row>
    <row r="539" spans="28:54" ht="15.75" thickBot="1" x14ac:dyDescent="0.3">
      <c r="AB539" s="71" t="s">
        <v>969</v>
      </c>
      <c r="AC539" s="72" t="s">
        <v>968</v>
      </c>
      <c r="AD539" s="73" t="str">
        <f t="shared" si="30"/>
        <v>25-84</v>
      </c>
      <c r="AE539" s="74">
        <f t="shared" si="31"/>
        <v>84</v>
      </c>
      <c r="AF539" s="71" t="s">
        <v>1047</v>
      </c>
      <c r="AG539" s="73" t="s">
        <v>1868</v>
      </c>
      <c r="AS539" s="3">
        <v>74101</v>
      </c>
      <c r="AT539" s="3">
        <v>302</v>
      </c>
      <c r="AU539" s="3" t="s">
        <v>3367</v>
      </c>
      <c r="AV539" s="3">
        <v>8.66</v>
      </c>
      <c r="BA539" s="109" t="s">
        <v>4470</v>
      </c>
      <c r="BB539" s="183">
        <v>2323004</v>
      </c>
    </row>
    <row r="540" spans="28:54" ht="15.75" thickBot="1" x14ac:dyDescent="0.3">
      <c r="AB540" s="71" t="s">
        <v>969</v>
      </c>
      <c r="AC540" s="72" t="s">
        <v>968</v>
      </c>
      <c r="AD540" s="73" t="str">
        <f t="shared" si="30"/>
        <v>25-85</v>
      </c>
      <c r="AE540" s="74">
        <f t="shared" si="31"/>
        <v>85</v>
      </c>
      <c r="AF540" s="71" t="s">
        <v>1048</v>
      </c>
      <c r="AG540" s="73" t="s">
        <v>1921</v>
      </c>
      <c r="AS540" s="3">
        <v>74102</v>
      </c>
      <c r="AT540" s="3">
        <v>304</v>
      </c>
      <c r="AU540" s="3" t="s">
        <v>3452</v>
      </c>
      <c r="AV540" s="3">
        <v>7.66</v>
      </c>
      <c r="BA540" s="108" t="s">
        <v>4471</v>
      </c>
      <c r="BB540" s="182">
        <v>2329001</v>
      </c>
    </row>
    <row r="541" spans="28:54" ht="15.75" thickBot="1" x14ac:dyDescent="0.3">
      <c r="AB541" s="71" t="s">
        <v>969</v>
      </c>
      <c r="AC541" s="72" t="s">
        <v>968</v>
      </c>
      <c r="AD541" s="73" t="str">
        <f t="shared" si="30"/>
        <v>25-86</v>
      </c>
      <c r="AE541" s="74">
        <f t="shared" si="31"/>
        <v>86</v>
      </c>
      <c r="AF541" s="71" t="s">
        <v>1049</v>
      </c>
      <c r="AG541" s="73" t="s">
        <v>1976</v>
      </c>
      <c r="AS541" s="3">
        <v>74901</v>
      </c>
      <c r="AT541" s="3">
        <v>302</v>
      </c>
      <c r="AU541" s="3" t="s">
        <v>3368</v>
      </c>
      <c r="AV541" s="3">
        <v>8.66</v>
      </c>
      <c r="BA541" s="109" t="s">
        <v>4472</v>
      </c>
      <c r="BB541" s="183">
        <v>2331101</v>
      </c>
    </row>
    <row r="542" spans="28:54" ht="15.75" thickBot="1" x14ac:dyDescent="0.3">
      <c r="AB542" s="71" t="s">
        <v>969</v>
      </c>
      <c r="AC542" s="72" t="s">
        <v>968</v>
      </c>
      <c r="AD542" s="73" t="str">
        <f t="shared" si="30"/>
        <v>25-87</v>
      </c>
      <c r="AE542" s="74">
        <f t="shared" si="31"/>
        <v>87</v>
      </c>
      <c r="AF542" s="71" t="s">
        <v>1050</v>
      </c>
      <c r="AG542" s="73" t="s">
        <v>1977</v>
      </c>
      <c r="AS542" s="3">
        <v>74902</v>
      </c>
      <c r="AT542" s="3">
        <v>304</v>
      </c>
      <c r="AU542" s="3" t="s">
        <v>3831</v>
      </c>
      <c r="AV542" s="3">
        <v>7.66</v>
      </c>
      <c r="BA542" s="108" t="s">
        <v>4473</v>
      </c>
      <c r="BB542" s="182">
        <v>2331201</v>
      </c>
    </row>
    <row r="543" spans="28:54" ht="15.75" thickBot="1" x14ac:dyDescent="0.3">
      <c r="AB543" s="71" t="s">
        <v>969</v>
      </c>
      <c r="AC543" s="72" t="s">
        <v>968</v>
      </c>
      <c r="AD543" s="73" t="str">
        <f t="shared" si="30"/>
        <v>25-88</v>
      </c>
      <c r="AE543" s="74">
        <f t="shared" si="31"/>
        <v>88</v>
      </c>
      <c r="AF543" s="71" t="s">
        <v>1051</v>
      </c>
      <c r="AG543" s="73" t="s">
        <v>1790</v>
      </c>
      <c r="AS543" s="3">
        <v>85232</v>
      </c>
      <c r="AT543" s="3">
        <v>304</v>
      </c>
      <c r="AU543" s="3" t="s">
        <v>3453</v>
      </c>
      <c r="AV543" s="3">
        <v>9.66</v>
      </c>
      <c r="BA543" s="109" t="s">
        <v>4474</v>
      </c>
      <c r="BB543" s="183">
        <v>2331301</v>
      </c>
    </row>
    <row r="544" spans="28:54" ht="15.75" thickBot="1" x14ac:dyDescent="0.3">
      <c r="AB544" s="71" t="s">
        <v>969</v>
      </c>
      <c r="AC544" s="72" t="s">
        <v>968</v>
      </c>
      <c r="AD544" s="73" t="str">
        <f t="shared" si="30"/>
        <v>25-89</v>
      </c>
      <c r="AE544" s="74">
        <f t="shared" si="31"/>
        <v>89</v>
      </c>
      <c r="AF544" s="71" t="s">
        <v>1052</v>
      </c>
      <c r="AG544" s="73" t="s">
        <v>1978</v>
      </c>
      <c r="AS544" s="3">
        <v>85591</v>
      </c>
      <c r="AT544" s="3">
        <v>304</v>
      </c>
      <c r="AU544" s="3" t="s">
        <v>3784</v>
      </c>
      <c r="AV544" s="3">
        <v>9.66</v>
      </c>
      <c r="BA544" s="108" t="s">
        <v>4475</v>
      </c>
      <c r="BB544" s="182">
        <v>2331901</v>
      </c>
    </row>
    <row r="545" spans="28:54" ht="15.75" thickBot="1" x14ac:dyDescent="0.3">
      <c r="AB545" s="71" t="s">
        <v>969</v>
      </c>
      <c r="AC545" s="72" t="s">
        <v>968</v>
      </c>
      <c r="AD545" s="73" t="str">
        <f t="shared" si="30"/>
        <v>25-90</v>
      </c>
      <c r="AE545" s="74">
        <f t="shared" si="31"/>
        <v>90</v>
      </c>
      <c r="AF545" s="71" t="s">
        <v>1053</v>
      </c>
      <c r="AG545" s="73" t="s">
        <v>1979</v>
      </c>
      <c r="AS545" s="3">
        <v>85592</v>
      </c>
      <c r="AT545" s="3">
        <v>304</v>
      </c>
      <c r="AU545" s="3" t="s">
        <v>3785</v>
      </c>
      <c r="AV545" s="3">
        <v>9.66</v>
      </c>
      <c r="BA545" s="109" t="s">
        <v>4476</v>
      </c>
      <c r="BB545" s="183">
        <v>2332001</v>
      </c>
    </row>
    <row r="546" spans="28:54" ht="15.75" thickBot="1" x14ac:dyDescent="0.3">
      <c r="AB546" s="71" t="s">
        <v>969</v>
      </c>
      <c r="AC546" s="72" t="s">
        <v>968</v>
      </c>
      <c r="AD546" s="73" t="str">
        <f t="shared" si="30"/>
        <v>25-91</v>
      </c>
      <c r="AE546" s="74">
        <f t="shared" si="31"/>
        <v>91</v>
      </c>
      <c r="AF546" s="71" t="s">
        <v>1054</v>
      </c>
      <c r="AG546" s="73" t="s">
        <v>1897</v>
      </c>
      <c r="AS546" s="3">
        <v>86211</v>
      </c>
      <c r="AT546" s="3">
        <v>304</v>
      </c>
      <c r="AU546" s="3" t="s">
        <v>3832</v>
      </c>
      <c r="AV546" s="3">
        <v>9.66</v>
      </c>
      <c r="BA546" s="108" t="s">
        <v>4477</v>
      </c>
      <c r="BB546" s="182">
        <v>2433001</v>
      </c>
    </row>
    <row r="547" spans="28:54" ht="15.75" thickBot="1" x14ac:dyDescent="0.3">
      <c r="AB547" s="71" t="s">
        <v>969</v>
      </c>
      <c r="AC547" s="72" t="s">
        <v>968</v>
      </c>
      <c r="AD547" s="73" t="str">
        <f t="shared" si="30"/>
        <v>25-92</v>
      </c>
      <c r="AE547" s="74">
        <f t="shared" si="31"/>
        <v>92</v>
      </c>
      <c r="AF547" s="71" t="s">
        <v>1055</v>
      </c>
      <c r="AG547" s="73" t="s">
        <v>1980</v>
      </c>
      <c r="AS547" s="3">
        <v>86221</v>
      </c>
      <c r="AT547" s="3">
        <v>304</v>
      </c>
      <c r="AU547" s="3" t="s">
        <v>3833</v>
      </c>
      <c r="AV547" s="3">
        <v>9.66</v>
      </c>
      <c r="BA547" s="109" t="s">
        <v>4478</v>
      </c>
      <c r="BB547" s="183">
        <v>2451101</v>
      </c>
    </row>
    <row r="548" spans="28:54" ht="15.75" thickBot="1" x14ac:dyDescent="0.3">
      <c r="AB548" s="71" t="s">
        <v>969</v>
      </c>
      <c r="AC548" s="72" t="s">
        <v>968</v>
      </c>
      <c r="AD548" s="73" t="str">
        <f t="shared" si="30"/>
        <v>25-93</v>
      </c>
      <c r="AE548" s="74">
        <f t="shared" si="31"/>
        <v>93</v>
      </c>
      <c r="AF548" s="71" t="s">
        <v>1056</v>
      </c>
      <c r="AG548" s="73" t="s">
        <v>1981</v>
      </c>
      <c r="AS548" s="3">
        <v>86911</v>
      </c>
      <c r="AT548" s="3">
        <v>304</v>
      </c>
      <c r="AU548" s="3" t="s">
        <v>3834</v>
      </c>
      <c r="AV548" s="3">
        <v>9.66</v>
      </c>
      <c r="BA548" s="108" t="s">
        <v>4479</v>
      </c>
      <c r="BB548" s="182">
        <v>2451201</v>
      </c>
    </row>
    <row r="549" spans="28:54" ht="15.75" thickBot="1" x14ac:dyDescent="0.3">
      <c r="AB549" s="71" t="s">
        <v>969</v>
      </c>
      <c r="AC549" s="72" t="s">
        <v>968</v>
      </c>
      <c r="AD549" s="73" t="str">
        <f t="shared" si="30"/>
        <v>25-94</v>
      </c>
      <c r="AE549" s="74">
        <f t="shared" si="31"/>
        <v>94</v>
      </c>
      <c r="AF549" s="71" t="s">
        <v>1057</v>
      </c>
      <c r="AG549" s="73" t="s">
        <v>1907</v>
      </c>
      <c r="AS549" s="3">
        <v>86921</v>
      </c>
      <c r="AT549" s="3">
        <v>304</v>
      </c>
      <c r="AU549" s="3" t="s">
        <v>3835</v>
      </c>
      <c r="AV549" s="3">
        <v>9.66</v>
      </c>
      <c r="BA549" s="109" t="s">
        <v>4480</v>
      </c>
      <c r="BB549" s="183">
        <v>2461001</v>
      </c>
    </row>
    <row r="550" spans="28:54" ht="15.75" thickBot="1" x14ac:dyDescent="0.3">
      <c r="AB550" s="71" t="s">
        <v>969</v>
      </c>
      <c r="AC550" s="72" t="s">
        <v>968</v>
      </c>
      <c r="AD550" s="73" t="str">
        <f t="shared" si="30"/>
        <v>25-95</v>
      </c>
      <c r="AE550" s="74">
        <f t="shared" si="31"/>
        <v>95</v>
      </c>
      <c r="AF550" s="71" t="s">
        <v>1058</v>
      </c>
      <c r="AG550" s="73" t="s">
        <v>1982</v>
      </c>
      <c r="AS550" s="3">
        <v>86991</v>
      </c>
      <c r="AT550" s="3">
        <v>304</v>
      </c>
      <c r="AU550" s="3" t="s">
        <v>3836</v>
      </c>
      <c r="AV550" s="3">
        <v>9.66</v>
      </c>
      <c r="BA550" s="108" t="s">
        <v>4481</v>
      </c>
      <c r="BB550" s="182">
        <v>2461002</v>
      </c>
    </row>
    <row r="551" spans="28:54" ht="15.75" thickBot="1" x14ac:dyDescent="0.3">
      <c r="AB551" s="71" t="s">
        <v>969</v>
      </c>
      <c r="AC551" s="72" t="s">
        <v>968</v>
      </c>
      <c r="AD551" s="73" t="str">
        <f t="shared" si="30"/>
        <v>25-96</v>
      </c>
      <c r="AE551" s="74">
        <f t="shared" si="31"/>
        <v>96</v>
      </c>
      <c r="AF551" s="71" t="s">
        <v>1059</v>
      </c>
      <c r="AG551" s="73" t="s">
        <v>1983</v>
      </c>
      <c r="AS551" s="3">
        <v>87101</v>
      </c>
      <c r="AT551" s="3">
        <v>304</v>
      </c>
      <c r="AU551" s="3" t="s">
        <v>3837</v>
      </c>
      <c r="AV551" s="3">
        <v>9.66</v>
      </c>
      <c r="BA551" s="109" t="s">
        <v>3901</v>
      </c>
      <c r="BB551" s="183">
        <v>2462001</v>
      </c>
    </row>
    <row r="552" spans="28:54" ht="15.75" thickBot="1" x14ac:dyDescent="0.3">
      <c r="AB552" s="71" t="s">
        <v>969</v>
      </c>
      <c r="AC552" s="72" t="s">
        <v>968</v>
      </c>
      <c r="AD552" s="73" t="str">
        <f t="shared" si="30"/>
        <v>25-97</v>
      </c>
      <c r="AE552" s="74">
        <f t="shared" si="31"/>
        <v>97</v>
      </c>
      <c r="AF552" s="71" t="s">
        <v>1060</v>
      </c>
      <c r="AG552" s="73" t="s">
        <v>1984</v>
      </c>
      <c r="AS552" s="3">
        <v>92001</v>
      </c>
      <c r="AT552" s="3">
        <v>304</v>
      </c>
      <c r="AU552" s="3" t="s">
        <v>3454</v>
      </c>
      <c r="AV552" s="3">
        <v>9.66</v>
      </c>
      <c r="BA552" s="108" t="s">
        <v>4482</v>
      </c>
      <c r="BB552" s="182">
        <v>2463201</v>
      </c>
    </row>
    <row r="553" spans="28:54" ht="15.75" thickBot="1" x14ac:dyDescent="0.3">
      <c r="AB553" s="71" t="s">
        <v>969</v>
      </c>
      <c r="AC553" s="72" t="s">
        <v>968</v>
      </c>
      <c r="AD553" s="73" t="str">
        <f t="shared" si="30"/>
        <v>25-98</v>
      </c>
      <c r="AE553" s="74">
        <f t="shared" si="31"/>
        <v>98</v>
      </c>
      <c r="AF553" s="71" t="s">
        <v>1061</v>
      </c>
      <c r="AG553" s="73" t="s">
        <v>460</v>
      </c>
      <c r="AS553" s="3">
        <v>93291</v>
      </c>
      <c r="AT553" s="3">
        <v>304</v>
      </c>
      <c r="AU553" s="3" t="s">
        <v>3838</v>
      </c>
      <c r="AV553" s="3">
        <v>9.66</v>
      </c>
      <c r="BA553" s="109" t="s">
        <v>4483</v>
      </c>
      <c r="BB553" s="183">
        <v>2465201</v>
      </c>
    </row>
    <row r="554" spans="28:54" ht="15.75" thickBot="1" x14ac:dyDescent="0.3">
      <c r="AB554" s="71" t="s">
        <v>969</v>
      </c>
      <c r="AC554" s="72" t="s">
        <v>968</v>
      </c>
      <c r="AD554" s="73" t="str">
        <f t="shared" si="30"/>
        <v>25-99</v>
      </c>
      <c r="AE554" s="74">
        <f t="shared" si="31"/>
        <v>99</v>
      </c>
      <c r="AF554" s="71" t="s">
        <v>1062</v>
      </c>
      <c r="AG554" s="73" t="s">
        <v>1922</v>
      </c>
      <c r="BA554" s="108" t="s">
        <v>4484</v>
      </c>
      <c r="BB554" s="182">
        <v>2465301</v>
      </c>
    </row>
    <row r="555" spans="28:54" ht="15.75" thickBot="1" x14ac:dyDescent="0.3">
      <c r="AB555" s="71" t="s">
        <v>969</v>
      </c>
      <c r="AC555" s="72" t="s">
        <v>968</v>
      </c>
      <c r="AD555" s="73" t="str">
        <f t="shared" si="30"/>
        <v>25-100</v>
      </c>
      <c r="AE555" s="74">
        <f t="shared" si="31"/>
        <v>100</v>
      </c>
      <c r="AF555" s="71" t="s">
        <v>1063</v>
      </c>
      <c r="AG555" s="73" t="s">
        <v>464</v>
      </c>
      <c r="BA555" s="109" t="s">
        <v>4485</v>
      </c>
      <c r="BB555" s="183">
        <v>2465901</v>
      </c>
    </row>
    <row r="556" spans="28:54" ht="15.75" thickBot="1" x14ac:dyDescent="0.3">
      <c r="AB556" s="71" t="s">
        <v>969</v>
      </c>
      <c r="AC556" s="72" t="s">
        <v>968</v>
      </c>
      <c r="AD556" s="73" t="str">
        <f t="shared" si="30"/>
        <v>25-101</v>
      </c>
      <c r="AE556" s="74">
        <f t="shared" si="31"/>
        <v>101</v>
      </c>
      <c r="AF556" s="71" t="s">
        <v>1064</v>
      </c>
      <c r="AG556" s="73" t="s">
        <v>1985</v>
      </c>
      <c r="BA556" s="108" t="s">
        <v>4486</v>
      </c>
      <c r="BB556" s="182">
        <v>2465902</v>
      </c>
    </row>
    <row r="557" spans="28:54" ht="15.75" thickBot="1" x14ac:dyDescent="0.3">
      <c r="AB557" s="71" t="s">
        <v>969</v>
      </c>
      <c r="AC557" s="72" t="s">
        <v>968</v>
      </c>
      <c r="AD557" s="73" t="str">
        <f t="shared" si="30"/>
        <v>25-102</v>
      </c>
      <c r="AE557" s="74">
        <f t="shared" si="31"/>
        <v>102</v>
      </c>
      <c r="AF557" s="71" t="s">
        <v>1065</v>
      </c>
      <c r="AG557" s="73" t="s">
        <v>468</v>
      </c>
      <c r="BA557" s="109" t="s">
        <v>4487</v>
      </c>
      <c r="BB557" s="183">
        <v>2465903</v>
      </c>
    </row>
    <row r="558" spans="28:54" ht="15.75" thickBot="1" x14ac:dyDescent="0.3">
      <c r="AB558" s="71" t="s">
        <v>969</v>
      </c>
      <c r="AC558" s="72" t="s">
        <v>968</v>
      </c>
      <c r="AD558" s="73" t="str">
        <f t="shared" si="30"/>
        <v>25-103</v>
      </c>
      <c r="AE558" s="74">
        <f t="shared" si="31"/>
        <v>103</v>
      </c>
      <c r="AF558" s="71" t="s">
        <v>1066</v>
      </c>
      <c r="AG558" s="73" t="s">
        <v>1883</v>
      </c>
      <c r="BA558" s="108" t="s">
        <v>4488</v>
      </c>
      <c r="BB558" s="182">
        <v>2466201</v>
      </c>
    </row>
    <row r="559" spans="28:54" ht="15.75" thickBot="1" x14ac:dyDescent="0.3">
      <c r="AB559" s="71" t="s">
        <v>969</v>
      </c>
      <c r="AC559" s="72" t="s">
        <v>968</v>
      </c>
      <c r="AD559" s="73" t="str">
        <f t="shared" si="30"/>
        <v>25-104</v>
      </c>
      <c r="AE559" s="74">
        <f t="shared" si="31"/>
        <v>104</v>
      </c>
      <c r="AF559" s="71" t="s">
        <v>1067</v>
      </c>
      <c r="AG559" s="73" t="s">
        <v>1986</v>
      </c>
      <c r="BA559" s="109" t="s">
        <v>4489</v>
      </c>
      <c r="BB559" s="183">
        <v>2466301</v>
      </c>
    </row>
    <row r="560" spans="28:54" ht="15.75" thickBot="1" x14ac:dyDescent="0.3">
      <c r="AB560" s="71" t="s">
        <v>969</v>
      </c>
      <c r="AC560" s="72" t="s">
        <v>968</v>
      </c>
      <c r="AD560" s="73" t="str">
        <f t="shared" si="30"/>
        <v>25-105</v>
      </c>
      <c r="AE560" s="74">
        <f t="shared" si="31"/>
        <v>105</v>
      </c>
      <c r="AF560" s="71" t="s">
        <v>1068</v>
      </c>
      <c r="AG560" s="73" t="s">
        <v>1987</v>
      </c>
      <c r="BA560" s="108" t="s">
        <v>3902</v>
      </c>
      <c r="BB560" s="182">
        <v>2466901</v>
      </c>
    </row>
    <row r="561" spans="28:54" ht="15.75" thickBot="1" x14ac:dyDescent="0.3">
      <c r="AB561" s="71" t="s">
        <v>969</v>
      </c>
      <c r="AC561" s="72" t="s">
        <v>968</v>
      </c>
      <c r="AD561" s="73" t="str">
        <f t="shared" si="30"/>
        <v>25-106</v>
      </c>
      <c r="AE561" s="74">
        <f t="shared" si="31"/>
        <v>106</v>
      </c>
      <c r="AF561" s="71" t="s">
        <v>1069</v>
      </c>
      <c r="AG561" s="73" t="s">
        <v>480</v>
      </c>
      <c r="BA561" s="109" t="s">
        <v>4490</v>
      </c>
      <c r="BB561" s="183">
        <v>2471901</v>
      </c>
    </row>
    <row r="562" spans="28:54" ht="15.75" thickBot="1" x14ac:dyDescent="0.3">
      <c r="AB562" s="71" t="s">
        <v>969</v>
      </c>
      <c r="AC562" s="72" t="s">
        <v>968</v>
      </c>
      <c r="AD562" s="73" t="str">
        <f t="shared" si="30"/>
        <v>25-107</v>
      </c>
      <c r="AE562" s="74">
        <f t="shared" si="31"/>
        <v>107</v>
      </c>
      <c r="AF562" s="71" t="s">
        <v>1070</v>
      </c>
      <c r="AG562" s="73" t="s">
        <v>1988</v>
      </c>
      <c r="BA562" s="108" t="s">
        <v>4491</v>
      </c>
      <c r="BB562" s="182">
        <v>2472101</v>
      </c>
    </row>
    <row r="563" spans="28:54" ht="15.75" thickBot="1" x14ac:dyDescent="0.3">
      <c r="AB563" s="71" t="s">
        <v>969</v>
      </c>
      <c r="AC563" s="72" t="s">
        <v>968</v>
      </c>
      <c r="AD563" s="73" t="str">
        <f t="shared" si="30"/>
        <v>25-108</v>
      </c>
      <c r="AE563" s="74">
        <f t="shared" si="31"/>
        <v>108</v>
      </c>
      <c r="AF563" s="71" t="s">
        <v>1071</v>
      </c>
      <c r="AG563" s="73" t="s">
        <v>1989</v>
      </c>
      <c r="BA563" s="109" t="s">
        <v>4492</v>
      </c>
      <c r="BB563" s="183">
        <v>2472301</v>
      </c>
    </row>
    <row r="564" spans="28:54" ht="15.75" thickBot="1" x14ac:dyDescent="0.3">
      <c r="AB564" s="71" t="s">
        <v>969</v>
      </c>
      <c r="AC564" s="72" t="s">
        <v>968</v>
      </c>
      <c r="AD564" s="73" t="str">
        <f t="shared" si="30"/>
        <v>25-109</v>
      </c>
      <c r="AE564" s="74">
        <f t="shared" si="31"/>
        <v>109</v>
      </c>
      <c r="AF564" s="71" t="s">
        <v>1072</v>
      </c>
      <c r="AG564" s="73" t="s">
        <v>1898</v>
      </c>
      <c r="BA564" s="108" t="s">
        <v>4493</v>
      </c>
      <c r="BB564" s="182">
        <v>2475201</v>
      </c>
    </row>
    <row r="565" spans="28:54" ht="15.75" thickBot="1" x14ac:dyDescent="0.3">
      <c r="AB565" s="71" t="s">
        <v>969</v>
      </c>
      <c r="AC565" s="72" t="s">
        <v>968</v>
      </c>
      <c r="AD565" s="73" t="str">
        <f t="shared" si="30"/>
        <v>25-110</v>
      </c>
      <c r="AE565" s="74">
        <f t="shared" si="31"/>
        <v>110</v>
      </c>
      <c r="AF565" s="71" t="s">
        <v>1073</v>
      </c>
      <c r="AG565" s="73" t="s">
        <v>1990</v>
      </c>
      <c r="BA565" s="109" t="s">
        <v>4494</v>
      </c>
      <c r="BB565" s="183">
        <v>2477401</v>
      </c>
    </row>
    <row r="566" spans="28:54" ht="15.75" thickBot="1" x14ac:dyDescent="0.3">
      <c r="AB566" s="71" t="s">
        <v>969</v>
      </c>
      <c r="AC566" s="72" t="s">
        <v>968</v>
      </c>
      <c r="AD566" s="73" t="str">
        <f t="shared" si="30"/>
        <v>25-111</v>
      </c>
      <c r="AE566" s="74">
        <f t="shared" si="31"/>
        <v>111</v>
      </c>
      <c r="AF566" s="71" t="s">
        <v>1074</v>
      </c>
      <c r="AG566" s="73" t="s">
        <v>1775</v>
      </c>
      <c r="BA566" s="108" t="s">
        <v>4495</v>
      </c>
      <c r="BB566" s="182">
        <v>2521001</v>
      </c>
    </row>
    <row r="567" spans="28:54" ht="15.75" thickBot="1" x14ac:dyDescent="0.3">
      <c r="AB567" s="71" t="s">
        <v>969</v>
      </c>
      <c r="AC567" s="72" t="s">
        <v>968</v>
      </c>
      <c r="AD567" s="73" t="str">
        <f t="shared" si="30"/>
        <v>25-112</v>
      </c>
      <c r="AE567" s="74">
        <f t="shared" si="31"/>
        <v>112</v>
      </c>
      <c r="AF567" s="71" t="s">
        <v>1075</v>
      </c>
      <c r="AG567" s="73" t="s">
        <v>494</v>
      </c>
      <c r="BA567" s="109" t="s">
        <v>4496</v>
      </c>
      <c r="BB567" s="183">
        <v>2522101</v>
      </c>
    </row>
    <row r="568" spans="28:54" ht="15.75" thickBot="1" x14ac:dyDescent="0.3">
      <c r="AB568" s="71" t="s">
        <v>969</v>
      </c>
      <c r="AC568" s="72" t="s">
        <v>968</v>
      </c>
      <c r="AD568" s="73" t="str">
        <f t="shared" si="30"/>
        <v>25-113</v>
      </c>
      <c r="AE568" s="74">
        <f t="shared" si="31"/>
        <v>113</v>
      </c>
      <c r="AF568" s="71" t="s">
        <v>1076</v>
      </c>
      <c r="AG568" s="73" t="s">
        <v>1991</v>
      </c>
      <c r="BA568" s="108" t="s">
        <v>4497</v>
      </c>
      <c r="BB568" s="182">
        <v>2551101</v>
      </c>
    </row>
    <row r="569" spans="28:54" ht="15.75" thickBot="1" x14ac:dyDescent="0.3">
      <c r="AB569" s="71" t="s">
        <v>969</v>
      </c>
      <c r="AC569" s="72" t="s">
        <v>968</v>
      </c>
      <c r="AD569" s="73" t="str">
        <f t="shared" si="30"/>
        <v>25-114</v>
      </c>
      <c r="AE569" s="74">
        <f t="shared" si="31"/>
        <v>114</v>
      </c>
      <c r="AF569" s="71" t="s">
        <v>1077</v>
      </c>
      <c r="AG569" s="73" t="s">
        <v>498</v>
      </c>
      <c r="BA569" s="109" t="s">
        <v>4498</v>
      </c>
      <c r="BB569" s="183">
        <v>2551201</v>
      </c>
    </row>
    <row r="570" spans="28:54" ht="15.75" thickBot="1" x14ac:dyDescent="0.3">
      <c r="AB570" s="71" t="s">
        <v>969</v>
      </c>
      <c r="AC570" s="72" t="s">
        <v>968</v>
      </c>
      <c r="AD570" s="73" t="str">
        <f t="shared" si="30"/>
        <v>25-115</v>
      </c>
      <c r="AE570" s="74">
        <f t="shared" si="31"/>
        <v>115</v>
      </c>
      <c r="AF570" s="71" t="s">
        <v>1078</v>
      </c>
      <c r="AG570" s="73" t="s">
        <v>1992</v>
      </c>
      <c r="BA570" s="108" t="s">
        <v>4499</v>
      </c>
      <c r="BB570" s="182">
        <v>2551301</v>
      </c>
    </row>
    <row r="571" spans="28:54" ht="15.75" thickBot="1" x14ac:dyDescent="0.3">
      <c r="AB571" s="71" t="s">
        <v>969</v>
      </c>
      <c r="AC571" s="72" t="s">
        <v>968</v>
      </c>
      <c r="AD571" s="73" t="str">
        <f t="shared" si="30"/>
        <v>25-116</v>
      </c>
      <c r="AE571" s="74">
        <f t="shared" si="31"/>
        <v>116</v>
      </c>
      <c r="AF571" s="71" t="s">
        <v>1079</v>
      </c>
      <c r="AG571" s="73" t="s">
        <v>1993</v>
      </c>
      <c r="BA571" s="109" t="s">
        <v>4500</v>
      </c>
      <c r="BB571" s="183">
        <v>2551401</v>
      </c>
    </row>
    <row r="572" spans="28:54" ht="15.75" thickBot="1" x14ac:dyDescent="0.3">
      <c r="AB572" s="71" t="s">
        <v>1081</v>
      </c>
      <c r="AC572" s="72" t="s">
        <v>1080</v>
      </c>
      <c r="AD572" s="73" t="str">
        <f t="shared" si="30"/>
        <v>27-1</v>
      </c>
      <c r="AE572" s="74">
        <f t="shared" si="31"/>
        <v>1</v>
      </c>
      <c r="AF572" s="71" t="s">
        <v>1082</v>
      </c>
      <c r="AG572" s="73" t="s">
        <v>334</v>
      </c>
      <c r="BA572" s="108" t="s">
        <v>4501</v>
      </c>
      <c r="BB572" s="182">
        <v>2551901</v>
      </c>
    </row>
    <row r="573" spans="28:54" ht="15.75" thickBot="1" x14ac:dyDescent="0.3">
      <c r="AB573" s="71" t="s">
        <v>1081</v>
      </c>
      <c r="AC573" s="72" t="s">
        <v>1080</v>
      </c>
      <c r="AD573" s="73" t="str">
        <f t="shared" si="30"/>
        <v>27-2</v>
      </c>
      <c r="AE573" s="74">
        <f t="shared" si="31"/>
        <v>2</v>
      </c>
      <c r="AF573" s="71" t="s">
        <v>1083</v>
      </c>
      <c r="AG573" s="73" t="s">
        <v>1793</v>
      </c>
      <c r="BA573" s="109" t="s">
        <v>4502</v>
      </c>
      <c r="BB573" s="183">
        <v>2552001</v>
      </c>
    </row>
    <row r="574" spans="28:54" ht="15.75" thickBot="1" x14ac:dyDescent="0.3">
      <c r="AB574" s="71" t="s">
        <v>1081</v>
      </c>
      <c r="AC574" s="72" t="s">
        <v>1080</v>
      </c>
      <c r="AD574" s="73" t="str">
        <f t="shared" si="30"/>
        <v>27-3</v>
      </c>
      <c r="AE574" s="74">
        <f t="shared" si="31"/>
        <v>3</v>
      </c>
      <c r="AF574" s="71" t="s">
        <v>1084</v>
      </c>
      <c r="AG574" s="73" t="s">
        <v>1994</v>
      </c>
      <c r="BA574" s="108" t="s">
        <v>4503</v>
      </c>
      <c r="BB574" s="182">
        <v>2553001</v>
      </c>
    </row>
    <row r="575" spans="28:54" ht="15.75" thickBot="1" x14ac:dyDescent="0.3">
      <c r="AB575" s="71" t="s">
        <v>1081</v>
      </c>
      <c r="AC575" s="72" t="s">
        <v>1080</v>
      </c>
      <c r="AD575" s="73" t="str">
        <f t="shared" si="30"/>
        <v>27-4</v>
      </c>
      <c r="AE575" s="74">
        <f t="shared" si="31"/>
        <v>4</v>
      </c>
      <c r="AF575" s="71" t="s">
        <v>1085</v>
      </c>
      <c r="AG575" s="73" t="s">
        <v>1885</v>
      </c>
      <c r="BA575" s="109" t="s">
        <v>4504</v>
      </c>
      <c r="BB575" s="183">
        <v>2559001</v>
      </c>
    </row>
    <row r="576" spans="28:54" ht="15.75" thickBot="1" x14ac:dyDescent="0.3">
      <c r="AB576" s="71" t="s">
        <v>1081</v>
      </c>
      <c r="AC576" s="72" t="s">
        <v>1080</v>
      </c>
      <c r="AD576" s="73" t="str">
        <f t="shared" si="30"/>
        <v>27-5</v>
      </c>
      <c r="AE576" s="74">
        <f t="shared" si="31"/>
        <v>5</v>
      </c>
      <c r="AF576" s="71" t="s">
        <v>1086</v>
      </c>
      <c r="AG576" s="73" t="s">
        <v>1995</v>
      </c>
      <c r="BA576" s="108" t="s">
        <v>4505</v>
      </c>
      <c r="BB576" s="182">
        <v>2561201</v>
      </c>
    </row>
    <row r="577" spans="28:54" ht="15.75" thickBot="1" x14ac:dyDescent="0.3">
      <c r="AB577" s="71" t="s">
        <v>1081</v>
      </c>
      <c r="AC577" s="72" t="s">
        <v>1080</v>
      </c>
      <c r="AD577" s="73" t="str">
        <f t="shared" si="30"/>
        <v>27-6</v>
      </c>
      <c r="AE577" s="74">
        <f t="shared" si="31"/>
        <v>6</v>
      </c>
      <c r="AF577" s="71" t="s">
        <v>1087</v>
      </c>
      <c r="AG577" s="73" t="s">
        <v>1909</v>
      </c>
      <c r="BA577" s="109" t="s">
        <v>4506</v>
      </c>
      <c r="BB577" s="183">
        <v>2563001</v>
      </c>
    </row>
    <row r="578" spans="28:54" ht="15.75" thickBot="1" x14ac:dyDescent="0.3">
      <c r="AB578" s="71" t="s">
        <v>1081</v>
      </c>
      <c r="AC578" s="72" t="s">
        <v>1080</v>
      </c>
      <c r="AD578" s="73" t="str">
        <f t="shared" si="30"/>
        <v>27-7</v>
      </c>
      <c r="AE578" s="74">
        <f t="shared" si="31"/>
        <v>7</v>
      </c>
      <c r="AF578" s="71" t="s">
        <v>1088</v>
      </c>
      <c r="AG578" s="73" t="s">
        <v>48</v>
      </c>
      <c r="BA578" s="108" t="s">
        <v>4507</v>
      </c>
      <c r="BB578" s="182">
        <v>2591101</v>
      </c>
    </row>
    <row r="579" spans="28:54" ht="15.75" thickBot="1" x14ac:dyDescent="0.3">
      <c r="AB579" s="71" t="s">
        <v>1081</v>
      </c>
      <c r="AC579" s="72" t="s">
        <v>1080</v>
      </c>
      <c r="AD579" s="73" t="str">
        <f t="shared" ref="AD579:AD642" si="32">CONCATENATE(AC579,"-",AE579)</f>
        <v>27-8</v>
      </c>
      <c r="AE579" s="74">
        <f t="shared" ref="AE579:AE642" si="33">IF(AB579=AB578,1+AE578,1)</f>
        <v>8</v>
      </c>
      <c r="AF579" s="71" t="s">
        <v>1089</v>
      </c>
      <c r="AG579" s="73" t="s">
        <v>1700</v>
      </c>
      <c r="BA579" s="109" t="s">
        <v>4508</v>
      </c>
      <c r="BB579" s="183">
        <v>2591201</v>
      </c>
    </row>
    <row r="580" spans="28:54" ht="15.75" thickBot="1" x14ac:dyDescent="0.3">
      <c r="AB580" s="71" t="s">
        <v>1081</v>
      </c>
      <c r="AC580" s="72" t="s">
        <v>1080</v>
      </c>
      <c r="AD580" s="73" t="str">
        <f t="shared" si="32"/>
        <v>27-9</v>
      </c>
      <c r="AE580" s="74">
        <f t="shared" si="33"/>
        <v>9</v>
      </c>
      <c r="AF580" s="71" t="s">
        <v>1090</v>
      </c>
      <c r="AG580" s="73" t="s">
        <v>1945</v>
      </c>
      <c r="BA580" s="108" t="s">
        <v>4509</v>
      </c>
      <c r="BB580" s="182">
        <v>2591202</v>
      </c>
    </row>
    <row r="581" spans="28:54" ht="15.75" thickBot="1" x14ac:dyDescent="0.3">
      <c r="AB581" s="71" t="s">
        <v>1081</v>
      </c>
      <c r="AC581" s="72" t="s">
        <v>1080</v>
      </c>
      <c r="AD581" s="73" t="str">
        <f t="shared" si="32"/>
        <v>27-10</v>
      </c>
      <c r="AE581" s="74">
        <f t="shared" si="33"/>
        <v>10</v>
      </c>
      <c r="AF581" s="71" t="s">
        <v>1091</v>
      </c>
      <c r="AG581" s="73" t="s">
        <v>1827</v>
      </c>
      <c r="BA581" s="109" t="s">
        <v>4510</v>
      </c>
      <c r="BB581" s="183">
        <v>2591301</v>
      </c>
    </row>
    <row r="582" spans="28:54" ht="15.75" thickBot="1" x14ac:dyDescent="0.3">
      <c r="AB582" s="71" t="s">
        <v>1081</v>
      </c>
      <c r="AC582" s="72" t="s">
        <v>1080</v>
      </c>
      <c r="AD582" s="73" t="str">
        <f t="shared" si="32"/>
        <v>27-11</v>
      </c>
      <c r="AE582" s="74">
        <f t="shared" si="33"/>
        <v>11</v>
      </c>
      <c r="AF582" s="71" t="s">
        <v>1092</v>
      </c>
      <c r="AG582" s="73" t="s">
        <v>1711</v>
      </c>
      <c r="BA582" s="108" t="s">
        <v>4511</v>
      </c>
      <c r="BB582" s="182">
        <v>2591401</v>
      </c>
    </row>
    <row r="583" spans="28:54" ht="15.75" thickBot="1" x14ac:dyDescent="0.3">
      <c r="AB583" s="71" t="s">
        <v>1081</v>
      </c>
      <c r="AC583" s="72" t="s">
        <v>1080</v>
      </c>
      <c r="AD583" s="73" t="str">
        <f t="shared" si="32"/>
        <v>27-12</v>
      </c>
      <c r="AE583" s="74">
        <f t="shared" si="33"/>
        <v>12</v>
      </c>
      <c r="AF583" s="71" t="s">
        <v>1093</v>
      </c>
      <c r="AG583" s="73" t="s">
        <v>1797</v>
      </c>
      <c r="BA583" s="109" t="s">
        <v>4512</v>
      </c>
      <c r="BB583" s="183">
        <v>2592001</v>
      </c>
    </row>
    <row r="584" spans="28:54" ht="15.75" thickBot="1" x14ac:dyDescent="0.3">
      <c r="AB584" s="71" t="s">
        <v>1081</v>
      </c>
      <c r="AC584" s="72" t="s">
        <v>1080</v>
      </c>
      <c r="AD584" s="73" t="str">
        <f t="shared" si="32"/>
        <v>27-13</v>
      </c>
      <c r="AE584" s="74">
        <f t="shared" si="33"/>
        <v>13</v>
      </c>
      <c r="AF584" s="71" t="s">
        <v>1094</v>
      </c>
      <c r="AG584" s="73" t="s">
        <v>1901</v>
      </c>
      <c r="BA584" s="108" t="s">
        <v>4513</v>
      </c>
      <c r="BB584" s="182">
        <v>2592002</v>
      </c>
    </row>
    <row r="585" spans="28:54" ht="15.75" thickBot="1" x14ac:dyDescent="0.3">
      <c r="AB585" s="71" t="s">
        <v>1081</v>
      </c>
      <c r="AC585" s="72" t="s">
        <v>1080</v>
      </c>
      <c r="AD585" s="73" t="str">
        <f t="shared" si="32"/>
        <v>27-14</v>
      </c>
      <c r="AE585" s="74">
        <f t="shared" si="33"/>
        <v>14</v>
      </c>
      <c r="AF585" s="71" t="s">
        <v>1095</v>
      </c>
      <c r="AG585" s="73" t="s">
        <v>154</v>
      </c>
      <c r="BA585" s="109" t="s">
        <v>4514</v>
      </c>
      <c r="BB585" s="183">
        <v>2601001</v>
      </c>
    </row>
    <row r="586" spans="28:54" ht="15.75" thickBot="1" x14ac:dyDescent="0.3">
      <c r="AB586" s="71" t="s">
        <v>1081</v>
      </c>
      <c r="AC586" s="72" t="s">
        <v>1080</v>
      </c>
      <c r="AD586" s="73" t="str">
        <f t="shared" si="32"/>
        <v>27-15</v>
      </c>
      <c r="AE586" s="74">
        <f t="shared" si="33"/>
        <v>15</v>
      </c>
      <c r="AF586" s="71" t="s">
        <v>1096</v>
      </c>
      <c r="AG586" s="73" t="s">
        <v>1720</v>
      </c>
      <c r="BA586" s="108" t="s">
        <v>4515</v>
      </c>
      <c r="BB586" s="182">
        <v>2602001</v>
      </c>
    </row>
    <row r="587" spans="28:54" ht="15.75" thickBot="1" x14ac:dyDescent="0.3">
      <c r="AB587" s="71" t="s">
        <v>1081</v>
      </c>
      <c r="AC587" s="72" t="s">
        <v>1080</v>
      </c>
      <c r="AD587" s="73" t="str">
        <f t="shared" si="32"/>
        <v>27-16</v>
      </c>
      <c r="AE587" s="74">
        <f t="shared" si="33"/>
        <v>16</v>
      </c>
      <c r="AF587" s="71" t="s">
        <v>1097</v>
      </c>
      <c r="AG587" s="73" t="s">
        <v>214</v>
      </c>
      <c r="BA587" s="109" t="s">
        <v>4516</v>
      </c>
      <c r="BB587" s="183">
        <v>2613001</v>
      </c>
    </row>
    <row r="588" spans="28:54" ht="15.75" thickBot="1" x14ac:dyDescent="0.3">
      <c r="AB588" s="71" t="s">
        <v>1081</v>
      </c>
      <c r="AC588" s="72" t="s">
        <v>1080</v>
      </c>
      <c r="AD588" s="73" t="str">
        <f t="shared" si="32"/>
        <v>27-17</v>
      </c>
      <c r="AE588" s="74">
        <f t="shared" si="33"/>
        <v>17</v>
      </c>
      <c r="AF588" s="71" t="s">
        <v>1098</v>
      </c>
      <c r="AG588" s="73" t="s">
        <v>220</v>
      </c>
      <c r="BA588" s="108" t="s">
        <v>4517</v>
      </c>
      <c r="BB588" s="182">
        <v>2619001</v>
      </c>
    </row>
    <row r="589" spans="28:54" ht="15.75" thickBot="1" x14ac:dyDescent="0.3">
      <c r="AB589" s="71" t="s">
        <v>1081</v>
      </c>
      <c r="AC589" s="72" t="s">
        <v>1080</v>
      </c>
      <c r="AD589" s="73" t="str">
        <f t="shared" si="32"/>
        <v>27-18</v>
      </c>
      <c r="AE589" s="74">
        <f t="shared" si="33"/>
        <v>18</v>
      </c>
      <c r="AF589" s="71" t="s">
        <v>1099</v>
      </c>
      <c r="AG589" s="73" t="s">
        <v>252</v>
      </c>
      <c r="BA589" s="109" t="s">
        <v>4518</v>
      </c>
      <c r="BB589" s="183">
        <v>2652101</v>
      </c>
    </row>
    <row r="590" spans="28:54" ht="15.75" thickBot="1" x14ac:dyDescent="0.3">
      <c r="AB590" s="71" t="s">
        <v>1081</v>
      </c>
      <c r="AC590" s="72" t="s">
        <v>1080</v>
      </c>
      <c r="AD590" s="73" t="str">
        <f t="shared" si="32"/>
        <v>27-19</v>
      </c>
      <c r="AE590" s="74">
        <f t="shared" si="33"/>
        <v>19</v>
      </c>
      <c r="AF590" s="71" t="s">
        <v>1100</v>
      </c>
      <c r="AG590" s="73" t="s">
        <v>1740</v>
      </c>
      <c r="BA590" s="108" t="s">
        <v>4519</v>
      </c>
      <c r="BB590" s="182">
        <v>2652201</v>
      </c>
    </row>
    <row r="591" spans="28:54" ht="15.75" thickBot="1" x14ac:dyDescent="0.3">
      <c r="AB591" s="71" t="s">
        <v>1081</v>
      </c>
      <c r="AC591" s="72" t="s">
        <v>1080</v>
      </c>
      <c r="AD591" s="73" t="str">
        <f t="shared" si="32"/>
        <v>27-20</v>
      </c>
      <c r="AE591" s="74">
        <f t="shared" si="33"/>
        <v>20</v>
      </c>
      <c r="AF591" s="71" t="s">
        <v>1101</v>
      </c>
      <c r="AG591" s="73" t="s">
        <v>1803</v>
      </c>
      <c r="BA591" s="109" t="s">
        <v>4520</v>
      </c>
      <c r="BB591" s="183">
        <v>2653101</v>
      </c>
    </row>
    <row r="592" spans="28:54" ht="15.75" thickBot="1" x14ac:dyDescent="0.3">
      <c r="AB592" s="71" t="s">
        <v>1081</v>
      </c>
      <c r="AC592" s="72" t="s">
        <v>1080</v>
      </c>
      <c r="AD592" s="73" t="str">
        <f t="shared" si="32"/>
        <v>27-21</v>
      </c>
      <c r="AE592" s="74">
        <f t="shared" si="33"/>
        <v>21</v>
      </c>
      <c r="AF592" s="71" t="s">
        <v>1102</v>
      </c>
      <c r="AG592" s="73" t="s">
        <v>276</v>
      </c>
      <c r="BA592" s="108" t="s">
        <v>4521</v>
      </c>
      <c r="BB592" s="182">
        <v>2653201</v>
      </c>
    </row>
    <row r="593" spans="28:54" ht="15.75" thickBot="1" x14ac:dyDescent="0.3">
      <c r="AB593" s="71" t="s">
        <v>1081</v>
      </c>
      <c r="AC593" s="72" t="s">
        <v>1080</v>
      </c>
      <c r="AD593" s="73" t="str">
        <f t="shared" si="32"/>
        <v>27-22</v>
      </c>
      <c r="AE593" s="74">
        <f t="shared" si="33"/>
        <v>22</v>
      </c>
      <c r="AF593" s="71" t="s">
        <v>1103</v>
      </c>
      <c r="AG593" s="73" t="s">
        <v>1851</v>
      </c>
      <c r="BA593" s="109" t="s">
        <v>4522</v>
      </c>
      <c r="BB593" s="183">
        <v>2662101</v>
      </c>
    </row>
    <row r="594" spans="28:54" ht="15.75" thickBot="1" x14ac:dyDescent="0.3">
      <c r="AB594" s="71" t="s">
        <v>1081</v>
      </c>
      <c r="AC594" s="72" t="s">
        <v>1080</v>
      </c>
      <c r="AD594" s="73" t="str">
        <f t="shared" si="32"/>
        <v>27-23</v>
      </c>
      <c r="AE594" s="74">
        <f t="shared" si="33"/>
        <v>23</v>
      </c>
      <c r="AF594" s="71" t="s">
        <v>1104</v>
      </c>
      <c r="AG594" s="73" t="s">
        <v>304</v>
      </c>
      <c r="BA594" s="108" t="s">
        <v>4523</v>
      </c>
      <c r="BB594" s="182">
        <v>2662102</v>
      </c>
    </row>
    <row r="595" spans="28:54" ht="15.75" thickBot="1" x14ac:dyDescent="0.3">
      <c r="AB595" s="71" t="s">
        <v>1081</v>
      </c>
      <c r="AC595" s="72" t="s">
        <v>1080</v>
      </c>
      <c r="AD595" s="73" t="str">
        <f t="shared" si="32"/>
        <v>27-24</v>
      </c>
      <c r="AE595" s="74">
        <f t="shared" si="33"/>
        <v>24</v>
      </c>
      <c r="AF595" s="71" t="s">
        <v>1105</v>
      </c>
      <c r="AG595" s="73" t="s">
        <v>356</v>
      </c>
      <c r="BA595" s="109" t="s">
        <v>4524</v>
      </c>
      <c r="BB595" s="183">
        <v>2662901</v>
      </c>
    </row>
    <row r="596" spans="28:54" ht="15.75" thickBot="1" x14ac:dyDescent="0.3">
      <c r="AB596" s="71" t="s">
        <v>1081</v>
      </c>
      <c r="AC596" s="72" t="s">
        <v>1080</v>
      </c>
      <c r="AD596" s="73" t="str">
        <f t="shared" si="32"/>
        <v>27-25</v>
      </c>
      <c r="AE596" s="74">
        <f t="shared" si="33"/>
        <v>25</v>
      </c>
      <c r="AF596" s="71" t="s">
        <v>1106</v>
      </c>
      <c r="AG596" s="73" t="s">
        <v>1807</v>
      </c>
      <c r="BA596" s="108" t="s">
        <v>4525</v>
      </c>
      <c r="BB596" s="182">
        <v>2662902</v>
      </c>
    </row>
    <row r="597" spans="28:54" ht="15.75" thickBot="1" x14ac:dyDescent="0.3">
      <c r="AB597" s="71" t="s">
        <v>1081</v>
      </c>
      <c r="AC597" s="72" t="s">
        <v>1080</v>
      </c>
      <c r="AD597" s="73" t="str">
        <f t="shared" si="32"/>
        <v>27-26</v>
      </c>
      <c r="AE597" s="74">
        <f t="shared" si="33"/>
        <v>26</v>
      </c>
      <c r="AF597" s="71" t="s">
        <v>850</v>
      </c>
      <c r="AG597" s="73" t="s">
        <v>1750</v>
      </c>
      <c r="BA597" s="109" t="s">
        <v>4526</v>
      </c>
      <c r="BB597" s="183">
        <v>2721001</v>
      </c>
    </row>
    <row r="598" spans="28:54" ht="15.75" thickBot="1" x14ac:dyDescent="0.3">
      <c r="AB598" s="71" t="s">
        <v>1081</v>
      </c>
      <c r="AC598" s="72" t="s">
        <v>1080</v>
      </c>
      <c r="AD598" s="73" t="str">
        <f t="shared" si="32"/>
        <v>27-27</v>
      </c>
      <c r="AE598" s="74">
        <f t="shared" si="33"/>
        <v>27</v>
      </c>
      <c r="AF598" s="71" t="s">
        <v>1107</v>
      </c>
      <c r="AG598" s="73" t="s">
        <v>386</v>
      </c>
      <c r="BA598" s="108" t="s">
        <v>4527</v>
      </c>
      <c r="BB598" s="182">
        <v>2741001</v>
      </c>
    </row>
    <row r="599" spans="28:54" ht="15.75" thickBot="1" x14ac:dyDescent="0.3">
      <c r="AB599" s="71" t="s">
        <v>1081</v>
      </c>
      <c r="AC599" s="72" t="s">
        <v>1080</v>
      </c>
      <c r="AD599" s="73" t="str">
        <f t="shared" si="32"/>
        <v>27-28</v>
      </c>
      <c r="AE599" s="74">
        <f t="shared" si="33"/>
        <v>28</v>
      </c>
      <c r="AF599" s="71" t="s">
        <v>1108</v>
      </c>
      <c r="AG599" s="73" t="s">
        <v>1976</v>
      </c>
      <c r="BA599" s="109" t="s">
        <v>4528</v>
      </c>
      <c r="BB599" s="183">
        <v>2742001</v>
      </c>
    </row>
    <row r="600" spans="28:54" ht="15.75" thickBot="1" x14ac:dyDescent="0.3">
      <c r="AB600" s="71" t="s">
        <v>1081</v>
      </c>
      <c r="AC600" s="72" t="s">
        <v>1080</v>
      </c>
      <c r="AD600" s="73" t="str">
        <f t="shared" si="32"/>
        <v>27-29</v>
      </c>
      <c r="AE600" s="74">
        <f t="shared" si="33"/>
        <v>29</v>
      </c>
      <c r="AF600" s="71" t="s">
        <v>1109</v>
      </c>
      <c r="AG600" s="73" t="s">
        <v>454</v>
      </c>
      <c r="BA600" s="108" t="s">
        <v>4529</v>
      </c>
      <c r="BB600" s="182">
        <v>2749001</v>
      </c>
    </row>
    <row r="601" spans="28:54" ht="15.75" thickBot="1" x14ac:dyDescent="0.3">
      <c r="AB601" s="71" t="s">
        <v>1081</v>
      </c>
      <c r="AC601" s="72" t="s">
        <v>1080</v>
      </c>
      <c r="AD601" s="73" t="str">
        <f t="shared" si="32"/>
        <v>27-30</v>
      </c>
      <c r="AE601" s="74">
        <f t="shared" si="33"/>
        <v>30</v>
      </c>
      <c r="AF601" s="71" t="s">
        <v>1110</v>
      </c>
      <c r="AG601" s="73" t="s">
        <v>458</v>
      </c>
      <c r="BA601" s="109" t="s">
        <v>4530</v>
      </c>
      <c r="BB601" s="183">
        <v>2749002</v>
      </c>
    </row>
    <row r="602" spans="28:54" ht="15.75" thickBot="1" x14ac:dyDescent="0.3">
      <c r="AB602" s="71" t="s">
        <v>1081</v>
      </c>
      <c r="AC602" s="72" t="s">
        <v>1080</v>
      </c>
      <c r="AD602" s="73" t="str">
        <f t="shared" si="32"/>
        <v>27-31</v>
      </c>
      <c r="AE602" s="74">
        <f t="shared" si="33"/>
        <v>31</v>
      </c>
      <c r="AF602" s="71" t="s">
        <v>1111</v>
      </c>
      <c r="AG602" s="73" t="s">
        <v>462</v>
      </c>
      <c r="BA602" s="108" t="s">
        <v>4531</v>
      </c>
      <c r="BB602" s="182">
        <v>2750001</v>
      </c>
    </row>
    <row r="603" spans="28:54" ht="15.75" thickBot="1" x14ac:dyDescent="0.3">
      <c r="AB603" s="71" t="s">
        <v>1113</v>
      </c>
      <c r="AC603" s="72" t="s">
        <v>1112</v>
      </c>
      <c r="AD603" s="73" t="str">
        <f t="shared" si="32"/>
        <v>41-1</v>
      </c>
      <c r="AE603" s="74">
        <f t="shared" si="33"/>
        <v>1</v>
      </c>
      <c r="AF603" s="71" t="s">
        <v>1114</v>
      </c>
      <c r="AG603" s="73" t="s">
        <v>334</v>
      </c>
      <c r="BA603" s="109" t="s">
        <v>4532</v>
      </c>
      <c r="BB603" s="183">
        <v>2771001</v>
      </c>
    </row>
    <row r="604" spans="28:54" ht="15.75" thickBot="1" x14ac:dyDescent="0.3">
      <c r="AB604" s="71" t="s">
        <v>1113</v>
      </c>
      <c r="AC604" s="72" t="s">
        <v>1112</v>
      </c>
      <c r="AD604" s="73" t="str">
        <f t="shared" si="32"/>
        <v>41-2</v>
      </c>
      <c r="AE604" s="74">
        <f t="shared" si="33"/>
        <v>2</v>
      </c>
      <c r="AF604" s="71" t="s">
        <v>1115</v>
      </c>
      <c r="AG604" s="73" t="s">
        <v>1793</v>
      </c>
      <c r="BA604" s="108" t="s">
        <v>4533</v>
      </c>
      <c r="BB604" s="182">
        <v>2772101</v>
      </c>
    </row>
    <row r="605" spans="28:54" ht="15.75" thickBot="1" x14ac:dyDescent="0.3">
      <c r="AB605" s="71" t="s">
        <v>1113</v>
      </c>
      <c r="AC605" s="72" t="s">
        <v>1112</v>
      </c>
      <c r="AD605" s="73" t="str">
        <f t="shared" si="32"/>
        <v>41-3</v>
      </c>
      <c r="AE605" s="74">
        <f t="shared" si="33"/>
        <v>3</v>
      </c>
      <c r="AF605" s="71" t="s">
        <v>1116</v>
      </c>
      <c r="AG605" s="73" t="s">
        <v>16</v>
      </c>
      <c r="BA605" s="109" t="s">
        <v>4534</v>
      </c>
      <c r="BB605" s="183">
        <v>2773001</v>
      </c>
    </row>
    <row r="606" spans="28:54" ht="15.75" thickBot="1" x14ac:dyDescent="0.3">
      <c r="AB606" s="71" t="s">
        <v>1113</v>
      </c>
      <c r="AC606" s="72" t="s">
        <v>1112</v>
      </c>
      <c r="AD606" s="73" t="str">
        <f t="shared" si="32"/>
        <v>41-4</v>
      </c>
      <c r="AE606" s="74">
        <f t="shared" si="33"/>
        <v>4</v>
      </c>
      <c r="AF606" s="71" t="s">
        <v>1117</v>
      </c>
      <c r="AG606" s="73" t="s">
        <v>1996</v>
      </c>
      <c r="BA606" s="108" t="s">
        <v>4535</v>
      </c>
      <c r="BB606" s="182">
        <v>2773002</v>
      </c>
    </row>
    <row r="607" spans="28:54" ht="15.75" thickBot="1" x14ac:dyDescent="0.3">
      <c r="AB607" s="71" t="s">
        <v>1113</v>
      </c>
      <c r="AC607" s="72" t="s">
        <v>1112</v>
      </c>
      <c r="AD607" s="73" t="str">
        <f t="shared" si="32"/>
        <v>41-5</v>
      </c>
      <c r="AE607" s="74">
        <f t="shared" si="33"/>
        <v>5</v>
      </c>
      <c r="AF607" s="71" t="s">
        <v>1118</v>
      </c>
      <c r="AG607" s="73" t="s">
        <v>1997</v>
      </c>
      <c r="BA607" s="109" t="s">
        <v>4536</v>
      </c>
      <c r="BB607" s="183">
        <v>2773003</v>
      </c>
    </row>
    <row r="608" spans="28:54" ht="15.75" thickBot="1" x14ac:dyDescent="0.3">
      <c r="AB608" s="71" t="s">
        <v>1113</v>
      </c>
      <c r="AC608" s="72" t="s">
        <v>1112</v>
      </c>
      <c r="AD608" s="73" t="str">
        <f t="shared" si="32"/>
        <v>41-6</v>
      </c>
      <c r="AE608" s="74">
        <f t="shared" si="33"/>
        <v>6</v>
      </c>
      <c r="AF608" s="71" t="s">
        <v>1119</v>
      </c>
      <c r="AG608" s="73" t="s">
        <v>38</v>
      </c>
      <c r="BA608" s="108" t="s">
        <v>4537</v>
      </c>
      <c r="BB608" s="182">
        <v>2773004</v>
      </c>
    </row>
    <row r="609" spans="28:54" ht="15.75" thickBot="1" x14ac:dyDescent="0.3">
      <c r="AB609" s="71" t="s">
        <v>1113</v>
      </c>
      <c r="AC609" s="72" t="s">
        <v>1112</v>
      </c>
      <c r="AD609" s="73" t="str">
        <f t="shared" si="32"/>
        <v>41-7</v>
      </c>
      <c r="AE609" s="74">
        <f t="shared" si="33"/>
        <v>7</v>
      </c>
      <c r="AF609" s="71" t="s">
        <v>1120</v>
      </c>
      <c r="AG609" s="73" t="s">
        <v>1778</v>
      </c>
      <c r="BA609" s="109" t="s">
        <v>4538</v>
      </c>
      <c r="BB609" s="183">
        <v>2773005</v>
      </c>
    </row>
    <row r="610" spans="28:54" ht="15.75" thickBot="1" x14ac:dyDescent="0.3">
      <c r="AB610" s="71" t="s">
        <v>1113</v>
      </c>
      <c r="AC610" s="72" t="s">
        <v>1112</v>
      </c>
      <c r="AD610" s="73" t="str">
        <f t="shared" si="32"/>
        <v>41-8</v>
      </c>
      <c r="AE610" s="74">
        <f t="shared" si="33"/>
        <v>8</v>
      </c>
      <c r="AF610" s="71" t="s">
        <v>1121</v>
      </c>
      <c r="AG610" s="73" t="s">
        <v>1998</v>
      </c>
      <c r="BA610" s="108" t="s">
        <v>4539</v>
      </c>
      <c r="BB610" s="182">
        <v>2773006</v>
      </c>
    </row>
    <row r="611" spans="28:54" ht="15.75" thickBot="1" x14ac:dyDescent="0.3">
      <c r="AB611" s="71" t="s">
        <v>1113</v>
      </c>
      <c r="AC611" s="72" t="s">
        <v>1112</v>
      </c>
      <c r="AD611" s="73" t="str">
        <f t="shared" si="32"/>
        <v>41-9</v>
      </c>
      <c r="AE611" s="74">
        <f t="shared" si="33"/>
        <v>9</v>
      </c>
      <c r="AF611" s="71" t="s">
        <v>111</v>
      </c>
      <c r="AG611" s="73" t="s">
        <v>1715</v>
      </c>
      <c r="BA611" s="109" t="s">
        <v>3903</v>
      </c>
      <c r="BB611" s="183">
        <v>2773007</v>
      </c>
    </row>
    <row r="612" spans="28:54" ht="15.75" thickBot="1" x14ac:dyDescent="0.3">
      <c r="AB612" s="71" t="s">
        <v>1113</v>
      </c>
      <c r="AC612" s="72" t="s">
        <v>1112</v>
      </c>
      <c r="AD612" s="73" t="str">
        <f t="shared" si="32"/>
        <v>41-10</v>
      </c>
      <c r="AE612" s="74">
        <f t="shared" si="33"/>
        <v>10</v>
      </c>
      <c r="AF612" s="71" t="s">
        <v>1122</v>
      </c>
      <c r="AG612" s="73" t="s">
        <v>146</v>
      </c>
      <c r="BA612" s="108" t="s">
        <v>4540</v>
      </c>
      <c r="BB612" s="182">
        <v>2773008</v>
      </c>
    </row>
    <row r="613" spans="28:54" ht="15.75" thickBot="1" x14ac:dyDescent="0.3">
      <c r="AB613" s="71" t="s">
        <v>1113</v>
      </c>
      <c r="AC613" s="72" t="s">
        <v>1112</v>
      </c>
      <c r="AD613" s="73" t="str">
        <f t="shared" si="32"/>
        <v>41-11</v>
      </c>
      <c r="AE613" s="74">
        <f t="shared" si="33"/>
        <v>11</v>
      </c>
      <c r="AF613" s="71" t="s">
        <v>1123</v>
      </c>
      <c r="AG613" s="73" t="s">
        <v>1999</v>
      </c>
      <c r="BA613" s="109" t="s">
        <v>4541</v>
      </c>
      <c r="BB613" s="183">
        <v>2773009</v>
      </c>
    </row>
    <row r="614" spans="28:54" ht="15.75" thickBot="1" x14ac:dyDescent="0.3">
      <c r="AB614" s="71" t="s">
        <v>1113</v>
      </c>
      <c r="AC614" s="72" t="s">
        <v>1112</v>
      </c>
      <c r="AD614" s="73" t="str">
        <f t="shared" si="32"/>
        <v>41-12</v>
      </c>
      <c r="AE614" s="74">
        <f t="shared" si="33"/>
        <v>12</v>
      </c>
      <c r="AF614" s="71" t="s">
        <v>1124</v>
      </c>
      <c r="AG614" s="73" t="s">
        <v>1725</v>
      </c>
      <c r="BA614" s="108" t="s">
        <v>4542</v>
      </c>
      <c r="BB614" s="182">
        <v>2773010</v>
      </c>
    </row>
    <row r="615" spans="28:54" ht="15.75" thickBot="1" x14ac:dyDescent="0.3">
      <c r="AB615" s="71" t="s">
        <v>1113</v>
      </c>
      <c r="AC615" s="72" t="s">
        <v>1112</v>
      </c>
      <c r="AD615" s="73" t="str">
        <f t="shared" si="32"/>
        <v>41-13</v>
      </c>
      <c r="AE615" s="74">
        <f t="shared" si="33"/>
        <v>13</v>
      </c>
      <c r="AF615" s="71" t="s">
        <v>191</v>
      </c>
      <c r="AG615" s="73" t="s">
        <v>2000</v>
      </c>
      <c r="BA615" s="109" t="s">
        <v>4543</v>
      </c>
      <c r="BB615" s="183">
        <v>2801001</v>
      </c>
    </row>
    <row r="616" spans="28:54" ht="15.75" thickBot="1" x14ac:dyDescent="0.3">
      <c r="AB616" s="71" t="s">
        <v>1113</v>
      </c>
      <c r="AC616" s="72" t="s">
        <v>1112</v>
      </c>
      <c r="AD616" s="73" t="str">
        <f t="shared" si="32"/>
        <v>41-14</v>
      </c>
      <c r="AE616" s="74">
        <f t="shared" si="33"/>
        <v>14</v>
      </c>
      <c r="AF616" s="71" t="s">
        <v>1125</v>
      </c>
      <c r="AG616" s="73" t="s">
        <v>2001</v>
      </c>
      <c r="BA616" s="108" t="s">
        <v>4544</v>
      </c>
      <c r="BB616" s="182">
        <v>2811001</v>
      </c>
    </row>
    <row r="617" spans="28:54" ht="15.75" thickBot="1" x14ac:dyDescent="0.3">
      <c r="AB617" s="71" t="s">
        <v>1113</v>
      </c>
      <c r="AC617" s="72" t="s">
        <v>1112</v>
      </c>
      <c r="AD617" s="73" t="str">
        <f t="shared" si="32"/>
        <v>41-15</v>
      </c>
      <c r="AE617" s="74">
        <f t="shared" si="33"/>
        <v>15</v>
      </c>
      <c r="AF617" s="71" t="s">
        <v>1126</v>
      </c>
      <c r="AG617" s="73" t="s">
        <v>2002</v>
      </c>
      <c r="BA617" s="109" t="s">
        <v>4545</v>
      </c>
      <c r="BB617" s="183">
        <v>2812101</v>
      </c>
    </row>
    <row r="618" spans="28:54" ht="15.75" thickBot="1" x14ac:dyDescent="0.3">
      <c r="AB618" s="71" t="s">
        <v>1113</v>
      </c>
      <c r="AC618" s="72" t="s">
        <v>1112</v>
      </c>
      <c r="AD618" s="73" t="str">
        <f t="shared" si="32"/>
        <v>41-16</v>
      </c>
      <c r="AE618" s="74">
        <f t="shared" si="33"/>
        <v>16</v>
      </c>
      <c r="AF618" s="71" t="s">
        <v>1127</v>
      </c>
      <c r="AG618" s="73" t="s">
        <v>2003</v>
      </c>
      <c r="BA618" s="108" t="s">
        <v>3904</v>
      </c>
      <c r="BB618" s="182">
        <v>2812901</v>
      </c>
    </row>
    <row r="619" spans="28:54" ht="15.75" thickBot="1" x14ac:dyDescent="0.3">
      <c r="AB619" s="71" t="s">
        <v>1113</v>
      </c>
      <c r="AC619" s="72" t="s">
        <v>1112</v>
      </c>
      <c r="AD619" s="73" t="str">
        <f t="shared" si="32"/>
        <v>41-17</v>
      </c>
      <c r="AE619" s="74">
        <f t="shared" si="33"/>
        <v>17</v>
      </c>
      <c r="AF619" s="71" t="s">
        <v>1128</v>
      </c>
      <c r="AG619" s="73" t="s">
        <v>2004</v>
      </c>
      <c r="BA619" s="109" t="s">
        <v>4546</v>
      </c>
      <c r="BB619" s="183">
        <v>2813001</v>
      </c>
    </row>
    <row r="620" spans="28:54" ht="15.75" thickBot="1" x14ac:dyDescent="0.3">
      <c r="AB620" s="71" t="s">
        <v>1113</v>
      </c>
      <c r="AC620" s="72" t="s">
        <v>1112</v>
      </c>
      <c r="AD620" s="73" t="str">
        <f t="shared" si="32"/>
        <v>41-18</v>
      </c>
      <c r="AE620" s="74">
        <f t="shared" si="33"/>
        <v>18</v>
      </c>
      <c r="AF620" s="71" t="s">
        <v>1129</v>
      </c>
      <c r="AG620" s="73" t="s">
        <v>2005</v>
      </c>
      <c r="BA620" s="108" t="s">
        <v>4547</v>
      </c>
      <c r="BB620" s="182">
        <v>2821101</v>
      </c>
    </row>
    <row r="621" spans="28:54" ht="15.75" thickBot="1" x14ac:dyDescent="0.3">
      <c r="AB621" s="71" t="s">
        <v>1113</v>
      </c>
      <c r="AC621" s="72" t="s">
        <v>1112</v>
      </c>
      <c r="AD621" s="73" t="str">
        <f t="shared" si="32"/>
        <v>41-19</v>
      </c>
      <c r="AE621" s="74">
        <f t="shared" si="33"/>
        <v>19</v>
      </c>
      <c r="AF621" s="71" t="s">
        <v>1130</v>
      </c>
      <c r="AG621" s="73" t="s">
        <v>1743</v>
      </c>
      <c r="BA621" s="109" t="s">
        <v>4548</v>
      </c>
      <c r="BB621" s="183">
        <v>2821901</v>
      </c>
    </row>
    <row r="622" spans="28:54" ht="15.75" thickBot="1" x14ac:dyDescent="0.3">
      <c r="AB622" s="71" t="s">
        <v>1113</v>
      </c>
      <c r="AC622" s="72" t="s">
        <v>1112</v>
      </c>
      <c r="AD622" s="73" t="str">
        <f t="shared" si="32"/>
        <v>41-20</v>
      </c>
      <c r="AE622" s="74">
        <f t="shared" si="33"/>
        <v>20</v>
      </c>
      <c r="AF622" s="71" t="s">
        <v>1131</v>
      </c>
      <c r="AG622" s="73" t="s">
        <v>2006</v>
      </c>
      <c r="BA622" s="108" t="s">
        <v>4549</v>
      </c>
      <c r="BB622" s="182">
        <v>2829101</v>
      </c>
    </row>
    <row r="623" spans="28:54" ht="15.75" thickBot="1" x14ac:dyDescent="0.3">
      <c r="AB623" s="71" t="s">
        <v>1113</v>
      </c>
      <c r="AC623" s="72" t="s">
        <v>1112</v>
      </c>
      <c r="AD623" s="73" t="str">
        <f t="shared" si="32"/>
        <v>41-21</v>
      </c>
      <c r="AE623" s="74">
        <f t="shared" si="33"/>
        <v>21</v>
      </c>
      <c r="AF623" s="71" t="s">
        <v>1132</v>
      </c>
      <c r="AG623" s="73" t="s">
        <v>1855</v>
      </c>
      <c r="BA623" s="109" t="s">
        <v>4550</v>
      </c>
      <c r="BB623" s="183">
        <v>2829201</v>
      </c>
    </row>
    <row r="624" spans="28:54" ht="15.75" thickBot="1" x14ac:dyDescent="0.3">
      <c r="AB624" s="71" t="s">
        <v>1113</v>
      </c>
      <c r="AC624" s="72" t="s">
        <v>1112</v>
      </c>
      <c r="AD624" s="73" t="str">
        <f t="shared" si="32"/>
        <v>41-22</v>
      </c>
      <c r="AE624" s="74">
        <f t="shared" si="33"/>
        <v>22</v>
      </c>
      <c r="AF624" s="71" t="s">
        <v>1133</v>
      </c>
      <c r="AG624" s="73" t="s">
        <v>1892</v>
      </c>
      <c r="BA624" s="108" t="s">
        <v>4551</v>
      </c>
      <c r="BB624" s="182">
        <v>2829901</v>
      </c>
    </row>
    <row r="625" spans="28:54" ht="15.75" thickBot="1" x14ac:dyDescent="0.3">
      <c r="AB625" s="71" t="s">
        <v>1113</v>
      </c>
      <c r="AC625" s="72" t="s">
        <v>1112</v>
      </c>
      <c r="AD625" s="73" t="str">
        <f t="shared" si="32"/>
        <v>41-23</v>
      </c>
      <c r="AE625" s="74">
        <f t="shared" si="33"/>
        <v>23</v>
      </c>
      <c r="AF625" s="71" t="s">
        <v>355</v>
      </c>
      <c r="AG625" s="73" t="s">
        <v>1970</v>
      </c>
      <c r="BA625" s="109" t="s">
        <v>4552</v>
      </c>
      <c r="BB625" s="183">
        <v>2843001</v>
      </c>
    </row>
    <row r="626" spans="28:54" ht="15.75" thickBot="1" x14ac:dyDescent="0.3">
      <c r="AB626" s="71" t="s">
        <v>1113</v>
      </c>
      <c r="AC626" s="72" t="s">
        <v>1112</v>
      </c>
      <c r="AD626" s="73" t="str">
        <f t="shared" si="32"/>
        <v>41-24</v>
      </c>
      <c r="AE626" s="74">
        <f t="shared" si="33"/>
        <v>24</v>
      </c>
      <c r="AF626" s="71" t="s">
        <v>1134</v>
      </c>
      <c r="AG626" s="73" t="s">
        <v>344</v>
      </c>
      <c r="BA626" s="108" t="s">
        <v>4553</v>
      </c>
      <c r="BB626" s="182">
        <v>2851101</v>
      </c>
    </row>
    <row r="627" spans="28:54" ht="15.75" thickBot="1" x14ac:dyDescent="0.3">
      <c r="AB627" s="71" t="s">
        <v>1113</v>
      </c>
      <c r="AC627" s="72" t="s">
        <v>1112</v>
      </c>
      <c r="AD627" s="73" t="str">
        <f t="shared" si="32"/>
        <v>41-25</v>
      </c>
      <c r="AE627" s="74">
        <f t="shared" si="33"/>
        <v>25</v>
      </c>
      <c r="AF627" s="71" t="s">
        <v>1135</v>
      </c>
      <c r="AG627" s="73" t="s">
        <v>484</v>
      </c>
      <c r="BA627" s="109" t="s">
        <v>4554</v>
      </c>
      <c r="BB627" s="183">
        <v>2851201</v>
      </c>
    </row>
    <row r="628" spans="28:54" ht="15.75" thickBot="1" x14ac:dyDescent="0.3">
      <c r="AB628" s="71" t="s">
        <v>1113</v>
      </c>
      <c r="AC628" s="72" t="s">
        <v>1112</v>
      </c>
      <c r="AD628" s="73" t="str">
        <f t="shared" si="32"/>
        <v>41-26</v>
      </c>
      <c r="AE628" s="74">
        <f t="shared" si="33"/>
        <v>26</v>
      </c>
      <c r="AF628" s="71" t="s">
        <v>1136</v>
      </c>
      <c r="AG628" s="73" t="s">
        <v>1750</v>
      </c>
      <c r="BA628" s="108" t="s">
        <v>4555</v>
      </c>
      <c r="BB628" s="182">
        <v>2853001</v>
      </c>
    </row>
    <row r="629" spans="28:54" ht="15.75" thickBot="1" x14ac:dyDescent="0.3">
      <c r="AB629" s="71" t="s">
        <v>1113</v>
      </c>
      <c r="AC629" s="72" t="s">
        <v>1112</v>
      </c>
      <c r="AD629" s="73" t="str">
        <f t="shared" si="32"/>
        <v>41-27</v>
      </c>
      <c r="AE629" s="74">
        <f t="shared" si="33"/>
        <v>27</v>
      </c>
      <c r="AF629" s="71" t="s">
        <v>1137</v>
      </c>
      <c r="AG629" s="73" t="s">
        <v>386</v>
      </c>
      <c r="BA629" s="109" t="s">
        <v>4556</v>
      </c>
      <c r="BB629" s="183">
        <v>2855201</v>
      </c>
    </row>
    <row r="630" spans="28:54" ht="15.75" thickBot="1" x14ac:dyDescent="0.3">
      <c r="AB630" s="71" t="s">
        <v>1113</v>
      </c>
      <c r="AC630" s="72" t="s">
        <v>1112</v>
      </c>
      <c r="AD630" s="73" t="str">
        <f t="shared" si="32"/>
        <v>41-28</v>
      </c>
      <c r="AE630" s="74">
        <f t="shared" si="33"/>
        <v>28</v>
      </c>
      <c r="AF630" s="71" t="s">
        <v>1138</v>
      </c>
      <c r="AG630" s="73" t="s">
        <v>2007</v>
      </c>
      <c r="BA630" s="108" t="s">
        <v>4557</v>
      </c>
      <c r="BB630" s="182">
        <v>2862101</v>
      </c>
    </row>
    <row r="631" spans="28:54" ht="15.75" thickBot="1" x14ac:dyDescent="0.3">
      <c r="AB631" s="71" t="s">
        <v>1113</v>
      </c>
      <c r="AC631" s="72" t="s">
        <v>1112</v>
      </c>
      <c r="AD631" s="73" t="str">
        <f t="shared" si="32"/>
        <v>41-29</v>
      </c>
      <c r="AE631" s="74">
        <f t="shared" si="33"/>
        <v>29</v>
      </c>
      <c r="AF631" s="71" t="s">
        <v>796</v>
      </c>
      <c r="AG631" s="73" t="s">
        <v>390</v>
      </c>
      <c r="BA631" s="109" t="s">
        <v>4558</v>
      </c>
      <c r="BB631" s="183">
        <v>2862102</v>
      </c>
    </row>
    <row r="632" spans="28:54" ht="15.75" thickBot="1" x14ac:dyDescent="0.3">
      <c r="AB632" s="71" t="s">
        <v>1113</v>
      </c>
      <c r="AC632" s="72" t="s">
        <v>1112</v>
      </c>
      <c r="AD632" s="73" t="str">
        <f t="shared" si="32"/>
        <v>41-30</v>
      </c>
      <c r="AE632" s="74">
        <f t="shared" si="33"/>
        <v>30</v>
      </c>
      <c r="AF632" s="71" t="s">
        <v>1139</v>
      </c>
      <c r="AG632" s="73" t="s">
        <v>440</v>
      </c>
      <c r="BA632" s="108" t="s">
        <v>4559</v>
      </c>
      <c r="BB632" s="182">
        <v>2862201</v>
      </c>
    </row>
    <row r="633" spans="28:54" ht="15.75" thickBot="1" x14ac:dyDescent="0.3">
      <c r="AB633" s="71" t="s">
        <v>1113</v>
      </c>
      <c r="AC633" s="72" t="s">
        <v>1112</v>
      </c>
      <c r="AD633" s="73" t="str">
        <f t="shared" si="32"/>
        <v>41-31</v>
      </c>
      <c r="AE633" s="74">
        <f t="shared" si="33"/>
        <v>31</v>
      </c>
      <c r="AF633" s="71" t="s">
        <v>1140</v>
      </c>
      <c r="AG633" s="73" t="s">
        <v>2008</v>
      </c>
      <c r="BA633" s="109" t="s">
        <v>4560</v>
      </c>
      <c r="BB633" s="183">
        <v>2862202</v>
      </c>
    </row>
    <row r="634" spans="28:54" ht="15.75" thickBot="1" x14ac:dyDescent="0.3">
      <c r="AB634" s="71" t="s">
        <v>1113</v>
      </c>
      <c r="AC634" s="72" t="s">
        <v>1112</v>
      </c>
      <c r="AD634" s="73" t="str">
        <f t="shared" si="32"/>
        <v>41-32</v>
      </c>
      <c r="AE634" s="74">
        <f t="shared" si="33"/>
        <v>32</v>
      </c>
      <c r="AF634" s="71" t="s">
        <v>1141</v>
      </c>
      <c r="AG634" s="73" t="s">
        <v>1983</v>
      </c>
      <c r="BA634" s="108" t="s">
        <v>4561</v>
      </c>
      <c r="BB634" s="182">
        <v>2871001</v>
      </c>
    </row>
    <row r="635" spans="28:54" ht="15.75" thickBot="1" x14ac:dyDescent="0.3">
      <c r="AB635" s="71" t="s">
        <v>1113</v>
      </c>
      <c r="AC635" s="72" t="s">
        <v>1112</v>
      </c>
      <c r="AD635" s="73" t="str">
        <f t="shared" si="32"/>
        <v>41-33</v>
      </c>
      <c r="AE635" s="74">
        <f t="shared" si="33"/>
        <v>33</v>
      </c>
      <c r="AF635" s="71" t="s">
        <v>1142</v>
      </c>
      <c r="AG635" s="73" t="s">
        <v>1984</v>
      </c>
      <c r="BA635" s="109" t="s">
        <v>4562</v>
      </c>
      <c r="BB635" s="183">
        <v>2872001</v>
      </c>
    </row>
    <row r="636" spans="28:54" ht="15.75" thickBot="1" x14ac:dyDescent="0.3">
      <c r="AB636" s="71" t="s">
        <v>1113</v>
      </c>
      <c r="AC636" s="72" t="s">
        <v>1112</v>
      </c>
      <c r="AD636" s="73" t="str">
        <f t="shared" si="32"/>
        <v>41-34</v>
      </c>
      <c r="AE636" s="74">
        <f t="shared" si="33"/>
        <v>34</v>
      </c>
      <c r="AF636" s="71" t="s">
        <v>1143</v>
      </c>
      <c r="AG636" s="73" t="s">
        <v>2009</v>
      </c>
      <c r="BA636" s="108" t="s">
        <v>4563</v>
      </c>
      <c r="BB636" s="182">
        <v>2873001</v>
      </c>
    </row>
    <row r="637" spans="28:54" ht="15.75" thickBot="1" x14ac:dyDescent="0.3">
      <c r="AB637" s="71" t="s">
        <v>1113</v>
      </c>
      <c r="AC637" s="72" t="s">
        <v>1112</v>
      </c>
      <c r="AD637" s="73" t="str">
        <f t="shared" si="32"/>
        <v>41-35</v>
      </c>
      <c r="AE637" s="74">
        <f t="shared" si="33"/>
        <v>35</v>
      </c>
      <c r="AF637" s="71" t="s">
        <v>1144</v>
      </c>
      <c r="AG637" s="73" t="s">
        <v>1922</v>
      </c>
      <c r="BA637" s="109" t="s">
        <v>4564</v>
      </c>
      <c r="BB637" s="183">
        <v>2879001</v>
      </c>
    </row>
    <row r="638" spans="28:54" ht="15.75" thickBot="1" x14ac:dyDescent="0.3">
      <c r="AB638" s="71" t="s">
        <v>1113</v>
      </c>
      <c r="AC638" s="72" t="s">
        <v>1112</v>
      </c>
      <c r="AD638" s="73" t="str">
        <f t="shared" si="32"/>
        <v>41-36</v>
      </c>
      <c r="AE638" s="74">
        <f t="shared" si="33"/>
        <v>36</v>
      </c>
      <c r="AF638" s="71" t="s">
        <v>1145</v>
      </c>
      <c r="AG638" s="73" t="s">
        <v>2010</v>
      </c>
      <c r="BA638" s="108" t="s">
        <v>4565</v>
      </c>
      <c r="BB638" s="182">
        <v>2879002</v>
      </c>
    </row>
    <row r="639" spans="28:54" ht="15.75" thickBot="1" x14ac:dyDescent="0.3">
      <c r="AB639" s="71" t="s">
        <v>1113</v>
      </c>
      <c r="AC639" s="72" t="s">
        <v>1112</v>
      </c>
      <c r="AD639" s="73" t="str">
        <f t="shared" si="32"/>
        <v>41-37</v>
      </c>
      <c r="AE639" s="74">
        <f t="shared" si="33"/>
        <v>37</v>
      </c>
      <c r="AF639" s="71" t="s">
        <v>1146</v>
      </c>
      <c r="AG639" s="73" t="s">
        <v>498</v>
      </c>
      <c r="BA639" s="109" t="s">
        <v>4566</v>
      </c>
      <c r="BB639" s="183">
        <v>2900201</v>
      </c>
    </row>
    <row r="640" spans="28:54" ht="15.75" thickBot="1" x14ac:dyDescent="0.3">
      <c r="AB640" s="71" t="s">
        <v>1148</v>
      </c>
      <c r="AC640" s="72" t="s">
        <v>1147</v>
      </c>
      <c r="AD640" s="73" t="str">
        <f t="shared" si="32"/>
        <v>44-1</v>
      </c>
      <c r="AE640" s="74">
        <f t="shared" si="33"/>
        <v>1</v>
      </c>
      <c r="AF640" s="71" t="s">
        <v>1149</v>
      </c>
      <c r="AG640" s="73" t="s">
        <v>334</v>
      </c>
      <c r="BA640" s="108" t="s">
        <v>4567</v>
      </c>
      <c r="BB640" s="182">
        <v>2900501</v>
      </c>
    </row>
    <row r="641" spans="28:54" ht="15.75" thickBot="1" x14ac:dyDescent="0.3">
      <c r="AB641" s="71" t="s">
        <v>1148</v>
      </c>
      <c r="AC641" s="72" t="s">
        <v>1147</v>
      </c>
      <c r="AD641" s="73" t="str">
        <f t="shared" si="32"/>
        <v>44-2</v>
      </c>
      <c r="AE641" s="74">
        <f t="shared" si="33"/>
        <v>2</v>
      </c>
      <c r="AF641" s="71" t="s">
        <v>19</v>
      </c>
      <c r="AG641" s="73" t="s">
        <v>1943</v>
      </c>
      <c r="BA641" s="109" t="s">
        <v>4568</v>
      </c>
      <c r="BB641" s="183">
        <v>2900601</v>
      </c>
    </row>
    <row r="642" spans="28:54" ht="15.75" thickBot="1" x14ac:dyDescent="0.3">
      <c r="AB642" s="71" t="s">
        <v>1148</v>
      </c>
      <c r="AC642" s="72" t="s">
        <v>1147</v>
      </c>
      <c r="AD642" s="73" t="str">
        <f t="shared" si="32"/>
        <v>44-3</v>
      </c>
      <c r="AE642" s="74">
        <f t="shared" si="33"/>
        <v>3</v>
      </c>
      <c r="AF642" s="71" t="s">
        <v>1150</v>
      </c>
      <c r="AG642" s="73" t="s">
        <v>1778</v>
      </c>
      <c r="BA642" s="108" t="s">
        <v>3905</v>
      </c>
      <c r="BB642" s="182">
        <v>2931201</v>
      </c>
    </row>
    <row r="643" spans="28:54" ht="15.75" thickBot="1" x14ac:dyDescent="0.3">
      <c r="AB643" s="71" t="s">
        <v>1148</v>
      </c>
      <c r="AC643" s="72" t="s">
        <v>1147</v>
      </c>
      <c r="AD643" s="73" t="str">
        <f t="shared" ref="AD643:AD706" si="34">CONCATENATE(AC643,"-",AE643)</f>
        <v>44-4</v>
      </c>
      <c r="AE643" s="74">
        <f t="shared" ref="AE643:AE706" si="35">IF(AB643=AB642,1+AE642,1)</f>
        <v>4</v>
      </c>
      <c r="AF643" s="71" t="s">
        <v>1151</v>
      </c>
      <c r="AG643" s="73" t="s">
        <v>64</v>
      </c>
      <c r="BA643" s="109" t="s">
        <v>4569</v>
      </c>
      <c r="BB643" s="183">
        <v>2932901</v>
      </c>
    </row>
    <row r="644" spans="28:54" ht="15.75" thickBot="1" x14ac:dyDescent="0.3">
      <c r="AB644" s="71" t="s">
        <v>1148</v>
      </c>
      <c r="AC644" s="72" t="s">
        <v>1147</v>
      </c>
      <c r="AD644" s="73" t="str">
        <f t="shared" si="34"/>
        <v>44-5</v>
      </c>
      <c r="AE644" s="74">
        <f t="shared" si="35"/>
        <v>5</v>
      </c>
      <c r="AF644" s="71" t="s">
        <v>1152</v>
      </c>
      <c r="AG644" s="73" t="s">
        <v>2011</v>
      </c>
      <c r="BA644" s="108" t="s">
        <v>4570</v>
      </c>
      <c r="BB644" s="182">
        <v>2951101</v>
      </c>
    </row>
    <row r="645" spans="28:54" ht="15.75" thickBot="1" x14ac:dyDescent="0.3">
      <c r="AB645" s="71" t="s">
        <v>1148</v>
      </c>
      <c r="AC645" s="72" t="s">
        <v>1147</v>
      </c>
      <c r="AD645" s="73" t="str">
        <f t="shared" si="34"/>
        <v>44-6</v>
      </c>
      <c r="AE645" s="74">
        <f t="shared" si="35"/>
        <v>6</v>
      </c>
      <c r="AF645" s="71" t="s">
        <v>1153</v>
      </c>
      <c r="AG645" s="73" t="s">
        <v>1911</v>
      </c>
      <c r="BA645" s="109" t="s">
        <v>4571</v>
      </c>
      <c r="BB645" s="183">
        <v>2951201</v>
      </c>
    </row>
    <row r="646" spans="28:54" ht="15.75" thickBot="1" x14ac:dyDescent="0.3">
      <c r="AB646" s="71" t="s">
        <v>1148</v>
      </c>
      <c r="AC646" s="72" t="s">
        <v>1147</v>
      </c>
      <c r="AD646" s="73" t="str">
        <f t="shared" si="34"/>
        <v>44-7</v>
      </c>
      <c r="AE646" s="74">
        <f t="shared" si="35"/>
        <v>7</v>
      </c>
      <c r="AF646" s="71" t="s">
        <v>1154</v>
      </c>
      <c r="AG646" s="73" t="s">
        <v>1955</v>
      </c>
      <c r="BA646" s="108" t="s">
        <v>4572</v>
      </c>
      <c r="BB646" s="182">
        <v>2952101</v>
      </c>
    </row>
    <row r="647" spans="28:54" ht="15.75" thickBot="1" x14ac:dyDescent="0.3">
      <c r="AB647" s="71" t="s">
        <v>1148</v>
      </c>
      <c r="AC647" s="72" t="s">
        <v>1147</v>
      </c>
      <c r="AD647" s="73" t="str">
        <f t="shared" si="34"/>
        <v>44-8</v>
      </c>
      <c r="AE647" s="74">
        <f t="shared" si="35"/>
        <v>8</v>
      </c>
      <c r="AF647" s="71" t="s">
        <v>1155</v>
      </c>
      <c r="AG647" s="73" t="s">
        <v>2004</v>
      </c>
      <c r="BA647" s="109" t="s">
        <v>4573</v>
      </c>
      <c r="BB647" s="183">
        <v>2952201</v>
      </c>
    </row>
    <row r="648" spans="28:54" ht="15.75" thickBot="1" x14ac:dyDescent="0.3">
      <c r="AB648" s="71" t="s">
        <v>1148</v>
      </c>
      <c r="AC648" s="72" t="s">
        <v>1147</v>
      </c>
      <c r="AD648" s="73" t="str">
        <f t="shared" si="34"/>
        <v>44-9</v>
      </c>
      <c r="AE648" s="74">
        <f t="shared" si="35"/>
        <v>9</v>
      </c>
      <c r="AF648" s="71" t="s">
        <v>1156</v>
      </c>
      <c r="AG648" s="73" t="s">
        <v>254</v>
      </c>
      <c r="BA648" s="108" t="s">
        <v>4574</v>
      </c>
      <c r="BB648" s="182">
        <v>2952301</v>
      </c>
    </row>
    <row r="649" spans="28:54" ht="15.75" thickBot="1" x14ac:dyDescent="0.3">
      <c r="AB649" s="71" t="s">
        <v>1148</v>
      </c>
      <c r="AC649" s="72" t="s">
        <v>1147</v>
      </c>
      <c r="AD649" s="73" t="str">
        <f t="shared" si="34"/>
        <v>44-10</v>
      </c>
      <c r="AE649" s="74">
        <f t="shared" si="35"/>
        <v>10</v>
      </c>
      <c r="AF649" s="71" t="s">
        <v>1157</v>
      </c>
      <c r="AG649" s="73" t="s">
        <v>1803</v>
      </c>
      <c r="BA649" s="109" t="s">
        <v>4575</v>
      </c>
      <c r="BB649" s="183">
        <v>2952901</v>
      </c>
    </row>
    <row r="650" spans="28:54" ht="15.75" thickBot="1" x14ac:dyDescent="0.3">
      <c r="AB650" s="71" t="s">
        <v>1148</v>
      </c>
      <c r="AC650" s="72" t="s">
        <v>1147</v>
      </c>
      <c r="AD650" s="73" t="str">
        <f t="shared" si="34"/>
        <v>44-11</v>
      </c>
      <c r="AE650" s="74">
        <f t="shared" si="35"/>
        <v>11</v>
      </c>
      <c r="AF650" s="71" t="s">
        <v>930</v>
      </c>
      <c r="AG650" s="73" t="s">
        <v>1786</v>
      </c>
      <c r="BA650" s="108" t="s">
        <v>4576</v>
      </c>
      <c r="BB650" s="182">
        <v>2960301</v>
      </c>
    </row>
    <row r="651" spans="28:54" ht="15.75" thickBot="1" x14ac:dyDescent="0.3">
      <c r="AB651" s="71" t="s">
        <v>1148</v>
      </c>
      <c r="AC651" s="72" t="s">
        <v>1147</v>
      </c>
      <c r="AD651" s="73" t="str">
        <f t="shared" si="34"/>
        <v>44-12</v>
      </c>
      <c r="AE651" s="74">
        <f t="shared" si="35"/>
        <v>12</v>
      </c>
      <c r="AF651" s="71" t="s">
        <v>1158</v>
      </c>
      <c r="AG651" s="73" t="s">
        <v>1809</v>
      </c>
      <c r="BA651" s="109" t="s">
        <v>4577</v>
      </c>
      <c r="BB651" s="183">
        <v>2960901</v>
      </c>
    </row>
    <row r="652" spans="28:54" ht="15.75" thickBot="1" x14ac:dyDescent="0.3">
      <c r="AB652" s="71" t="s">
        <v>1148</v>
      </c>
      <c r="AC652" s="72" t="s">
        <v>1147</v>
      </c>
      <c r="AD652" s="73" t="str">
        <f t="shared" si="34"/>
        <v>44-13</v>
      </c>
      <c r="AE652" s="74">
        <f t="shared" si="35"/>
        <v>13</v>
      </c>
      <c r="AF652" s="71" t="s">
        <v>1159</v>
      </c>
      <c r="AG652" s="73" t="s">
        <v>482</v>
      </c>
      <c r="BA652" s="108" t="s">
        <v>4578</v>
      </c>
      <c r="BB652" s="182">
        <v>2960902</v>
      </c>
    </row>
    <row r="653" spans="28:54" ht="15.75" thickBot="1" x14ac:dyDescent="0.3">
      <c r="AB653" s="71" t="s">
        <v>1148</v>
      </c>
      <c r="AC653" s="72" t="s">
        <v>1147</v>
      </c>
      <c r="AD653" s="73" t="str">
        <f t="shared" si="34"/>
        <v>44-14</v>
      </c>
      <c r="AE653" s="74">
        <f t="shared" si="35"/>
        <v>14</v>
      </c>
      <c r="AF653" s="71" t="s">
        <v>1160</v>
      </c>
      <c r="AG653" s="73" t="s">
        <v>488</v>
      </c>
      <c r="BA653" s="109" t="s">
        <v>4579</v>
      </c>
      <c r="BB653" s="183">
        <v>311201</v>
      </c>
    </row>
    <row r="654" spans="28:54" ht="15.75" thickBot="1" x14ac:dyDescent="0.3">
      <c r="AB654" s="71" t="s">
        <v>1148</v>
      </c>
      <c r="AC654" s="72" t="s">
        <v>1147</v>
      </c>
      <c r="AD654" s="73" t="str">
        <f t="shared" si="34"/>
        <v>44-15</v>
      </c>
      <c r="AE654" s="74">
        <f t="shared" si="35"/>
        <v>15</v>
      </c>
      <c r="AF654" s="71" t="s">
        <v>707</v>
      </c>
      <c r="AG654" s="73" t="s">
        <v>2012</v>
      </c>
      <c r="BA654" s="108" t="s">
        <v>4580</v>
      </c>
      <c r="BB654" s="182">
        <v>312501</v>
      </c>
    </row>
    <row r="655" spans="28:54" ht="15.75" thickBot="1" x14ac:dyDescent="0.3">
      <c r="AB655" s="71" t="s">
        <v>1162</v>
      </c>
      <c r="AC655" s="72" t="s">
        <v>1161</v>
      </c>
      <c r="AD655" s="73" t="str">
        <f t="shared" si="34"/>
        <v>47-1</v>
      </c>
      <c r="AE655" s="74">
        <f t="shared" si="35"/>
        <v>1</v>
      </c>
      <c r="AF655" s="71" t="s">
        <v>1163</v>
      </c>
      <c r="AG655" s="73" t="s">
        <v>334</v>
      </c>
      <c r="BA655" s="109" t="s">
        <v>4581</v>
      </c>
      <c r="BB655" s="183">
        <v>314003</v>
      </c>
    </row>
    <row r="656" spans="28:54" ht="15.75" thickBot="1" x14ac:dyDescent="0.3">
      <c r="AB656" s="71" t="s">
        <v>1162</v>
      </c>
      <c r="AC656" s="72" t="s">
        <v>1161</v>
      </c>
      <c r="AD656" s="73" t="str">
        <f t="shared" si="34"/>
        <v>47-2</v>
      </c>
      <c r="AE656" s="74">
        <f t="shared" si="35"/>
        <v>2</v>
      </c>
      <c r="AF656" s="71" t="s">
        <v>1164</v>
      </c>
      <c r="AG656" s="73" t="s">
        <v>1690</v>
      </c>
      <c r="BA656" s="108" t="s">
        <v>4582</v>
      </c>
      <c r="BB656" s="182">
        <v>3142101</v>
      </c>
    </row>
    <row r="657" spans="28:54" ht="15.75" thickBot="1" x14ac:dyDescent="0.3">
      <c r="AB657" s="71" t="s">
        <v>1162</v>
      </c>
      <c r="AC657" s="72" t="s">
        <v>1161</v>
      </c>
      <c r="AD657" s="73" t="str">
        <f t="shared" si="34"/>
        <v>47-3</v>
      </c>
      <c r="AE657" s="74">
        <f t="shared" si="35"/>
        <v>3</v>
      </c>
      <c r="AF657" s="71" t="s">
        <v>1165</v>
      </c>
      <c r="AG657" s="73" t="s">
        <v>32</v>
      </c>
      <c r="BA657" s="109" t="s">
        <v>4583</v>
      </c>
      <c r="BB657" s="183">
        <v>3142201</v>
      </c>
    </row>
    <row r="658" spans="28:54" ht="15.75" thickBot="1" x14ac:dyDescent="0.3">
      <c r="AB658" s="71" t="s">
        <v>1162</v>
      </c>
      <c r="AC658" s="72" t="s">
        <v>1161</v>
      </c>
      <c r="AD658" s="73" t="str">
        <f t="shared" si="34"/>
        <v>47-4</v>
      </c>
      <c r="AE658" s="74">
        <f t="shared" si="35"/>
        <v>4</v>
      </c>
      <c r="AF658" s="71" t="s">
        <v>1166</v>
      </c>
      <c r="AG658" s="73" t="s">
        <v>2013</v>
      </c>
      <c r="BA658" s="108" t="s">
        <v>4584</v>
      </c>
      <c r="BB658" s="182">
        <v>3151102</v>
      </c>
    </row>
    <row r="659" spans="28:54" ht="15.75" thickBot="1" x14ac:dyDescent="0.3">
      <c r="AB659" s="71" t="s">
        <v>1162</v>
      </c>
      <c r="AC659" s="72" t="s">
        <v>1161</v>
      </c>
      <c r="AD659" s="73" t="str">
        <f t="shared" si="34"/>
        <v>47-5</v>
      </c>
      <c r="AE659" s="74">
        <f t="shared" si="35"/>
        <v>5</v>
      </c>
      <c r="AF659" s="71" t="s">
        <v>1167</v>
      </c>
      <c r="AG659" s="73" t="s">
        <v>2014</v>
      </c>
      <c r="BA659" s="109" t="s">
        <v>4585</v>
      </c>
      <c r="BB659" s="183">
        <v>3153002</v>
      </c>
    </row>
    <row r="660" spans="28:54" ht="15.75" thickBot="1" x14ac:dyDescent="0.3">
      <c r="AB660" s="71" t="s">
        <v>1162</v>
      </c>
      <c r="AC660" s="72" t="s">
        <v>1161</v>
      </c>
      <c r="AD660" s="73" t="str">
        <f t="shared" si="34"/>
        <v>47-6</v>
      </c>
      <c r="AE660" s="74">
        <f t="shared" si="35"/>
        <v>6</v>
      </c>
      <c r="AF660" s="71" t="s">
        <v>1168</v>
      </c>
      <c r="AG660" s="73" t="s">
        <v>2015</v>
      </c>
      <c r="BA660" s="108" t="s">
        <v>4586</v>
      </c>
      <c r="BB660" s="182">
        <v>3154102</v>
      </c>
    </row>
    <row r="661" spans="28:54" ht="15.75" thickBot="1" x14ac:dyDescent="0.3">
      <c r="AB661" s="71" t="s">
        <v>1162</v>
      </c>
      <c r="AC661" s="72" t="s">
        <v>1161</v>
      </c>
      <c r="AD661" s="73" t="str">
        <f t="shared" si="34"/>
        <v>47-7</v>
      </c>
      <c r="AE661" s="74">
        <f t="shared" si="35"/>
        <v>7</v>
      </c>
      <c r="AF661" s="71" t="s">
        <v>1169</v>
      </c>
      <c r="AG661" s="73" t="s">
        <v>1832</v>
      </c>
      <c r="BA661" s="109" t="s">
        <v>4587</v>
      </c>
      <c r="BB661" s="183">
        <v>3154301</v>
      </c>
    </row>
    <row r="662" spans="28:54" ht="15.75" thickBot="1" x14ac:dyDescent="0.3">
      <c r="AB662" s="71" t="s">
        <v>1162</v>
      </c>
      <c r="AC662" s="72" t="s">
        <v>1161</v>
      </c>
      <c r="AD662" s="73" t="str">
        <f t="shared" si="34"/>
        <v>47-8</v>
      </c>
      <c r="AE662" s="74">
        <f t="shared" si="35"/>
        <v>8</v>
      </c>
      <c r="AF662" s="71" t="s">
        <v>551</v>
      </c>
      <c r="AG662" s="73" t="s">
        <v>1901</v>
      </c>
      <c r="BA662" s="108" t="s">
        <v>4588</v>
      </c>
      <c r="BB662" s="182">
        <v>3155102</v>
      </c>
    </row>
    <row r="663" spans="28:54" ht="15.75" thickBot="1" x14ac:dyDescent="0.3">
      <c r="AB663" s="71" t="s">
        <v>1162</v>
      </c>
      <c r="AC663" s="72" t="s">
        <v>1161</v>
      </c>
      <c r="AD663" s="73" t="str">
        <f t="shared" si="34"/>
        <v>47-9</v>
      </c>
      <c r="AE663" s="74">
        <f t="shared" si="35"/>
        <v>9</v>
      </c>
      <c r="AF663" s="71" t="s">
        <v>1170</v>
      </c>
      <c r="AG663" s="73" t="s">
        <v>154</v>
      </c>
      <c r="BA663" s="109" t="s">
        <v>4589</v>
      </c>
      <c r="BB663" s="183">
        <v>3156101</v>
      </c>
    </row>
    <row r="664" spans="28:54" ht="15.75" thickBot="1" x14ac:dyDescent="0.3">
      <c r="AB664" s="71" t="s">
        <v>1162</v>
      </c>
      <c r="AC664" s="72" t="s">
        <v>1161</v>
      </c>
      <c r="AD664" s="73" t="str">
        <f t="shared" si="34"/>
        <v>47-10</v>
      </c>
      <c r="AE664" s="74">
        <f t="shared" si="35"/>
        <v>10</v>
      </c>
      <c r="AF664" s="71" t="s">
        <v>1171</v>
      </c>
      <c r="AG664" s="73" t="s">
        <v>1952</v>
      </c>
      <c r="BA664" s="108" t="s">
        <v>4590</v>
      </c>
      <c r="BB664" s="182">
        <v>3156201</v>
      </c>
    </row>
    <row r="665" spans="28:54" ht="15.75" thickBot="1" x14ac:dyDescent="0.3">
      <c r="AB665" s="71" t="s">
        <v>1162</v>
      </c>
      <c r="AC665" s="72" t="s">
        <v>1161</v>
      </c>
      <c r="AD665" s="73" t="str">
        <f t="shared" si="34"/>
        <v>47-11</v>
      </c>
      <c r="AE665" s="74">
        <f t="shared" si="35"/>
        <v>11</v>
      </c>
      <c r="AF665" s="71" t="s">
        <v>1172</v>
      </c>
      <c r="AG665" s="73" t="s">
        <v>1801</v>
      </c>
      <c r="BA665" s="109" t="s">
        <v>4591</v>
      </c>
      <c r="BB665" s="183">
        <v>3157201</v>
      </c>
    </row>
    <row r="666" spans="28:54" ht="15.75" thickBot="1" x14ac:dyDescent="0.3">
      <c r="AB666" s="71" t="s">
        <v>1162</v>
      </c>
      <c r="AC666" s="72" t="s">
        <v>1161</v>
      </c>
      <c r="AD666" s="73" t="str">
        <f t="shared" si="34"/>
        <v>47-12</v>
      </c>
      <c r="AE666" s="74">
        <f t="shared" si="35"/>
        <v>12</v>
      </c>
      <c r="AF666" s="71" t="s">
        <v>1173</v>
      </c>
      <c r="AG666" s="73" t="s">
        <v>1956</v>
      </c>
      <c r="BA666" s="108" t="s">
        <v>4592</v>
      </c>
      <c r="BB666" s="182">
        <v>3158101</v>
      </c>
    </row>
    <row r="667" spans="28:54" ht="15.75" thickBot="1" x14ac:dyDescent="0.3">
      <c r="AB667" s="71" t="s">
        <v>1162</v>
      </c>
      <c r="AC667" s="72" t="s">
        <v>1161</v>
      </c>
      <c r="AD667" s="73" t="str">
        <f t="shared" si="34"/>
        <v>47-13</v>
      </c>
      <c r="AE667" s="74">
        <f t="shared" si="35"/>
        <v>13</v>
      </c>
      <c r="AF667" s="71" t="s">
        <v>1174</v>
      </c>
      <c r="AG667" s="73" t="s">
        <v>1729</v>
      </c>
      <c r="BA667" s="109" t="s">
        <v>4593</v>
      </c>
      <c r="BB667" s="183">
        <v>3158902</v>
      </c>
    </row>
    <row r="668" spans="28:54" ht="15.75" thickBot="1" x14ac:dyDescent="0.3">
      <c r="AB668" s="71" t="s">
        <v>1162</v>
      </c>
      <c r="AC668" s="72" t="s">
        <v>1161</v>
      </c>
      <c r="AD668" s="73" t="str">
        <f t="shared" si="34"/>
        <v>47-14</v>
      </c>
      <c r="AE668" s="74">
        <f t="shared" si="35"/>
        <v>14</v>
      </c>
      <c r="AF668" s="71" t="s">
        <v>1175</v>
      </c>
      <c r="AG668" s="73" t="s">
        <v>1903</v>
      </c>
      <c r="BA668" s="108" t="s">
        <v>4594</v>
      </c>
      <c r="BB668" s="182">
        <v>3159101</v>
      </c>
    </row>
    <row r="669" spans="28:54" ht="15.75" thickBot="1" x14ac:dyDescent="0.3">
      <c r="AB669" s="71" t="s">
        <v>1162</v>
      </c>
      <c r="AC669" s="72" t="s">
        <v>1161</v>
      </c>
      <c r="AD669" s="73" t="str">
        <f t="shared" si="34"/>
        <v>47-15</v>
      </c>
      <c r="AE669" s="74">
        <f t="shared" si="35"/>
        <v>15</v>
      </c>
      <c r="AF669" s="71" t="s">
        <v>1176</v>
      </c>
      <c r="AG669" s="73" t="s">
        <v>1745</v>
      </c>
      <c r="BA669" s="109" t="s">
        <v>4595</v>
      </c>
      <c r="BB669" s="183">
        <v>3159201</v>
      </c>
    </row>
    <row r="670" spans="28:54" ht="15.75" thickBot="1" x14ac:dyDescent="0.3">
      <c r="AB670" s="71" t="s">
        <v>1162</v>
      </c>
      <c r="AC670" s="72" t="s">
        <v>1161</v>
      </c>
      <c r="AD670" s="73" t="str">
        <f t="shared" si="34"/>
        <v>47-16</v>
      </c>
      <c r="AE670" s="74">
        <f t="shared" si="35"/>
        <v>16</v>
      </c>
      <c r="AF670" s="71" t="s">
        <v>1177</v>
      </c>
      <c r="AG670" s="73" t="s">
        <v>358</v>
      </c>
      <c r="BA670" s="108" t="s">
        <v>4596</v>
      </c>
      <c r="BB670" s="182">
        <v>3159401</v>
      </c>
    </row>
    <row r="671" spans="28:54" ht="15.75" thickBot="1" x14ac:dyDescent="0.3">
      <c r="AB671" s="71" t="s">
        <v>1162</v>
      </c>
      <c r="AC671" s="72" t="s">
        <v>1161</v>
      </c>
      <c r="AD671" s="73" t="str">
        <f t="shared" si="34"/>
        <v>47-17</v>
      </c>
      <c r="AE671" s="74">
        <f t="shared" si="35"/>
        <v>17</v>
      </c>
      <c r="AF671" s="71" t="s">
        <v>1178</v>
      </c>
      <c r="AG671" s="73" t="s">
        <v>484</v>
      </c>
      <c r="BA671" s="109" t="s">
        <v>4597</v>
      </c>
      <c r="BB671" s="183">
        <v>3160001</v>
      </c>
    </row>
    <row r="672" spans="28:54" ht="15.75" thickBot="1" x14ac:dyDescent="0.3">
      <c r="AB672" s="71" t="s">
        <v>1162</v>
      </c>
      <c r="AC672" s="72" t="s">
        <v>1161</v>
      </c>
      <c r="AD672" s="73" t="str">
        <f t="shared" si="34"/>
        <v>47-18</v>
      </c>
      <c r="AE672" s="74">
        <f t="shared" si="35"/>
        <v>18</v>
      </c>
      <c r="AF672" s="71" t="s">
        <v>1179</v>
      </c>
      <c r="AG672" s="73" t="s">
        <v>1938</v>
      </c>
      <c r="BA672" s="108" t="s">
        <v>4598</v>
      </c>
      <c r="BB672" s="182">
        <v>3171001</v>
      </c>
    </row>
    <row r="673" spans="28:54" ht="15.75" thickBot="1" x14ac:dyDescent="0.3">
      <c r="AB673" s="71" t="s">
        <v>1162</v>
      </c>
      <c r="AC673" s="72" t="s">
        <v>1161</v>
      </c>
      <c r="AD673" s="73" t="str">
        <f t="shared" si="34"/>
        <v>47-19</v>
      </c>
      <c r="AE673" s="74">
        <f t="shared" si="35"/>
        <v>19</v>
      </c>
      <c r="AF673" s="71" t="s">
        <v>1180</v>
      </c>
      <c r="AG673" s="73" t="s">
        <v>1931</v>
      </c>
      <c r="BA673" s="109" t="s">
        <v>4599</v>
      </c>
      <c r="BB673" s="183">
        <v>3172001</v>
      </c>
    </row>
    <row r="674" spans="28:54" ht="15.75" thickBot="1" x14ac:dyDescent="0.3">
      <c r="AB674" s="71" t="s">
        <v>1162</v>
      </c>
      <c r="AC674" s="72" t="s">
        <v>1161</v>
      </c>
      <c r="AD674" s="73" t="str">
        <f t="shared" si="34"/>
        <v>47-20</v>
      </c>
      <c r="AE674" s="74">
        <f t="shared" si="35"/>
        <v>20</v>
      </c>
      <c r="AF674" s="71" t="s">
        <v>1181</v>
      </c>
      <c r="AG674" s="73" t="s">
        <v>2016</v>
      </c>
      <c r="BA674" s="108" t="s">
        <v>4600</v>
      </c>
      <c r="BB674" s="182">
        <v>3173002</v>
      </c>
    </row>
    <row r="675" spans="28:54" ht="15.75" thickBot="1" x14ac:dyDescent="0.3">
      <c r="AB675" s="71" t="s">
        <v>1162</v>
      </c>
      <c r="AC675" s="72" t="s">
        <v>1161</v>
      </c>
      <c r="AD675" s="73" t="str">
        <f t="shared" si="34"/>
        <v>47-21</v>
      </c>
      <c r="AE675" s="74">
        <f t="shared" si="35"/>
        <v>21</v>
      </c>
      <c r="AF675" s="71" t="s">
        <v>1182</v>
      </c>
      <c r="AG675" s="73" t="s">
        <v>386</v>
      </c>
      <c r="BA675" s="109" t="s">
        <v>4601</v>
      </c>
      <c r="BB675" s="183">
        <v>3174102</v>
      </c>
    </row>
    <row r="676" spans="28:54" ht="15.75" thickBot="1" x14ac:dyDescent="0.3">
      <c r="AB676" s="71" t="s">
        <v>1162</v>
      </c>
      <c r="AC676" s="72" t="s">
        <v>1161</v>
      </c>
      <c r="AD676" s="73" t="str">
        <f t="shared" si="34"/>
        <v>47-22</v>
      </c>
      <c r="AE676" s="74">
        <f t="shared" si="35"/>
        <v>22</v>
      </c>
      <c r="AF676" s="71" t="s">
        <v>852</v>
      </c>
      <c r="AG676" s="73" t="s">
        <v>392</v>
      </c>
      <c r="BA676" s="108" t="s">
        <v>4602</v>
      </c>
      <c r="BB676" s="182">
        <v>3174301</v>
      </c>
    </row>
    <row r="677" spans="28:54" ht="15.75" thickBot="1" x14ac:dyDescent="0.3">
      <c r="AB677" s="71" t="s">
        <v>1162</v>
      </c>
      <c r="AC677" s="72" t="s">
        <v>1161</v>
      </c>
      <c r="AD677" s="73" t="str">
        <f t="shared" si="34"/>
        <v>47-23</v>
      </c>
      <c r="AE677" s="74">
        <f t="shared" si="35"/>
        <v>23</v>
      </c>
      <c r="AF677" s="71" t="s">
        <v>1183</v>
      </c>
      <c r="AG677" s="73" t="s">
        <v>2017</v>
      </c>
      <c r="BA677" s="109" t="s">
        <v>4603</v>
      </c>
      <c r="BB677" s="183">
        <v>3174902</v>
      </c>
    </row>
    <row r="678" spans="28:54" ht="15.75" thickBot="1" x14ac:dyDescent="0.3">
      <c r="AB678" s="71" t="s">
        <v>1162</v>
      </c>
      <c r="AC678" s="72" t="s">
        <v>1161</v>
      </c>
      <c r="AD678" s="73" t="str">
        <f t="shared" si="34"/>
        <v>47-24</v>
      </c>
      <c r="AE678" s="74">
        <f t="shared" si="35"/>
        <v>24</v>
      </c>
      <c r="AF678" s="71" t="s">
        <v>1184</v>
      </c>
      <c r="AG678" s="73" t="s">
        <v>2018</v>
      </c>
      <c r="BA678" s="108" t="s">
        <v>4604</v>
      </c>
      <c r="BB678" s="182">
        <v>3175002</v>
      </c>
    </row>
    <row r="679" spans="28:54" ht="15.75" thickBot="1" x14ac:dyDescent="0.3">
      <c r="AB679" s="71" t="s">
        <v>1162</v>
      </c>
      <c r="AC679" s="72" t="s">
        <v>1161</v>
      </c>
      <c r="AD679" s="73" t="str">
        <f t="shared" si="34"/>
        <v>47-25</v>
      </c>
      <c r="AE679" s="74">
        <f t="shared" si="35"/>
        <v>25</v>
      </c>
      <c r="AF679" s="71" t="s">
        <v>1185</v>
      </c>
      <c r="AG679" s="73" t="s">
        <v>2019</v>
      </c>
      <c r="BA679" s="109" t="s">
        <v>4605</v>
      </c>
      <c r="BB679" s="183">
        <v>3181003</v>
      </c>
    </row>
    <row r="680" spans="28:54" ht="15.75" thickBot="1" x14ac:dyDescent="0.3">
      <c r="AB680" s="71" t="s">
        <v>1162</v>
      </c>
      <c r="AC680" s="72" t="s">
        <v>1161</v>
      </c>
      <c r="AD680" s="73" t="str">
        <f t="shared" si="34"/>
        <v>47-26</v>
      </c>
      <c r="AE680" s="74">
        <f t="shared" si="35"/>
        <v>26</v>
      </c>
      <c r="AF680" s="71" t="s">
        <v>1186</v>
      </c>
      <c r="AG680" s="73" t="s">
        <v>414</v>
      </c>
      <c r="BA680" s="108" t="s">
        <v>4606</v>
      </c>
      <c r="BB680" s="182">
        <v>3192102</v>
      </c>
    </row>
    <row r="681" spans="28:54" ht="15.75" thickBot="1" x14ac:dyDescent="0.3">
      <c r="AB681" s="71" t="s">
        <v>1162</v>
      </c>
      <c r="AC681" s="72" t="s">
        <v>1161</v>
      </c>
      <c r="AD681" s="73" t="str">
        <f t="shared" si="34"/>
        <v>47-27</v>
      </c>
      <c r="AE681" s="74">
        <f t="shared" si="35"/>
        <v>27</v>
      </c>
      <c r="AF681" s="71" t="s">
        <v>1187</v>
      </c>
      <c r="AG681" s="73" t="s">
        <v>1976</v>
      </c>
      <c r="BA681" s="109" t="s">
        <v>4607</v>
      </c>
      <c r="BB681" s="183">
        <v>3192202</v>
      </c>
    </row>
    <row r="682" spans="28:54" ht="15.75" thickBot="1" x14ac:dyDescent="0.3">
      <c r="AB682" s="71" t="s">
        <v>1162</v>
      </c>
      <c r="AC682" s="72" t="s">
        <v>1161</v>
      </c>
      <c r="AD682" s="73" t="str">
        <f t="shared" si="34"/>
        <v>47-28</v>
      </c>
      <c r="AE682" s="74">
        <f t="shared" si="35"/>
        <v>28</v>
      </c>
      <c r="AF682" s="71" t="s">
        <v>1188</v>
      </c>
      <c r="AG682" s="73" t="s">
        <v>1875</v>
      </c>
      <c r="BA682" s="108" t="s">
        <v>4608</v>
      </c>
      <c r="BB682" s="182">
        <v>3192302</v>
      </c>
    </row>
    <row r="683" spans="28:54" ht="15.75" thickBot="1" x14ac:dyDescent="0.3">
      <c r="AB683" s="71" t="s">
        <v>1162</v>
      </c>
      <c r="AC683" s="72" t="s">
        <v>1161</v>
      </c>
      <c r="AD683" s="73" t="str">
        <f t="shared" si="34"/>
        <v>47-29</v>
      </c>
      <c r="AE683" s="74">
        <f t="shared" si="35"/>
        <v>29</v>
      </c>
      <c r="AF683" s="71" t="s">
        <v>1189</v>
      </c>
      <c r="AG683" s="73" t="s">
        <v>2020</v>
      </c>
      <c r="BA683" s="109" t="s">
        <v>4609</v>
      </c>
      <c r="BB683" s="183">
        <v>3192402</v>
      </c>
    </row>
    <row r="684" spans="28:54" ht="15.75" thickBot="1" x14ac:dyDescent="0.3">
      <c r="AB684" s="71" t="s">
        <v>1162</v>
      </c>
      <c r="AC684" s="72" t="s">
        <v>1161</v>
      </c>
      <c r="AD684" s="73" t="str">
        <f t="shared" si="34"/>
        <v>47-30</v>
      </c>
      <c r="AE684" s="74">
        <f t="shared" si="35"/>
        <v>30</v>
      </c>
      <c r="AF684" s="71" t="s">
        <v>1190</v>
      </c>
      <c r="AG684" s="73" t="s">
        <v>2021</v>
      </c>
      <c r="BA684" s="108" t="s">
        <v>4610</v>
      </c>
      <c r="BB684" s="182">
        <v>3192502</v>
      </c>
    </row>
    <row r="685" spans="28:54" ht="15.75" thickBot="1" x14ac:dyDescent="0.3">
      <c r="AB685" s="71" t="s">
        <v>1192</v>
      </c>
      <c r="AC685" s="72" t="s">
        <v>1191</v>
      </c>
      <c r="AD685" s="73" t="str">
        <f t="shared" si="34"/>
        <v>50-1</v>
      </c>
      <c r="AE685" s="74">
        <f t="shared" si="35"/>
        <v>1</v>
      </c>
      <c r="AF685" s="71" t="s">
        <v>1193</v>
      </c>
      <c r="AG685" s="73" t="s">
        <v>334</v>
      </c>
      <c r="BA685" s="109" t="s">
        <v>4611</v>
      </c>
      <c r="BB685" s="183">
        <v>3192601</v>
      </c>
    </row>
    <row r="686" spans="28:54" ht="15.75" thickBot="1" x14ac:dyDescent="0.3">
      <c r="AB686" s="71" t="s">
        <v>1192</v>
      </c>
      <c r="AC686" s="72" t="s">
        <v>1191</v>
      </c>
      <c r="AD686" s="73" t="str">
        <f t="shared" si="34"/>
        <v>50-2</v>
      </c>
      <c r="AE686" s="74">
        <f t="shared" si="35"/>
        <v>2</v>
      </c>
      <c r="AF686" s="71" t="s">
        <v>1194</v>
      </c>
      <c r="AG686" s="73" t="s">
        <v>1793</v>
      </c>
      <c r="BA686" s="108" t="s">
        <v>4612</v>
      </c>
      <c r="BB686" s="182">
        <v>3192902</v>
      </c>
    </row>
    <row r="687" spans="28:54" ht="15.75" thickBot="1" x14ac:dyDescent="0.3">
      <c r="AB687" s="71" t="s">
        <v>1192</v>
      </c>
      <c r="AC687" s="72" t="s">
        <v>1191</v>
      </c>
      <c r="AD687" s="73" t="str">
        <f t="shared" si="34"/>
        <v>50-3</v>
      </c>
      <c r="AE687" s="74">
        <f t="shared" si="35"/>
        <v>3</v>
      </c>
      <c r="AF687" s="71" t="s">
        <v>1195</v>
      </c>
      <c r="AG687" s="73" t="s">
        <v>1911</v>
      </c>
      <c r="BA687" s="109" t="s">
        <v>4613</v>
      </c>
      <c r="BB687" s="183">
        <v>3193102</v>
      </c>
    </row>
    <row r="688" spans="28:54" ht="15.75" thickBot="1" x14ac:dyDescent="0.3">
      <c r="AB688" s="71" t="s">
        <v>1192</v>
      </c>
      <c r="AC688" s="72" t="s">
        <v>1191</v>
      </c>
      <c r="AD688" s="73" t="str">
        <f t="shared" si="34"/>
        <v>50-4</v>
      </c>
      <c r="AE688" s="74">
        <f t="shared" si="35"/>
        <v>4</v>
      </c>
      <c r="AF688" s="71" t="s">
        <v>1196</v>
      </c>
      <c r="AG688" s="73" t="s">
        <v>2022</v>
      </c>
      <c r="BA688" s="108" t="s">
        <v>4614</v>
      </c>
      <c r="BB688" s="182">
        <v>3193201</v>
      </c>
    </row>
    <row r="689" spans="28:54" ht="15.75" thickBot="1" x14ac:dyDescent="0.3">
      <c r="AB689" s="71" t="s">
        <v>1192</v>
      </c>
      <c r="AC689" s="72" t="s">
        <v>1191</v>
      </c>
      <c r="AD689" s="73" t="str">
        <f t="shared" si="34"/>
        <v>50-5</v>
      </c>
      <c r="AE689" s="74">
        <f t="shared" si="35"/>
        <v>5</v>
      </c>
      <c r="AF689" s="71" t="s">
        <v>1197</v>
      </c>
      <c r="AG689" s="73" t="s">
        <v>1711</v>
      </c>
      <c r="BA689" s="109" t="s">
        <v>4615</v>
      </c>
      <c r="BB689" s="183">
        <v>3193901</v>
      </c>
    </row>
    <row r="690" spans="28:54" ht="15.75" thickBot="1" x14ac:dyDescent="0.3">
      <c r="AB690" s="71" t="s">
        <v>1192</v>
      </c>
      <c r="AC690" s="72" t="s">
        <v>1191</v>
      </c>
      <c r="AD690" s="73" t="str">
        <f t="shared" si="34"/>
        <v>50-6</v>
      </c>
      <c r="AE690" s="74">
        <f t="shared" si="35"/>
        <v>6</v>
      </c>
      <c r="AF690" s="71" t="s">
        <v>1198</v>
      </c>
      <c r="AG690" s="73" t="s">
        <v>1834</v>
      </c>
      <c r="BA690" s="108" t="s">
        <v>4616</v>
      </c>
      <c r="BB690" s="182">
        <v>3201001</v>
      </c>
    </row>
    <row r="691" spans="28:54" ht="15.75" thickBot="1" x14ac:dyDescent="0.3">
      <c r="AB691" s="71" t="s">
        <v>1192</v>
      </c>
      <c r="AC691" s="72" t="s">
        <v>1191</v>
      </c>
      <c r="AD691" s="73" t="str">
        <f t="shared" si="34"/>
        <v>50-7</v>
      </c>
      <c r="AE691" s="74">
        <f t="shared" si="35"/>
        <v>7</v>
      </c>
      <c r="AF691" s="71" t="s">
        <v>1199</v>
      </c>
      <c r="AG691" s="73" t="s">
        <v>1836</v>
      </c>
      <c r="BA691" s="109" t="s">
        <v>4617</v>
      </c>
      <c r="BB691" s="183">
        <v>3204001</v>
      </c>
    </row>
    <row r="692" spans="28:54" ht="15.75" thickBot="1" x14ac:dyDescent="0.3">
      <c r="AB692" s="71" t="s">
        <v>1192</v>
      </c>
      <c r="AC692" s="72" t="s">
        <v>1191</v>
      </c>
      <c r="AD692" s="73" t="str">
        <f t="shared" si="34"/>
        <v>50-8</v>
      </c>
      <c r="AE692" s="74">
        <f t="shared" si="35"/>
        <v>8</v>
      </c>
      <c r="AF692" s="71" t="s">
        <v>1200</v>
      </c>
      <c r="AG692" s="73" t="s">
        <v>154</v>
      </c>
      <c r="BA692" s="108" t="s">
        <v>4618</v>
      </c>
      <c r="BB692" s="182">
        <v>3209002</v>
      </c>
    </row>
    <row r="693" spans="28:54" ht="15.75" thickBot="1" x14ac:dyDescent="0.3">
      <c r="AB693" s="71" t="s">
        <v>1192</v>
      </c>
      <c r="AC693" s="72" t="s">
        <v>1191</v>
      </c>
      <c r="AD693" s="73" t="str">
        <f t="shared" si="34"/>
        <v>50-9</v>
      </c>
      <c r="AE693" s="74">
        <f t="shared" si="35"/>
        <v>9</v>
      </c>
      <c r="AF693" s="71" t="s">
        <v>1201</v>
      </c>
      <c r="AG693" s="73" t="s">
        <v>158</v>
      </c>
      <c r="BA693" s="109" t="s">
        <v>4619</v>
      </c>
      <c r="BB693" s="183">
        <v>3210202</v>
      </c>
    </row>
    <row r="694" spans="28:54" ht="15.75" thickBot="1" x14ac:dyDescent="0.3">
      <c r="AB694" s="71" t="s">
        <v>1192</v>
      </c>
      <c r="AC694" s="72" t="s">
        <v>1191</v>
      </c>
      <c r="AD694" s="73" t="str">
        <f t="shared" si="34"/>
        <v>50-10</v>
      </c>
      <c r="AE694" s="74">
        <f t="shared" si="35"/>
        <v>10</v>
      </c>
      <c r="AF694" s="71" t="s">
        <v>1202</v>
      </c>
      <c r="AG694" s="73" t="s">
        <v>2023</v>
      </c>
      <c r="BA694" s="108" t="s">
        <v>4620</v>
      </c>
      <c r="BB694" s="182">
        <v>3221101</v>
      </c>
    </row>
    <row r="695" spans="28:54" ht="15.75" thickBot="1" x14ac:dyDescent="0.3">
      <c r="AB695" s="71" t="s">
        <v>1192</v>
      </c>
      <c r="AC695" s="72" t="s">
        <v>1191</v>
      </c>
      <c r="AD695" s="73" t="str">
        <f t="shared" si="34"/>
        <v>50-11</v>
      </c>
      <c r="AE695" s="74">
        <f t="shared" si="35"/>
        <v>11</v>
      </c>
      <c r="AF695" s="71" t="s">
        <v>1203</v>
      </c>
      <c r="AG695" s="73" t="s">
        <v>178</v>
      </c>
      <c r="BA695" s="109" t="s">
        <v>4621</v>
      </c>
      <c r="BB695" s="183">
        <v>3221201</v>
      </c>
    </row>
    <row r="696" spans="28:54" ht="15.75" thickBot="1" x14ac:dyDescent="0.3">
      <c r="AB696" s="71" t="s">
        <v>1192</v>
      </c>
      <c r="AC696" s="72" t="s">
        <v>1191</v>
      </c>
      <c r="AD696" s="73" t="str">
        <f t="shared" si="34"/>
        <v>50-12</v>
      </c>
      <c r="AE696" s="74">
        <f t="shared" si="35"/>
        <v>12</v>
      </c>
      <c r="AF696" s="71" t="s">
        <v>185</v>
      </c>
      <c r="AG696" s="73" t="s">
        <v>192</v>
      </c>
      <c r="BA696" s="108" t="s">
        <v>4622</v>
      </c>
      <c r="BB696" s="182">
        <v>3221301</v>
      </c>
    </row>
    <row r="697" spans="28:54" ht="15.75" thickBot="1" x14ac:dyDescent="0.3">
      <c r="AB697" s="71" t="s">
        <v>1192</v>
      </c>
      <c r="AC697" s="72" t="s">
        <v>1191</v>
      </c>
      <c r="AD697" s="73" t="str">
        <f t="shared" si="34"/>
        <v>50-13</v>
      </c>
      <c r="AE697" s="74">
        <f t="shared" si="35"/>
        <v>13</v>
      </c>
      <c r="AF697" s="71" t="s">
        <v>1174</v>
      </c>
      <c r="AG697" s="73" t="s">
        <v>1729</v>
      </c>
      <c r="BA697" s="109" t="s">
        <v>4623</v>
      </c>
      <c r="BB697" s="183">
        <v>3223101</v>
      </c>
    </row>
    <row r="698" spans="28:54" ht="15.75" thickBot="1" x14ac:dyDescent="0.3">
      <c r="AB698" s="71" t="s">
        <v>1192</v>
      </c>
      <c r="AC698" s="72" t="s">
        <v>1191</v>
      </c>
      <c r="AD698" s="73" t="str">
        <f t="shared" si="34"/>
        <v>50-14</v>
      </c>
      <c r="AE698" s="74">
        <f t="shared" si="35"/>
        <v>14</v>
      </c>
      <c r="AF698" s="71" t="s">
        <v>1204</v>
      </c>
      <c r="AG698" s="73" t="s">
        <v>196</v>
      </c>
      <c r="BA698" s="108" t="s">
        <v>4624</v>
      </c>
      <c r="BB698" s="182">
        <v>3223201</v>
      </c>
    </row>
    <row r="699" spans="28:54" ht="15.75" thickBot="1" x14ac:dyDescent="0.3">
      <c r="AB699" s="71" t="s">
        <v>1192</v>
      </c>
      <c r="AC699" s="72" t="s">
        <v>1191</v>
      </c>
      <c r="AD699" s="73" t="str">
        <f t="shared" si="34"/>
        <v>50-15</v>
      </c>
      <c r="AE699" s="74">
        <f t="shared" si="35"/>
        <v>15</v>
      </c>
      <c r="AF699" s="71" t="s">
        <v>1205</v>
      </c>
      <c r="AG699" s="73" t="s">
        <v>2024</v>
      </c>
      <c r="BA699" s="109" t="s">
        <v>4625</v>
      </c>
      <c r="BB699" s="183">
        <v>3223301</v>
      </c>
    </row>
    <row r="700" spans="28:54" ht="15.75" thickBot="1" x14ac:dyDescent="0.3">
      <c r="AB700" s="71" t="s">
        <v>1192</v>
      </c>
      <c r="AC700" s="72" t="s">
        <v>1191</v>
      </c>
      <c r="AD700" s="73" t="str">
        <f t="shared" si="34"/>
        <v>50-16</v>
      </c>
      <c r="AE700" s="74">
        <f t="shared" si="35"/>
        <v>16</v>
      </c>
      <c r="AF700" s="71" t="s">
        <v>1206</v>
      </c>
      <c r="AG700" s="73" t="s">
        <v>1935</v>
      </c>
      <c r="BA700" s="108" t="s">
        <v>4626</v>
      </c>
      <c r="BB700" s="182">
        <v>3223401</v>
      </c>
    </row>
    <row r="701" spans="28:54" ht="15.75" thickBot="1" x14ac:dyDescent="0.3">
      <c r="AB701" s="71" t="s">
        <v>1192</v>
      </c>
      <c r="AC701" s="72" t="s">
        <v>1191</v>
      </c>
      <c r="AD701" s="73" t="str">
        <f t="shared" si="34"/>
        <v>50-17</v>
      </c>
      <c r="AE701" s="74">
        <f t="shared" si="35"/>
        <v>17</v>
      </c>
      <c r="AF701" s="71" t="s">
        <v>1207</v>
      </c>
      <c r="AG701" s="73" t="s">
        <v>2025</v>
      </c>
      <c r="BA701" s="109" t="s">
        <v>4627</v>
      </c>
      <c r="BB701" s="183">
        <v>3241101</v>
      </c>
    </row>
    <row r="702" spans="28:54" ht="15.75" thickBot="1" x14ac:dyDescent="0.3">
      <c r="AB702" s="71" t="s">
        <v>1192</v>
      </c>
      <c r="AC702" s="72" t="s">
        <v>1191</v>
      </c>
      <c r="AD702" s="73" t="str">
        <f t="shared" si="34"/>
        <v>50-18</v>
      </c>
      <c r="AE702" s="74">
        <f t="shared" si="35"/>
        <v>18</v>
      </c>
      <c r="AF702" s="71" t="s">
        <v>1208</v>
      </c>
      <c r="AG702" s="73" t="s">
        <v>1739</v>
      </c>
      <c r="BA702" s="108" t="s">
        <v>4628</v>
      </c>
      <c r="BB702" s="182">
        <v>3241401</v>
      </c>
    </row>
    <row r="703" spans="28:54" ht="15.75" thickBot="1" x14ac:dyDescent="0.3">
      <c r="AB703" s="71" t="s">
        <v>1192</v>
      </c>
      <c r="AC703" s="72" t="s">
        <v>1191</v>
      </c>
      <c r="AD703" s="73" t="str">
        <f t="shared" si="34"/>
        <v>50-19</v>
      </c>
      <c r="AE703" s="74">
        <f t="shared" si="35"/>
        <v>19</v>
      </c>
      <c r="AF703" s="71" t="s">
        <v>1209</v>
      </c>
      <c r="AG703" s="73" t="s">
        <v>276</v>
      </c>
      <c r="BA703" s="109" t="s">
        <v>4629</v>
      </c>
      <c r="BB703" s="183">
        <v>3242201</v>
      </c>
    </row>
    <row r="704" spans="28:54" ht="15.75" thickBot="1" x14ac:dyDescent="0.3">
      <c r="AB704" s="71" t="s">
        <v>1192</v>
      </c>
      <c r="AC704" s="72" t="s">
        <v>1191</v>
      </c>
      <c r="AD704" s="73" t="str">
        <f t="shared" si="34"/>
        <v>50-20</v>
      </c>
      <c r="AE704" s="74">
        <f t="shared" si="35"/>
        <v>20</v>
      </c>
      <c r="AF704" s="71" t="s">
        <v>1210</v>
      </c>
      <c r="AG704" s="73" t="s">
        <v>2026</v>
      </c>
      <c r="BA704" s="108" t="s">
        <v>4630</v>
      </c>
      <c r="BB704" s="182">
        <v>3242301</v>
      </c>
    </row>
    <row r="705" spans="28:54" ht="15.75" thickBot="1" x14ac:dyDescent="0.3">
      <c r="AB705" s="71" t="s">
        <v>1192</v>
      </c>
      <c r="AC705" s="72" t="s">
        <v>1191</v>
      </c>
      <c r="AD705" s="73" t="str">
        <f t="shared" si="34"/>
        <v>50-21</v>
      </c>
      <c r="AE705" s="74">
        <f t="shared" si="35"/>
        <v>21</v>
      </c>
      <c r="AF705" s="71" t="s">
        <v>1211</v>
      </c>
      <c r="AG705" s="73" t="s">
        <v>348</v>
      </c>
      <c r="BA705" s="109" t="s">
        <v>4631</v>
      </c>
      <c r="BB705" s="183">
        <v>3242402</v>
      </c>
    </row>
    <row r="706" spans="28:54" ht="15.75" thickBot="1" x14ac:dyDescent="0.3">
      <c r="AB706" s="71" t="s">
        <v>1192</v>
      </c>
      <c r="AC706" s="72" t="s">
        <v>1191</v>
      </c>
      <c r="AD706" s="73" t="str">
        <f t="shared" si="34"/>
        <v>50-22</v>
      </c>
      <c r="AE706" s="74">
        <f t="shared" si="35"/>
        <v>22</v>
      </c>
      <c r="AF706" s="71" t="s">
        <v>1212</v>
      </c>
      <c r="AG706" s="73" t="s">
        <v>2027</v>
      </c>
      <c r="BA706" s="108" t="s">
        <v>4632</v>
      </c>
      <c r="BB706" s="182">
        <v>3242902</v>
      </c>
    </row>
    <row r="707" spans="28:54" ht="15.75" thickBot="1" x14ac:dyDescent="0.3">
      <c r="AB707" s="71" t="s">
        <v>1192</v>
      </c>
      <c r="AC707" s="72" t="s">
        <v>1191</v>
      </c>
      <c r="AD707" s="73" t="str">
        <f t="shared" ref="AD707:AD770" si="36">CONCATENATE(AC707,"-",AE707)</f>
        <v>50-23</v>
      </c>
      <c r="AE707" s="74">
        <f t="shared" ref="AE707:AE770" si="37">IF(AB707=AB706,1+AE706,1)</f>
        <v>23</v>
      </c>
      <c r="AF707" s="71" t="s">
        <v>373</v>
      </c>
      <c r="AG707" s="73" t="s">
        <v>2028</v>
      </c>
      <c r="BA707" s="109" t="s">
        <v>4633</v>
      </c>
      <c r="BB707" s="183">
        <v>3243001</v>
      </c>
    </row>
    <row r="708" spans="28:54" ht="15.75" thickBot="1" x14ac:dyDescent="0.3">
      <c r="AB708" s="71" t="s">
        <v>1192</v>
      </c>
      <c r="AC708" s="72" t="s">
        <v>1191</v>
      </c>
      <c r="AD708" s="73" t="str">
        <f t="shared" si="36"/>
        <v>50-24</v>
      </c>
      <c r="AE708" s="74">
        <f t="shared" si="37"/>
        <v>24</v>
      </c>
      <c r="AF708" s="71" t="s">
        <v>1213</v>
      </c>
      <c r="AG708" s="73" t="s">
        <v>1787</v>
      </c>
      <c r="BA708" s="108" t="s">
        <v>4634</v>
      </c>
      <c r="BB708" s="182">
        <v>3251902</v>
      </c>
    </row>
    <row r="709" spans="28:54" ht="15.75" thickBot="1" x14ac:dyDescent="0.3">
      <c r="AB709" s="71" t="s">
        <v>1192</v>
      </c>
      <c r="AC709" s="72" t="s">
        <v>1191</v>
      </c>
      <c r="AD709" s="73" t="str">
        <f t="shared" si="36"/>
        <v>50-25</v>
      </c>
      <c r="AE709" s="74">
        <f t="shared" si="37"/>
        <v>25</v>
      </c>
      <c r="AF709" s="71" t="s">
        <v>1214</v>
      </c>
      <c r="AG709" s="73" t="s">
        <v>2029</v>
      </c>
      <c r="BA709" s="109" t="s">
        <v>4635</v>
      </c>
      <c r="BB709" s="183">
        <v>3252101</v>
      </c>
    </row>
    <row r="710" spans="28:54" ht="15.75" thickBot="1" x14ac:dyDescent="0.3">
      <c r="AB710" s="71" t="s">
        <v>1192</v>
      </c>
      <c r="AC710" s="72" t="s">
        <v>1191</v>
      </c>
      <c r="AD710" s="73" t="str">
        <f t="shared" si="36"/>
        <v>50-26</v>
      </c>
      <c r="AE710" s="74">
        <f t="shared" si="37"/>
        <v>26</v>
      </c>
      <c r="AF710" s="71" t="s">
        <v>1215</v>
      </c>
      <c r="AG710" s="73" t="s">
        <v>1814</v>
      </c>
      <c r="BA710" s="108" t="s">
        <v>4636</v>
      </c>
      <c r="BB710" s="182">
        <v>3252901</v>
      </c>
    </row>
    <row r="711" spans="28:54" ht="15.75" thickBot="1" x14ac:dyDescent="0.3">
      <c r="AB711" s="71" t="s">
        <v>1192</v>
      </c>
      <c r="AC711" s="72" t="s">
        <v>1191</v>
      </c>
      <c r="AD711" s="73" t="str">
        <f t="shared" si="36"/>
        <v>50-27</v>
      </c>
      <c r="AE711" s="74">
        <f t="shared" si="37"/>
        <v>27</v>
      </c>
      <c r="AF711" s="71" t="s">
        <v>1216</v>
      </c>
      <c r="AG711" s="73" t="s">
        <v>1762</v>
      </c>
      <c r="BA711" s="109" t="s">
        <v>4637</v>
      </c>
      <c r="BB711" s="183">
        <v>3269401</v>
      </c>
    </row>
    <row r="712" spans="28:54" ht="15.75" thickBot="1" x14ac:dyDescent="0.3">
      <c r="AB712" s="71" t="s">
        <v>1192</v>
      </c>
      <c r="AC712" s="72" t="s">
        <v>1191</v>
      </c>
      <c r="AD712" s="73" t="str">
        <f t="shared" si="36"/>
        <v>50-28</v>
      </c>
      <c r="AE712" s="74">
        <f t="shared" si="37"/>
        <v>28</v>
      </c>
      <c r="AF712" s="71" t="s">
        <v>938</v>
      </c>
      <c r="AG712" s="73" t="s">
        <v>2030</v>
      </c>
      <c r="BA712" s="108" t="s">
        <v>4638</v>
      </c>
      <c r="BB712" s="182">
        <v>3269601</v>
      </c>
    </row>
    <row r="713" spans="28:54" ht="15.75" thickBot="1" x14ac:dyDescent="0.3">
      <c r="AB713" s="71" t="s">
        <v>1192</v>
      </c>
      <c r="AC713" s="72" t="s">
        <v>1191</v>
      </c>
      <c r="AD713" s="73" t="str">
        <f t="shared" si="36"/>
        <v>50-29</v>
      </c>
      <c r="AE713" s="74">
        <f t="shared" si="37"/>
        <v>29</v>
      </c>
      <c r="AF713" s="71" t="s">
        <v>1217</v>
      </c>
      <c r="AG713" s="73" t="s">
        <v>2031</v>
      </c>
      <c r="BA713" s="109" t="s">
        <v>4639</v>
      </c>
      <c r="BB713" s="183">
        <v>3269901</v>
      </c>
    </row>
    <row r="714" spans="28:54" ht="15.75" thickBot="1" x14ac:dyDescent="0.3">
      <c r="AB714" s="71" t="s">
        <v>1219</v>
      </c>
      <c r="AC714" s="72" t="s">
        <v>1218</v>
      </c>
      <c r="AD714" s="73" t="str">
        <f t="shared" si="36"/>
        <v>52-1</v>
      </c>
      <c r="AE714" s="74">
        <f t="shared" si="37"/>
        <v>1</v>
      </c>
      <c r="AF714" s="71" t="s">
        <v>1220</v>
      </c>
      <c r="AG714" s="73" t="s">
        <v>334</v>
      </c>
      <c r="BA714" s="108" t="s">
        <v>4640</v>
      </c>
      <c r="BB714" s="182">
        <v>3272101</v>
      </c>
    </row>
    <row r="715" spans="28:54" ht="15.75" thickBot="1" x14ac:dyDescent="0.3">
      <c r="AB715" s="71" t="s">
        <v>1219</v>
      </c>
      <c r="AC715" s="72" t="s">
        <v>1218</v>
      </c>
      <c r="AD715" s="73" t="str">
        <f t="shared" si="36"/>
        <v>52-2</v>
      </c>
      <c r="AE715" s="74">
        <f t="shared" si="37"/>
        <v>2</v>
      </c>
      <c r="AF715" s="71" t="s">
        <v>971</v>
      </c>
      <c r="AG715" s="73" t="s">
        <v>1942</v>
      </c>
      <c r="BA715" s="109" t="s">
        <v>4641</v>
      </c>
      <c r="BB715" s="183">
        <v>3281101</v>
      </c>
    </row>
    <row r="716" spans="28:54" ht="15.75" thickBot="1" x14ac:dyDescent="0.3">
      <c r="AB716" s="71" t="s">
        <v>1219</v>
      </c>
      <c r="AC716" s="72" t="s">
        <v>1218</v>
      </c>
      <c r="AD716" s="73" t="str">
        <f t="shared" si="36"/>
        <v>52-3</v>
      </c>
      <c r="AE716" s="74">
        <f t="shared" si="37"/>
        <v>3</v>
      </c>
      <c r="AF716" s="71" t="s">
        <v>1221</v>
      </c>
      <c r="AG716" s="73" t="s">
        <v>1820</v>
      </c>
      <c r="BA716" s="108" t="s">
        <v>4642</v>
      </c>
      <c r="BB716" s="182">
        <v>3289101</v>
      </c>
    </row>
    <row r="717" spans="28:54" ht="15.75" thickBot="1" x14ac:dyDescent="0.3">
      <c r="AB717" s="71" t="s">
        <v>1219</v>
      </c>
      <c r="AC717" s="72" t="s">
        <v>1218</v>
      </c>
      <c r="AD717" s="73" t="str">
        <f t="shared" si="36"/>
        <v>52-4</v>
      </c>
      <c r="AE717" s="74">
        <f t="shared" si="37"/>
        <v>4</v>
      </c>
      <c r="AF717" s="71" t="s">
        <v>1222</v>
      </c>
      <c r="AG717" s="73" t="s">
        <v>1692</v>
      </c>
      <c r="BA717" s="109" t="s">
        <v>4643</v>
      </c>
      <c r="BB717" s="183">
        <v>3289201</v>
      </c>
    </row>
    <row r="718" spans="28:54" ht="15.75" thickBot="1" x14ac:dyDescent="0.3">
      <c r="AB718" s="71" t="s">
        <v>1219</v>
      </c>
      <c r="AC718" s="72" t="s">
        <v>1218</v>
      </c>
      <c r="AD718" s="73" t="str">
        <f t="shared" si="36"/>
        <v>52-5</v>
      </c>
      <c r="AE718" s="74">
        <f t="shared" si="37"/>
        <v>5</v>
      </c>
      <c r="AF718" s="71" t="s">
        <v>1223</v>
      </c>
      <c r="AG718" s="73" t="s">
        <v>1697</v>
      </c>
      <c r="BA718" s="108" t="s">
        <v>4644</v>
      </c>
      <c r="BB718" s="182">
        <v>3289301</v>
      </c>
    </row>
    <row r="719" spans="28:54" ht="15.75" thickBot="1" x14ac:dyDescent="0.3">
      <c r="AB719" s="71" t="s">
        <v>1219</v>
      </c>
      <c r="AC719" s="72" t="s">
        <v>1218</v>
      </c>
      <c r="AD719" s="73" t="str">
        <f t="shared" si="36"/>
        <v>52-6</v>
      </c>
      <c r="AE719" s="74">
        <f t="shared" si="37"/>
        <v>6</v>
      </c>
      <c r="AF719" s="71" t="s">
        <v>1224</v>
      </c>
      <c r="AG719" s="73" t="s">
        <v>1699</v>
      </c>
      <c r="BA719" s="109" t="s">
        <v>4645</v>
      </c>
      <c r="BB719" s="183">
        <v>3289902</v>
      </c>
    </row>
    <row r="720" spans="28:54" ht="15.75" thickBot="1" x14ac:dyDescent="0.3">
      <c r="AB720" s="71" t="s">
        <v>1219</v>
      </c>
      <c r="AC720" s="72" t="s">
        <v>1218</v>
      </c>
      <c r="AD720" s="73" t="str">
        <f t="shared" si="36"/>
        <v>52-7</v>
      </c>
      <c r="AE720" s="74">
        <f t="shared" si="37"/>
        <v>7</v>
      </c>
      <c r="AF720" s="71" t="s">
        <v>715</v>
      </c>
      <c r="AG720" s="73" t="s">
        <v>54</v>
      </c>
      <c r="BA720" s="108" t="s">
        <v>4646</v>
      </c>
      <c r="BB720" s="182">
        <v>3291901</v>
      </c>
    </row>
    <row r="721" spans="28:54" ht="15.75" thickBot="1" x14ac:dyDescent="0.3">
      <c r="AB721" s="71" t="s">
        <v>1219</v>
      </c>
      <c r="AC721" s="72" t="s">
        <v>1218</v>
      </c>
      <c r="AD721" s="73" t="str">
        <f t="shared" si="36"/>
        <v>52-8</v>
      </c>
      <c r="AE721" s="74">
        <f t="shared" si="37"/>
        <v>8</v>
      </c>
      <c r="AF721" s="71" t="s">
        <v>1225</v>
      </c>
      <c r="AG721" s="73" t="s">
        <v>1911</v>
      </c>
      <c r="BA721" s="109" t="s">
        <v>4647</v>
      </c>
      <c r="BB721" s="183">
        <v>3292101</v>
      </c>
    </row>
    <row r="722" spans="28:54" ht="15.75" thickBot="1" x14ac:dyDescent="0.3">
      <c r="AB722" s="71" t="s">
        <v>1219</v>
      </c>
      <c r="AC722" s="72" t="s">
        <v>1218</v>
      </c>
      <c r="AD722" s="73" t="str">
        <f t="shared" si="36"/>
        <v>52-9</v>
      </c>
      <c r="AE722" s="74">
        <f t="shared" si="37"/>
        <v>9</v>
      </c>
      <c r="AF722" s="71" t="s">
        <v>1226</v>
      </c>
      <c r="AG722" s="73" t="s">
        <v>98</v>
      </c>
      <c r="BA722" s="108" t="s">
        <v>4648</v>
      </c>
      <c r="BB722" s="182">
        <v>3292201</v>
      </c>
    </row>
    <row r="723" spans="28:54" ht="15.75" thickBot="1" x14ac:dyDescent="0.3">
      <c r="AB723" s="71" t="s">
        <v>1219</v>
      </c>
      <c r="AC723" s="72" t="s">
        <v>1218</v>
      </c>
      <c r="AD723" s="73" t="str">
        <f t="shared" si="36"/>
        <v>52-10</v>
      </c>
      <c r="AE723" s="74">
        <f t="shared" si="37"/>
        <v>10</v>
      </c>
      <c r="AF723" s="71" t="s">
        <v>1227</v>
      </c>
      <c r="AG723" s="73" t="s">
        <v>2032</v>
      </c>
      <c r="BA723" s="109" t="s">
        <v>4649</v>
      </c>
      <c r="BB723" s="183">
        <v>3292601</v>
      </c>
    </row>
    <row r="724" spans="28:54" ht="15.75" thickBot="1" x14ac:dyDescent="0.3">
      <c r="AB724" s="71" t="s">
        <v>1219</v>
      </c>
      <c r="AC724" s="72" t="s">
        <v>1218</v>
      </c>
      <c r="AD724" s="73" t="str">
        <f t="shared" si="36"/>
        <v>52-11</v>
      </c>
      <c r="AE724" s="74">
        <f t="shared" si="37"/>
        <v>11</v>
      </c>
      <c r="AF724" s="71" t="s">
        <v>1228</v>
      </c>
      <c r="AG724" s="73" t="s">
        <v>2033</v>
      </c>
      <c r="BA724" s="108" t="s">
        <v>4650</v>
      </c>
      <c r="BB724" s="182">
        <v>3292702</v>
      </c>
    </row>
    <row r="725" spans="28:54" ht="15.75" thickBot="1" x14ac:dyDescent="0.3">
      <c r="AB725" s="71" t="s">
        <v>1219</v>
      </c>
      <c r="AC725" s="72" t="s">
        <v>1218</v>
      </c>
      <c r="AD725" s="73" t="str">
        <f t="shared" si="36"/>
        <v>52-12</v>
      </c>
      <c r="AE725" s="74">
        <f t="shared" si="37"/>
        <v>12</v>
      </c>
      <c r="AF725" s="71" t="s">
        <v>674</v>
      </c>
      <c r="AG725" s="73" t="s">
        <v>102</v>
      </c>
      <c r="BA725" s="109" t="s">
        <v>4651</v>
      </c>
      <c r="BB725" s="183">
        <v>3292901</v>
      </c>
    </row>
    <row r="726" spans="28:54" ht="15.75" thickBot="1" x14ac:dyDescent="0.3">
      <c r="AB726" s="71" t="s">
        <v>1219</v>
      </c>
      <c r="AC726" s="72" t="s">
        <v>1218</v>
      </c>
      <c r="AD726" s="73" t="str">
        <f t="shared" si="36"/>
        <v>52-13</v>
      </c>
      <c r="AE726" s="74">
        <f t="shared" si="37"/>
        <v>13</v>
      </c>
      <c r="AF726" s="71" t="s">
        <v>1229</v>
      </c>
      <c r="AG726" s="73" t="s">
        <v>1835</v>
      </c>
      <c r="BA726" s="108" t="s">
        <v>4652</v>
      </c>
      <c r="BB726" s="182">
        <v>3293001</v>
      </c>
    </row>
    <row r="727" spans="28:54" ht="15.75" thickBot="1" x14ac:dyDescent="0.3">
      <c r="AB727" s="71" t="s">
        <v>1219</v>
      </c>
      <c r="AC727" s="72" t="s">
        <v>1218</v>
      </c>
      <c r="AD727" s="73" t="str">
        <f t="shared" si="36"/>
        <v>52-14</v>
      </c>
      <c r="AE727" s="74">
        <f t="shared" si="37"/>
        <v>14</v>
      </c>
      <c r="AF727" s="71" t="s">
        <v>1230</v>
      </c>
      <c r="AG727" s="73" t="s">
        <v>2034</v>
      </c>
      <c r="BA727" s="109" t="s">
        <v>4653</v>
      </c>
      <c r="BB727" s="183">
        <v>3300001</v>
      </c>
    </row>
    <row r="728" spans="28:54" ht="15.75" thickBot="1" x14ac:dyDescent="0.3">
      <c r="AB728" s="71" t="s">
        <v>1219</v>
      </c>
      <c r="AC728" s="72" t="s">
        <v>1218</v>
      </c>
      <c r="AD728" s="73" t="str">
        <f t="shared" si="36"/>
        <v>52-15</v>
      </c>
      <c r="AE728" s="74">
        <f t="shared" si="37"/>
        <v>15</v>
      </c>
      <c r="AF728" s="71" t="s">
        <v>1231</v>
      </c>
      <c r="AG728" s="73" t="s">
        <v>2035</v>
      </c>
      <c r="BA728" s="108" t="s">
        <v>4654</v>
      </c>
      <c r="BB728" s="182">
        <v>3315001</v>
      </c>
    </row>
    <row r="729" spans="28:54" ht="15.75" thickBot="1" x14ac:dyDescent="0.3">
      <c r="AB729" s="71" t="s">
        <v>1219</v>
      </c>
      <c r="AC729" s="72" t="s">
        <v>1218</v>
      </c>
      <c r="AD729" s="73" t="str">
        <f t="shared" si="36"/>
        <v>52-16</v>
      </c>
      <c r="AE729" s="74">
        <f t="shared" si="37"/>
        <v>16</v>
      </c>
      <c r="AF729" s="71" t="s">
        <v>1232</v>
      </c>
      <c r="AG729" s="73" t="s">
        <v>142</v>
      </c>
      <c r="BA729" s="109" t="s">
        <v>4655</v>
      </c>
      <c r="BB729" s="183">
        <v>3319001</v>
      </c>
    </row>
    <row r="730" spans="28:54" ht="15.75" thickBot="1" x14ac:dyDescent="0.3">
      <c r="AB730" s="71" t="s">
        <v>1219</v>
      </c>
      <c r="AC730" s="72" t="s">
        <v>1218</v>
      </c>
      <c r="AD730" s="73" t="str">
        <f t="shared" si="36"/>
        <v>52-17</v>
      </c>
      <c r="AE730" s="74">
        <f t="shared" si="37"/>
        <v>17</v>
      </c>
      <c r="AF730" s="71" t="s">
        <v>1233</v>
      </c>
      <c r="AG730" s="73" t="s">
        <v>1720</v>
      </c>
      <c r="BA730" s="108" t="s">
        <v>4656</v>
      </c>
      <c r="BB730" s="182">
        <v>3323001</v>
      </c>
    </row>
    <row r="731" spans="28:54" ht="15.75" thickBot="1" x14ac:dyDescent="0.3">
      <c r="AB731" s="71" t="s">
        <v>1219</v>
      </c>
      <c r="AC731" s="72" t="s">
        <v>1218</v>
      </c>
      <c r="AD731" s="73" t="str">
        <f t="shared" si="36"/>
        <v>52-18</v>
      </c>
      <c r="AE731" s="74">
        <f t="shared" si="37"/>
        <v>18</v>
      </c>
      <c r="AF731" s="71" t="s">
        <v>1234</v>
      </c>
      <c r="AG731" s="73" t="s">
        <v>2036</v>
      </c>
      <c r="BA731" s="109" t="s">
        <v>4657</v>
      </c>
      <c r="BB731" s="183">
        <v>3332002</v>
      </c>
    </row>
    <row r="732" spans="28:54" ht="15.75" thickBot="1" x14ac:dyDescent="0.3">
      <c r="AB732" s="71" t="s">
        <v>1219</v>
      </c>
      <c r="AC732" s="72" t="s">
        <v>1218</v>
      </c>
      <c r="AD732" s="73" t="str">
        <f t="shared" si="36"/>
        <v>52-19</v>
      </c>
      <c r="AE732" s="74">
        <f t="shared" si="37"/>
        <v>19</v>
      </c>
      <c r="AF732" s="71" t="s">
        <v>1235</v>
      </c>
      <c r="AG732" s="73" t="s">
        <v>1902</v>
      </c>
      <c r="BA732" s="108" t="s">
        <v>4658</v>
      </c>
      <c r="BB732" s="182">
        <v>3333001</v>
      </c>
    </row>
    <row r="733" spans="28:54" ht="15.75" thickBot="1" x14ac:dyDescent="0.3">
      <c r="AB733" s="71" t="s">
        <v>1219</v>
      </c>
      <c r="AC733" s="72" t="s">
        <v>1218</v>
      </c>
      <c r="AD733" s="73" t="str">
        <f t="shared" si="36"/>
        <v>52-20</v>
      </c>
      <c r="AE733" s="74">
        <f t="shared" si="37"/>
        <v>20</v>
      </c>
      <c r="AF733" s="71" t="s">
        <v>1236</v>
      </c>
      <c r="AG733" s="73" t="s">
        <v>1952</v>
      </c>
      <c r="BA733" s="109" t="s">
        <v>4659</v>
      </c>
      <c r="BB733" s="183">
        <v>3341001</v>
      </c>
    </row>
    <row r="734" spans="28:54" ht="15.75" thickBot="1" x14ac:dyDescent="0.3">
      <c r="AB734" s="71" t="s">
        <v>1219</v>
      </c>
      <c r="AC734" s="72" t="s">
        <v>1218</v>
      </c>
      <c r="AD734" s="73" t="str">
        <f t="shared" si="36"/>
        <v>52-21</v>
      </c>
      <c r="AE734" s="74">
        <f t="shared" si="37"/>
        <v>21</v>
      </c>
      <c r="AF734" s="71" t="s">
        <v>885</v>
      </c>
      <c r="AG734" s="73" t="s">
        <v>1953</v>
      </c>
      <c r="BA734" s="108" t="s">
        <v>4660</v>
      </c>
      <c r="BB734" s="182">
        <v>3342001</v>
      </c>
    </row>
    <row r="735" spans="28:54" ht="15.75" thickBot="1" x14ac:dyDescent="0.3">
      <c r="AB735" s="71" t="s">
        <v>1219</v>
      </c>
      <c r="AC735" s="72" t="s">
        <v>1218</v>
      </c>
      <c r="AD735" s="73" t="str">
        <f t="shared" si="36"/>
        <v>52-22</v>
      </c>
      <c r="AE735" s="74">
        <f t="shared" si="37"/>
        <v>22</v>
      </c>
      <c r="AF735" s="71" t="s">
        <v>1237</v>
      </c>
      <c r="AG735" s="73" t="s">
        <v>178</v>
      </c>
      <c r="BA735" s="109" t="s">
        <v>4661</v>
      </c>
      <c r="BB735" s="183">
        <v>3343001</v>
      </c>
    </row>
    <row r="736" spans="28:54" ht="15.75" thickBot="1" x14ac:dyDescent="0.3">
      <c r="AB736" s="71" t="s">
        <v>1219</v>
      </c>
      <c r="AC736" s="72" t="s">
        <v>1218</v>
      </c>
      <c r="AD736" s="73" t="str">
        <f t="shared" si="36"/>
        <v>52-23</v>
      </c>
      <c r="AE736" s="74">
        <f t="shared" si="37"/>
        <v>23</v>
      </c>
      <c r="AF736" s="71" t="s">
        <v>1238</v>
      </c>
      <c r="AG736" s="73" t="s">
        <v>194</v>
      </c>
      <c r="BA736" s="108" t="s">
        <v>4662</v>
      </c>
      <c r="BB736" s="182">
        <v>3359101</v>
      </c>
    </row>
    <row r="737" spans="28:54" ht="15.75" thickBot="1" x14ac:dyDescent="0.3">
      <c r="AB737" s="71" t="s">
        <v>1219</v>
      </c>
      <c r="AC737" s="72" t="s">
        <v>1218</v>
      </c>
      <c r="AD737" s="73" t="str">
        <f t="shared" si="36"/>
        <v>52-24</v>
      </c>
      <c r="AE737" s="74">
        <f t="shared" si="37"/>
        <v>24</v>
      </c>
      <c r="AF737" s="71" t="s">
        <v>1239</v>
      </c>
      <c r="AG737" s="73" t="s">
        <v>1959</v>
      </c>
      <c r="BA737" s="109" t="s">
        <v>4663</v>
      </c>
      <c r="BB737" s="183">
        <v>3359201</v>
      </c>
    </row>
    <row r="738" spans="28:54" ht="15.75" thickBot="1" x14ac:dyDescent="0.3">
      <c r="AB738" s="71" t="s">
        <v>1219</v>
      </c>
      <c r="AC738" s="72" t="s">
        <v>1218</v>
      </c>
      <c r="AD738" s="73" t="str">
        <f t="shared" si="36"/>
        <v>52-25</v>
      </c>
      <c r="AE738" s="74">
        <f t="shared" si="37"/>
        <v>25</v>
      </c>
      <c r="AF738" s="71" t="s">
        <v>1240</v>
      </c>
      <c r="AG738" s="73" t="s">
        <v>2037</v>
      </c>
      <c r="BA738" s="108" t="s">
        <v>4664</v>
      </c>
      <c r="BB738" s="182">
        <v>3359901</v>
      </c>
    </row>
    <row r="739" spans="28:54" ht="15.75" thickBot="1" x14ac:dyDescent="0.3">
      <c r="AB739" s="71" t="s">
        <v>1219</v>
      </c>
      <c r="AC739" s="72" t="s">
        <v>1218</v>
      </c>
      <c r="AD739" s="73" t="str">
        <f t="shared" si="36"/>
        <v>52-26</v>
      </c>
      <c r="AE739" s="74">
        <f t="shared" si="37"/>
        <v>26</v>
      </c>
      <c r="AF739" s="71" t="s">
        <v>1241</v>
      </c>
      <c r="AG739" s="73" t="s">
        <v>2038</v>
      </c>
      <c r="BA739" s="109" t="s">
        <v>4665</v>
      </c>
      <c r="BB739" s="183">
        <v>3361102</v>
      </c>
    </row>
    <row r="740" spans="28:54" ht="15.75" thickBot="1" x14ac:dyDescent="0.3">
      <c r="AB740" s="71" t="s">
        <v>1219</v>
      </c>
      <c r="AC740" s="72" t="s">
        <v>1218</v>
      </c>
      <c r="AD740" s="73" t="str">
        <f t="shared" si="36"/>
        <v>52-27</v>
      </c>
      <c r="AE740" s="74">
        <f t="shared" si="37"/>
        <v>27</v>
      </c>
      <c r="AF740" s="71" t="s">
        <v>1242</v>
      </c>
      <c r="AG740" s="73" t="s">
        <v>2039</v>
      </c>
      <c r="BA740" s="108" t="s">
        <v>4666</v>
      </c>
      <c r="BB740" s="182">
        <v>3361202</v>
      </c>
    </row>
    <row r="741" spans="28:54" ht="15.75" thickBot="1" x14ac:dyDescent="0.3">
      <c r="AB741" s="71" t="s">
        <v>1219</v>
      </c>
      <c r="AC741" s="72" t="s">
        <v>1218</v>
      </c>
      <c r="AD741" s="73" t="str">
        <f t="shared" si="36"/>
        <v>52-28</v>
      </c>
      <c r="AE741" s="74">
        <f t="shared" si="37"/>
        <v>28</v>
      </c>
      <c r="AF741" s="71" t="s">
        <v>1243</v>
      </c>
      <c r="AG741" s="73" t="s">
        <v>2040</v>
      </c>
      <c r="BA741" s="109" t="s">
        <v>4667</v>
      </c>
      <c r="BB741" s="183">
        <v>3361302</v>
      </c>
    </row>
    <row r="742" spans="28:54" ht="15.75" thickBot="1" x14ac:dyDescent="0.3">
      <c r="AB742" s="71" t="s">
        <v>1219</v>
      </c>
      <c r="AC742" s="72" t="s">
        <v>1218</v>
      </c>
      <c r="AD742" s="73" t="str">
        <f t="shared" si="36"/>
        <v>52-29</v>
      </c>
      <c r="AE742" s="74">
        <f t="shared" si="37"/>
        <v>29</v>
      </c>
      <c r="AF742" s="71" t="s">
        <v>1244</v>
      </c>
      <c r="AG742" s="73" t="s">
        <v>2004</v>
      </c>
      <c r="BA742" s="108" t="s">
        <v>4668</v>
      </c>
      <c r="BB742" s="182">
        <v>3361901</v>
      </c>
    </row>
    <row r="743" spans="28:54" ht="15.75" thickBot="1" x14ac:dyDescent="0.3">
      <c r="AB743" s="71" t="s">
        <v>1219</v>
      </c>
      <c r="AC743" s="72" t="s">
        <v>1218</v>
      </c>
      <c r="AD743" s="73" t="str">
        <f t="shared" si="36"/>
        <v>52-30</v>
      </c>
      <c r="AE743" s="74">
        <f t="shared" si="37"/>
        <v>30</v>
      </c>
      <c r="AF743" s="71" t="s">
        <v>1245</v>
      </c>
      <c r="AG743" s="73" t="s">
        <v>2041</v>
      </c>
      <c r="BA743" s="109" t="s">
        <v>4669</v>
      </c>
      <c r="BB743" s="183">
        <v>3369101</v>
      </c>
    </row>
    <row r="744" spans="28:54" ht="15.75" thickBot="1" x14ac:dyDescent="0.3">
      <c r="AB744" s="71" t="s">
        <v>1219</v>
      </c>
      <c r="AC744" s="72" t="s">
        <v>1218</v>
      </c>
      <c r="AD744" s="73" t="str">
        <f t="shared" si="36"/>
        <v>52-31</v>
      </c>
      <c r="AE744" s="74">
        <f t="shared" si="37"/>
        <v>31</v>
      </c>
      <c r="AF744" s="71" t="s">
        <v>1246</v>
      </c>
      <c r="AG744" s="73" t="s">
        <v>2042</v>
      </c>
      <c r="BA744" s="108" t="s">
        <v>4670</v>
      </c>
      <c r="BB744" s="182">
        <v>3369202</v>
      </c>
    </row>
    <row r="745" spans="28:54" ht="15.75" thickBot="1" x14ac:dyDescent="0.3">
      <c r="AB745" s="71" t="s">
        <v>1219</v>
      </c>
      <c r="AC745" s="72" t="s">
        <v>1218</v>
      </c>
      <c r="AD745" s="73" t="str">
        <f t="shared" si="36"/>
        <v>52-32</v>
      </c>
      <c r="AE745" s="74">
        <f t="shared" si="37"/>
        <v>32</v>
      </c>
      <c r="AF745" s="71" t="s">
        <v>1247</v>
      </c>
      <c r="AG745" s="73" t="s">
        <v>1738</v>
      </c>
      <c r="BA745" s="109" t="s">
        <v>4671</v>
      </c>
      <c r="BB745" s="183">
        <v>3369401</v>
      </c>
    </row>
    <row r="746" spans="28:54" ht="15.75" thickBot="1" x14ac:dyDescent="0.3">
      <c r="AB746" s="71" t="s">
        <v>1219</v>
      </c>
      <c r="AC746" s="72" t="s">
        <v>1218</v>
      </c>
      <c r="AD746" s="73" t="str">
        <f t="shared" si="36"/>
        <v>52-33</v>
      </c>
      <c r="AE746" s="74">
        <f t="shared" si="37"/>
        <v>33</v>
      </c>
      <c r="AF746" s="71" t="s">
        <v>575</v>
      </c>
      <c r="AG746" s="73" t="s">
        <v>236</v>
      </c>
      <c r="BA746" s="108" t="s">
        <v>4672</v>
      </c>
      <c r="BB746" s="182">
        <v>3369902</v>
      </c>
    </row>
    <row r="747" spans="28:54" ht="15.75" thickBot="1" x14ac:dyDescent="0.3">
      <c r="AB747" s="71" t="s">
        <v>1219</v>
      </c>
      <c r="AC747" s="72" t="s">
        <v>1218</v>
      </c>
      <c r="AD747" s="73" t="str">
        <f t="shared" si="36"/>
        <v>52-34</v>
      </c>
      <c r="AE747" s="74">
        <f t="shared" si="37"/>
        <v>34</v>
      </c>
      <c r="AF747" s="71" t="s">
        <v>1248</v>
      </c>
      <c r="AG747" s="73" t="s">
        <v>2043</v>
      </c>
      <c r="BA747" s="109" t="s">
        <v>4673</v>
      </c>
      <c r="BB747" s="183">
        <v>3372001</v>
      </c>
    </row>
    <row r="748" spans="28:54" ht="15.75" thickBot="1" x14ac:dyDescent="0.3">
      <c r="AB748" s="71" t="s">
        <v>1219</v>
      </c>
      <c r="AC748" s="72" t="s">
        <v>1218</v>
      </c>
      <c r="AD748" s="73" t="str">
        <f t="shared" si="36"/>
        <v>52-35</v>
      </c>
      <c r="AE748" s="74">
        <f t="shared" si="37"/>
        <v>35</v>
      </c>
      <c r="AF748" s="71" t="s">
        <v>1249</v>
      </c>
      <c r="AG748" s="73" t="s">
        <v>250</v>
      </c>
      <c r="BA748" s="108" t="s">
        <v>4674</v>
      </c>
      <c r="BB748" s="182">
        <v>3403001</v>
      </c>
    </row>
    <row r="749" spans="28:54" ht="15.75" thickBot="1" x14ac:dyDescent="0.3">
      <c r="AB749" s="71" t="s">
        <v>1219</v>
      </c>
      <c r="AC749" s="72" t="s">
        <v>1218</v>
      </c>
      <c r="AD749" s="73" t="str">
        <f t="shared" si="36"/>
        <v>52-36</v>
      </c>
      <c r="AE749" s="74">
        <f t="shared" si="37"/>
        <v>36</v>
      </c>
      <c r="AF749" s="71" t="s">
        <v>1250</v>
      </c>
      <c r="AG749" s="73" t="s">
        <v>1916</v>
      </c>
      <c r="BA749" s="109" t="s">
        <v>4675</v>
      </c>
      <c r="BB749" s="183">
        <v>3410001</v>
      </c>
    </row>
    <row r="750" spans="28:54" ht="15.75" thickBot="1" x14ac:dyDescent="0.3">
      <c r="AB750" s="71" t="s">
        <v>1219</v>
      </c>
      <c r="AC750" s="72" t="s">
        <v>1218</v>
      </c>
      <c r="AD750" s="73" t="str">
        <f t="shared" si="36"/>
        <v>52-37</v>
      </c>
      <c r="AE750" s="74">
        <f t="shared" si="37"/>
        <v>37</v>
      </c>
      <c r="AF750" s="71" t="s">
        <v>1251</v>
      </c>
      <c r="AG750" s="73" t="s">
        <v>2044</v>
      </c>
      <c r="BA750" s="108" t="s">
        <v>4676</v>
      </c>
      <c r="BB750" s="182">
        <v>3454101</v>
      </c>
    </row>
    <row r="751" spans="28:54" ht="15.75" thickBot="1" x14ac:dyDescent="0.3">
      <c r="AB751" s="71" t="s">
        <v>1219</v>
      </c>
      <c r="AC751" s="72" t="s">
        <v>1218</v>
      </c>
      <c r="AD751" s="73" t="str">
        <f t="shared" si="36"/>
        <v>52-38</v>
      </c>
      <c r="AE751" s="74">
        <f t="shared" si="37"/>
        <v>38</v>
      </c>
      <c r="AF751" s="71" t="s">
        <v>1252</v>
      </c>
      <c r="AG751" s="73" t="s">
        <v>2045</v>
      </c>
      <c r="BA751" s="109" t="s">
        <v>4677</v>
      </c>
      <c r="BB751" s="183">
        <v>3454201</v>
      </c>
    </row>
    <row r="752" spans="28:54" ht="15.75" thickBot="1" x14ac:dyDescent="0.3">
      <c r="AB752" s="71" t="s">
        <v>1219</v>
      </c>
      <c r="AC752" s="72" t="s">
        <v>1218</v>
      </c>
      <c r="AD752" s="73" t="str">
        <f t="shared" si="36"/>
        <v>52-39</v>
      </c>
      <c r="AE752" s="74">
        <f t="shared" si="37"/>
        <v>39</v>
      </c>
      <c r="AF752" s="71" t="s">
        <v>1024</v>
      </c>
      <c r="AG752" s="73" t="s">
        <v>1806</v>
      </c>
      <c r="BA752" s="108" t="s">
        <v>4678</v>
      </c>
      <c r="BB752" s="182">
        <v>3455202</v>
      </c>
    </row>
    <row r="753" spans="28:54" ht="15.75" thickBot="1" x14ac:dyDescent="0.3">
      <c r="AB753" s="71" t="s">
        <v>1219</v>
      </c>
      <c r="AC753" s="72" t="s">
        <v>1218</v>
      </c>
      <c r="AD753" s="73" t="str">
        <f t="shared" si="36"/>
        <v>52-40</v>
      </c>
      <c r="AE753" s="74">
        <f t="shared" si="37"/>
        <v>40</v>
      </c>
      <c r="AF753" s="71" t="s">
        <v>582</v>
      </c>
      <c r="AG753" s="73" t="s">
        <v>1742</v>
      </c>
      <c r="BA753" s="109" t="s">
        <v>4679</v>
      </c>
      <c r="BB753" s="183">
        <v>3503001</v>
      </c>
    </row>
    <row r="754" spans="28:54" ht="15.75" thickBot="1" x14ac:dyDescent="0.3">
      <c r="AB754" s="71" t="s">
        <v>1219</v>
      </c>
      <c r="AC754" s="72" t="s">
        <v>1218</v>
      </c>
      <c r="AD754" s="73" t="str">
        <f t="shared" si="36"/>
        <v>52-41</v>
      </c>
      <c r="AE754" s="74">
        <f t="shared" si="37"/>
        <v>41</v>
      </c>
      <c r="AF754" s="71" t="s">
        <v>1253</v>
      </c>
      <c r="AG754" s="73" t="s">
        <v>1744</v>
      </c>
      <c r="BA754" s="108" t="s">
        <v>4680</v>
      </c>
      <c r="BB754" s="182">
        <v>3505101</v>
      </c>
    </row>
    <row r="755" spans="28:54" ht="15.75" thickBot="1" x14ac:dyDescent="0.3">
      <c r="AB755" s="71" t="s">
        <v>1219</v>
      </c>
      <c r="AC755" s="72" t="s">
        <v>1218</v>
      </c>
      <c r="AD755" s="73" t="str">
        <f t="shared" si="36"/>
        <v>52-42</v>
      </c>
      <c r="AE755" s="74">
        <f t="shared" si="37"/>
        <v>42</v>
      </c>
      <c r="AF755" s="71" t="s">
        <v>1254</v>
      </c>
      <c r="AG755" s="73" t="s">
        <v>1969</v>
      </c>
      <c r="BA755" s="109" t="s">
        <v>4681</v>
      </c>
      <c r="BB755" s="183">
        <v>3511101</v>
      </c>
    </row>
    <row r="756" spans="28:54" ht="15.75" thickBot="1" x14ac:dyDescent="0.3">
      <c r="AB756" s="71" t="s">
        <v>1219</v>
      </c>
      <c r="AC756" s="72" t="s">
        <v>1218</v>
      </c>
      <c r="AD756" s="73" t="str">
        <f t="shared" si="36"/>
        <v>52-43</v>
      </c>
      <c r="AE756" s="74">
        <f t="shared" si="37"/>
        <v>43</v>
      </c>
      <c r="AF756" s="71" t="s">
        <v>1255</v>
      </c>
      <c r="AG756" s="73" t="s">
        <v>1783</v>
      </c>
      <c r="BA756" s="108" t="s">
        <v>4682</v>
      </c>
      <c r="BB756" s="182">
        <v>3515101</v>
      </c>
    </row>
    <row r="757" spans="28:54" ht="15.75" thickBot="1" x14ac:dyDescent="0.3">
      <c r="AB757" s="71" t="s">
        <v>1219</v>
      </c>
      <c r="AC757" s="72" t="s">
        <v>1218</v>
      </c>
      <c r="AD757" s="73" t="str">
        <f t="shared" si="36"/>
        <v>52-44</v>
      </c>
      <c r="AE757" s="74">
        <f t="shared" si="37"/>
        <v>44</v>
      </c>
      <c r="AF757" s="71" t="s">
        <v>1256</v>
      </c>
      <c r="AG757" s="73" t="s">
        <v>2046</v>
      </c>
      <c r="BA757" s="109" t="s">
        <v>4683</v>
      </c>
      <c r="BB757" s="183">
        <v>3515501</v>
      </c>
    </row>
    <row r="758" spans="28:54" ht="15.75" thickBot="1" x14ac:dyDescent="0.3">
      <c r="AB758" s="71" t="s">
        <v>1219</v>
      </c>
      <c r="AC758" s="72" t="s">
        <v>1218</v>
      </c>
      <c r="AD758" s="73" t="str">
        <f t="shared" si="36"/>
        <v>52-45</v>
      </c>
      <c r="AE758" s="74">
        <f t="shared" si="37"/>
        <v>45</v>
      </c>
      <c r="AF758" s="71" t="s">
        <v>1257</v>
      </c>
      <c r="AG758" s="73" t="s">
        <v>1786</v>
      </c>
      <c r="BA758" s="108" t="s">
        <v>4684</v>
      </c>
      <c r="BB758" s="182">
        <v>3517002</v>
      </c>
    </row>
    <row r="759" spans="28:54" ht="15.75" thickBot="1" x14ac:dyDescent="0.3">
      <c r="AB759" s="71" t="s">
        <v>1219</v>
      </c>
      <c r="AC759" s="72" t="s">
        <v>1218</v>
      </c>
      <c r="AD759" s="73" t="str">
        <f t="shared" si="36"/>
        <v>52-46</v>
      </c>
      <c r="AE759" s="74">
        <f t="shared" si="37"/>
        <v>46</v>
      </c>
      <c r="AF759" s="71" t="s">
        <v>1258</v>
      </c>
      <c r="AG759" s="73" t="s">
        <v>2047</v>
      </c>
      <c r="BA759" s="109" t="s">
        <v>4685</v>
      </c>
      <c r="BB759" s="183">
        <v>3519002</v>
      </c>
    </row>
    <row r="760" spans="28:54" ht="15.75" thickBot="1" x14ac:dyDescent="0.3">
      <c r="AB760" s="71" t="s">
        <v>1219</v>
      </c>
      <c r="AC760" s="72" t="s">
        <v>1218</v>
      </c>
      <c r="AD760" s="73" t="str">
        <f t="shared" si="36"/>
        <v>52-47</v>
      </c>
      <c r="AE760" s="74">
        <f t="shared" si="37"/>
        <v>47</v>
      </c>
      <c r="AF760" s="71" t="s">
        <v>1259</v>
      </c>
      <c r="AG760" s="73" t="s">
        <v>348</v>
      </c>
      <c r="BA760" s="108" t="s">
        <v>4686</v>
      </c>
      <c r="BB760" s="182">
        <v>3524101</v>
      </c>
    </row>
    <row r="761" spans="28:54" ht="15.75" thickBot="1" x14ac:dyDescent="0.3">
      <c r="AB761" s="71" t="s">
        <v>1219</v>
      </c>
      <c r="AC761" s="72" t="s">
        <v>1218</v>
      </c>
      <c r="AD761" s="73" t="str">
        <f t="shared" si="36"/>
        <v>52-48</v>
      </c>
      <c r="AE761" s="74">
        <f t="shared" si="37"/>
        <v>48</v>
      </c>
      <c r="AF761" s="71" t="s">
        <v>1260</v>
      </c>
      <c r="AG761" s="73" t="s">
        <v>1747</v>
      </c>
      <c r="BA761" s="109" t="s">
        <v>4687</v>
      </c>
      <c r="BB761" s="183">
        <v>3551902</v>
      </c>
    </row>
    <row r="762" spans="28:54" ht="15.75" thickBot="1" x14ac:dyDescent="0.3">
      <c r="AB762" s="71" t="s">
        <v>1219</v>
      </c>
      <c r="AC762" s="72" t="s">
        <v>1218</v>
      </c>
      <c r="AD762" s="73" t="str">
        <f t="shared" si="36"/>
        <v>52-49</v>
      </c>
      <c r="AE762" s="74">
        <f t="shared" si="37"/>
        <v>49</v>
      </c>
      <c r="AF762" s="71" t="s">
        <v>1040</v>
      </c>
      <c r="AG762" s="73" t="s">
        <v>1973</v>
      </c>
      <c r="BA762" s="108" t="s">
        <v>4688</v>
      </c>
      <c r="BB762" s="182">
        <v>3552302</v>
      </c>
    </row>
    <row r="763" spans="28:54" ht="15.75" thickBot="1" x14ac:dyDescent="0.3">
      <c r="AB763" s="71" t="s">
        <v>1219</v>
      </c>
      <c r="AC763" s="72" t="s">
        <v>1218</v>
      </c>
      <c r="AD763" s="73" t="str">
        <f t="shared" si="36"/>
        <v>52-50</v>
      </c>
      <c r="AE763" s="74">
        <f t="shared" si="37"/>
        <v>50</v>
      </c>
      <c r="AF763" s="71" t="s">
        <v>1261</v>
      </c>
      <c r="AG763" s="73" t="s">
        <v>1861</v>
      </c>
      <c r="BA763" s="109" t="s">
        <v>4689</v>
      </c>
      <c r="BB763" s="183">
        <v>3604101</v>
      </c>
    </row>
    <row r="764" spans="28:54" ht="15.75" thickBot="1" x14ac:dyDescent="0.3">
      <c r="AB764" s="71" t="s">
        <v>1219</v>
      </c>
      <c r="AC764" s="72" t="s">
        <v>1218</v>
      </c>
      <c r="AD764" s="73" t="str">
        <f t="shared" si="36"/>
        <v>52-51</v>
      </c>
      <c r="AE764" s="74">
        <f t="shared" si="37"/>
        <v>51</v>
      </c>
      <c r="AF764" s="71" t="s">
        <v>1262</v>
      </c>
      <c r="AG764" s="73" t="s">
        <v>1941</v>
      </c>
      <c r="BA764" s="108" t="s">
        <v>4690</v>
      </c>
      <c r="BB764" s="182">
        <v>3631001</v>
      </c>
    </row>
    <row r="765" spans="28:54" ht="15.75" thickBot="1" x14ac:dyDescent="0.3">
      <c r="AB765" s="71" t="s">
        <v>1219</v>
      </c>
      <c r="AC765" s="72" t="s">
        <v>1218</v>
      </c>
      <c r="AD765" s="73" t="str">
        <f t="shared" si="36"/>
        <v>52-52</v>
      </c>
      <c r="AE765" s="74">
        <f t="shared" si="37"/>
        <v>52</v>
      </c>
      <c r="AF765" s="71" t="s">
        <v>1263</v>
      </c>
      <c r="AG765" s="73" t="s">
        <v>1814</v>
      </c>
      <c r="BA765" s="109" t="s">
        <v>4691</v>
      </c>
      <c r="BB765" s="183">
        <v>3632002</v>
      </c>
    </row>
    <row r="766" spans="28:54" ht="15.75" thickBot="1" x14ac:dyDescent="0.3">
      <c r="AB766" s="71" t="s">
        <v>1219</v>
      </c>
      <c r="AC766" s="72" t="s">
        <v>1218</v>
      </c>
      <c r="AD766" s="73" t="str">
        <f t="shared" si="36"/>
        <v>52-53</v>
      </c>
      <c r="AE766" s="74">
        <f t="shared" si="37"/>
        <v>53</v>
      </c>
      <c r="AF766" s="71" t="s">
        <v>1042</v>
      </c>
      <c r="AG766" s="73" t="s">
        <v>394</v>
      </c>
      <c r="BA766" s="108" t="s">
        <v>4692</v>
      </c>
      <c r="BB766" s="182">
        <v>3642101</v>
      </c>
    </row>
    <row r="767" spans="28:54" ht="15.75" thickBot="1" x14ac:dyDescent="0.3">
      <c r="AB767" s="71" t="s">
        <v>1219</v>
      </c>
      <c r="AC767" s="72" t="s">
        <v>1218</v>
      </c>
      <c r="AD767" s="73" t="str">
        <f t="shared" si="36"/>
        <v>52-54</v>
      </c>
      <c r="AE767" s="74">
        <f t="shared" si="37"/>
        <v>54</v>
      </c>
      <c r="AF767" s="71" t="s">
        <v>1264</v>
      </c>
      <c r="AG767" s="73" t="s">
        <v>398</v>
      </c>
      <c r="BA767" s="109" t="s">
        <v>4693</v>
      </c>
      <c r="BB767" s="183">
        <v>3642201</v>
      </c>
    </row>
    <row r="768" spans="28:54" ht="15.75" thickBot="1" x14ac:dyDescent="0.3">
      <c r="AB768" s="71" t="s">
        <v>1219</v>
      </c>
      <c r="AC768" s="72" t="s">
        <v>1218</v>
      </c>
      <c r="AD768" s="73" t="str">
        <f t="shared" si="36"/>
        <v>52-55</v>
      </c>
      <c r="AE768" s="74">
        <f t="shared" si="37"/>
        <v>55</v>
      </c>
      <c r="AF768" s="71" t="s">
        <v>697</v>
      </c>
      <c r="AG768" s="73" t="s">
        <v>1865</v>
      </c>
      <c r="BA768" s="108" t="s">
        <v>4694</v>
      </c>
      <c r="BB768" s="182">
        <v>3642601</v>
      </c>
    </row>
    <row r="769" spans="28:54" ht="15.75" thickBot="1" x14ac:dyDescent="0.3">
      <c r="AB769" s="71" t="s">
        <v>1219</v>
      </c>
      <c r="AC769" s="72" t="s">
        <v>1218</v>
      </c>
      <c r="AD769" s="73" t="str">
        <f t="shared" si="36"/>
        <v>52-56</v>
      </c>
      <c r="AE769" s="74">
        <f t="shared" si="37"/>
        <v>56</v>
      </c>
      <c r="AF769" s="71" t="s">
        <v>1265</v>
      </c>
      <c r="AG769" s="73" t="s">
        <v>2048</v>
      </c>
      <c r="BA769" s="109" t="s">
        <v>4695</v>
      </c>
      <c r="BB769" s="183">
        <v>3731002</v>
      </c>
    </row>
    <row r="770" spans="28:54" ht="15.75" thickBot="1" x14ac:dyDescent="0.3">
      <c r="AB770" s="71" t="s">
        <v>1219</v>
      </c>
      <c r="AC770" s="72" t="s">
        <v>1218</v>
      </c>
      <c r="AD770" s="73" t="str">
        <f t="shared" si="36"/>
        <v>52-57</v>
      </c>
      <c r="AE770" s="74">
        <f t="shared" si="37"/>
        <v>57</v>
      </c>
      <c r="AF770" s="71" t="s">
        <v>610</v>
      </c>
      <c r="AG770" s="73" t="s">
        <v>1866</v>
      </c>
      <c r="BA770" s="108" t="s">
        <v>4696</v>
      </c>
      <c r="BB770" s="182">
        <v>3732001</v>
      </c>
    </row>
    <row r="771" spans="28:54" ht="15.75" thickBot="1" x14ac:dyDescent="0.3">
      <c r="AB771" s="71" t="s">
        <v>1219</v>
      </c>
      <c r="AC771" s="72" t="s">
        <v>1218</v>
      </c>
      <c r="AD771" s="73" t="str">
        <f t="shared" ref="AD771:AD834" si="38">CONCATENATE(AC771,"-",AE771)</f>
        <v>52-58</v>
      </c>
      <c r="AE771" s="74">
        <f t="shared" ref="AE771:AE834" si="39">IF(AB771=AB770,1+AE770,1)</f>
        <v>58</v>
      </c>
      <c r="AF771" s="71" t="s">
        <v>1266</v>
      </c>
      <c r="AG771" s="73" t="s">
        <v>2049</v>
      </c>
      <c r="BA771" s="109" t="s">
        <v>4697</v>
      </c>
      <c r="BB771" s="183">
        <v>3742102</v>
      </c>
    </row>
    <row r="772" spans="28:54" ht="15.75" thickBot="1" x14ac:dyDescent="0.3">
      <c r="AB772" s="71" t="s">
        <v>1219</v>
      </c>
      <c r="AC772" s="72" t="s">
        <v>1218</v>
      </c>
      <c r="AD772" s="73" t="str">
        <f t="shared" si="38"/>
        <v>52-59</v>
      </c>
      <c r="AE772" s="74">
        <f t="shared" si="39"/>
        <v>59</v>
      </c>
      <c r="AF772" s="71" t="s">
        <v>1267</v>
      </c>
      <c r="AG772" s="73" t="s">
        <v>414</v>
      </c>
      <c r="BA772" s="108" t="s">
        <v>4698</v>
      </c>
      <c r="BB772" s="182">
        <v>3749101</v>
      </c>
    </row>
    <row r="773" spans="28:54" ht="15.75" thickBot="1" x14ac:dyDescent="0.3">
      <c r="AB773" s="71" t="s">
        <v>1219</v>
      </c>
      <c r="AC773" s="72" t="s">
        <v>1218</v>
      </c>
      <c r="AD773" s="73" t="str">
        <f t="shared" si="38"/>
        <v>52-60</v>
      </c>
      <c r="AE773" s="74">
        <f t="shared" si="39"/>
        <v>60</v>
      </c>
      <c r="AF773" s="71" t="s">
        <v>1268</v>
      </c>
      <c r="AG773" s="73" t="s">
        <v>452</v>
      </c>
      <c r="BA773" s="109" t="s">
        <v>4699</v>
      </c>
      <c r="BB773" s="183">
        <v>3749501</v>
      </c>
    </row>
    <row r="774" spans="28:54" ht="15.75" thickBot="1" x14ac:dyDescent="0.3">
      <c r="AB774" s="71" t="s">
        <v>1219</v>
      </c>
      <c r="AC774" s="72" t="s">
        <v>1218</v>
      </c>
      <c r="AD774" s="73" t="str">
        <f t="shared" si="38"/>
        <v>52-61</v>
      </c>
      <c r="AE774" s="74">
        <f t="shared" si="39"/>
        <v>61</v>
      </c>
      <c r="AF774" s="71" t="s">
        <v>1269</v>
      </c>
      <c r="AG774" s="73" t="s">
        <v>456</v>
      </c>
      <c r="BA774" s="108" t="s">
        <v>4700</v>
      </c>
      <c r="BB774" s="182">
        <v>3851101</v>
      </c>
    </row>
    <row r="775" spans="28:54" ht="15.75" thickBot="1" x14ac:dyDescent="0.3">
      <c r="AB775" s="71" t="s">
        <v>1219</v>
      </c>
      <c r="AC775" s="72" t="s">
        <v>1218</v>
      </c>
      <c r="AD775" s="73" t="str">
        <f t="shared" si="38"/>
        <v>52-62</v>
      </c>
      <c r="AE775" s="74">
        <f t="shared" si="39"/>
        <v>62</v>
      </c>
      <c r="AF775" s="71" t="s">
        <v>1270</v>
      </c>
      <c r="AG775" s="73" t="s">
        <v>1882</v>
      </c>
      <c r="BA775" s="109" t="s">
        <v>4701</v>
      </c>
      <c r="BB775" s="183">
        <v>3851401</v>
      </c>
    </row>
    <row r="776" spans="28:54" ht="15.75" thickBot="1" x14ac:dyDescent="0.3">
      <c r="AB776" s="71" t="s">
        <v>1219</v>
      </c>
      <c r="AC776" s="72" t="s">
        <v>1218</v>
      </c>
      <c r="AD776" s="73" t="str">
        <f t="shared" si="38"/>
        <v>52-63</v>
      </c>
      <c r="AE776" s="74">
        <f t="shared" si="39"/>
        <v>63</v>
      </c>
      <c r="AF776" s="71" t="s">
        <v>1271</v>
      </c>
      <c r="AG776" s="73" t="s">
        <v>1818</v>
      </c>
      <c r="BA776" s="108" t="s">
        <v>4702</v>
      </c>
      <c r="BB776" s="182">
        <v>3900001</v>
      </c>
    </row>
    <row r="777" spans="28:54" ht="15.75" thickBot="1" x14ac:dyDescent="0.3">
      <c r="AB777" s="71" t="s">
        <v>1219</v>
      </c>
      <c r="AC777" s="72" t="s">
        <v>1218</v>
      </c>
      <c r="AD777" s="73" t="str">
        <f t="shared" si="38"/>
        <v>52-64</v>
      </c>
      <c r="AE777" s="74">
        <f t="shared" si="39"/>
        <v>64</v>
      </c>
      <c r="AF777" s="71" t="s">
        <v>1272</v>
      </c>
      <c r="AG777" s="73" t="s">
        <v>498</v>
      </c>
      <c r="BA777" s="109" t="s">
        <v>4703</v>
      </c>
      <c r="BB777" s="183">
        <v>3912001</v>
      </c>
    </row>
    <row r="778" spans="28:54" ht="15.75" thickBot="1" x14ac:dyDescent="0.3">
      <c r="AB778" s="71" t="s">
        <v>1274</v>
      </c>
      <c r="AC778" s="72" t="s">
        <v>1273</v>
      </c>
      <c r="AD778" s="73" t="str">
        <f t="shared" si="38"/>
        <v>54-1</v>
      </c>
      <c r="AE778" s="74">
        <f t="shared" si="39"/>
        <v>1</v>
      </c>
      <c r="AF778" s="71" t="s">
        <v>1275</v>
      </c>
      <c r="AG778" s="73" t="s">
        <v>334</v>
      </c>
      <c r="BA778" s="108" t="s">
        <v>4704</v>
      </c>
      <c r="BB778" s="182">
        <v>3919201</v>
      </c>
    </row>
    <row r="779" spans="28:54" ht="15.75" thickBot="1" x14ac:dyDescent="0.3">
      <c r="AB779" s="71" t="s">
        <v>1274</v>
      </c>
      <c r="AC779" s="72" t="s">
        <v>1273</v>
      </c>
      <c r="AD779" s="73" t="str">
        <f t="shared" si="38"/>
        <v>54-2</v>
      </c>
      <c r="AE779" s="74">
        <f t="shared" si="39"/>
        <v>2</v>
      </c>
      <c r="AF779" s="71" t="s">
        <v>1276</v>
      </c>
      <c r="AG779" s="73" t="s">
        <v>2050</v>
      </c>
      <c r="BA779" s="109" t="s">
        <v>4705</v>
      </c>
      <c r="BB779" s="183">
        <v>3921901</v>
      </c>
    </row>
    <row r="780" spans="28:54" ht="15.75" thickBot="1" x14ac:dyDescent="0.3">
      <c r="AB780" s="71" t="s">
        <v>1274</v>
      </c>
      <c r="AC780" s="72" t="s">
        <v>1273</v>
      </c>
      <c r="AD780" s="73" t="str">
        <f t="shared" si="38"/>
        <v>54-3</v>
      </c>
      <c r="AE780" s="74">
        <f t="shared" si="39"/>
        <v>3</v>
      </c>
      <c r="AF780" s="71" t="s">
        <v>1277</v>
      </c>
      <c r="AG780" s="73" t="s">
        <v>1697</v>
      </c>
      <c r="BA780" s="108" t="s">
        <v>4706</v>
      </c>
      <c r="BB780" s="182">
        <v>3923301</v>
      </c>
    </row>
    <row r="781" spans="28:54" ht="15.75" thickBot="1" x14ac:dyDescent="0.3">
      <c r="AB781" s="71" t="s">
        <v>1274</v>
      </c>
      <c r="AC781" s="72" t="s">
        <v>1273</v>
      </c>
      <c r="AD781" s="73" t="str">
        <f t="shared" si="38"/>
        <v>54-4</v>
      </c>
      <c r="AE781" s="74">
        <f t="shared" si="39"/>
        <v>4</v>
      </c>
      <c r="AF781" s="71" t="s">
        <v>1278</v>
      </c>
      <c r="AG781" s="73" t="s">
        <v>1945</v>
      </c>
      <c r="BA781" s="109" t="s">
        <v>4707</v>
      </c>
      <c r="BB781" s="183">
        <v>3924102</v>
      </c>
    </row>
    <row r="782" spans="28:54" ht="15.75" thickBot="1" x14ac:dyDescent="0.3">
      <c r="AB782" s="71" t="s">
        <v>1274</v>
      </c>
      <c r="AC782" s="72" t="s">
        <v>1273</v>
      </c>
      <c r="AD782" s="73" t="str">
        <f t="shared" si="38"/>
        <v>54-5</v>
      </c>
      <c r="AE782" s="74">
        <f t="shared" si="39"/>
        <v>5</v>
      </c>
      <c r="AF782" s="71" t="s">
        <v>1279</v>
      </c>
      <c r="AG782" s="73" t="s">
        <v>1824</v>
      </c>
      <c r="BA782" s="108" t="s">
        <v>4708</v>
      </c>
      <c r="BB782" s="182">
        <v>3924902</v>
      </c>
    </row>
    <row r="783" spans="28:54" ht="15.75" thickBot="1" x14ac:dyDescent="0.3">
      <c r="AB783" s="71" t="s">
        <v>1274</v>
      </c>
      <c r="AC783" s="72" t="s">
        <v>1273</v>
      </c>
      <c r="AD783" s="73" t="str">
        <f t="shared" si="38"/>
        <v>54-6</v>
      </c>
      <c r="AE783" s="74">
        <f t="shared" si="39"/>
        <v>6</v>
      </c>
      <c r="AF783" s="71" t="s">
        <v>1280</v>
      </c>
      <c r="AG783" s="73" t="s">
        <v>1704</v>
      </c>
      <c r="BA783" s="109" t="s">
        <v>4709</v>
      </c>
      <c r="BB783" s="183">
        <v>3930101</v>
      </c>
    </row>
    <row r="784" spans="28:54" ht="15.75" thickBot="1" x14ac:dyDescent="0.3">
      <c r="AB784" s="71" t="s">
        <v>1274</v>
      </c>
      <c r="AC784" s="72" t="s">
        <v>1273</v>
      </c>
      <c r="AD784" s="73" t="str">
        <f t="shared" si="38"/>
        <v>54-7</v>
      </c>
      <c r="AE784" s="74">
        <f t="shared" si="39"/>
        <v>7</v>
      </c>
      <c r="AF784" s="71" t="s">
        <v>1281</v>
      </c>
      <c r="AG784" s="73" t="s">
        <v>2051</v>
      </c>
      <c r="BA784" s="108" t="s">
        <v>4710</v>
      </c>
      <c r="BB784" s="182">
        <v>3930302</v>
      </c>
    </row>
    <row r="785" spans="28:54" ht="15.75" thickBot="1" x14ac:dyDescent="0.3">
      <c r="AB785" s="71" t="s">
        <v>1274</v>
      </c>
      <c r="AC785" s="72" t="s">
        <v>1273</v>
      </c>
      <c r="AD785" s="73" t="str">
        <f t="shared" si="38"/>
        <v>54-8</v>
      </c>
      <c r="AE785" s="74">
        <f t="shared" si="39"/>
        <v>8</v>
      </c>
      <c r="AF785" s="71" t="s">
        <v>1282</v>
      </c>
      <c r="AG785" s="73" t="s">
        <v>1713</v>
      </c>
      <c r="BA785" s="109" t="s">
        <v>4711</v>
      </c>
      <c r="BB785" s="183">
        <v>3012501</v>
      </c>
    </row>
    <row r="786" spans="28:54" ht="15.75" thickBot="1" x14ac:dyDescent="0.3">
      <c r="AB786" s="71" t="s">
        <v>1274</v>
      </c>
      <c r="AC786" s="72" t="s">
        <v>1273</v>
      </c>
      <c r="AD786" s="73" t="str">
        <f t="shared" si="38"/>
        <v>54-9</v>
      </c>
      <c r="AE786" s="74">
        <f t="shared" si="39"/>
        <v>9</v>
      </c>
      <c r="AF786" s="71" t="s">
        <v>1283</v>
      </c>
      <c r="AG786" s="73" t="s">
        <v>1886</v>
      </c>
      <c r="BA786" s="108" t="s">
        <v>4712</v>
      </c>
      <c r="BB786" s="182">
        <v>3014901</v>
      </c>
    </row>
    <row r="787" spans="28:54" ht="15.75" thickBot="1" x14ac:dyDescent="0.3">
      <c r="AB787" s="71" t="s">
        <v>1274</v>
      </c>
      <c r="AC787" s="72" t="s">
        <v>1273</v>
      </c>
      <c r="AD787" s="73" t="str">
        <f t="shared" si="38"/>
        <v>54-10</v>
      </c>
      <c r="AE787" s="74">
        <f t="shared" si="39"/>
        <v>10</v>
      </c>
      <c r="AF787" s="71" t="s">
        <v>1284</v>
      </c>
      <c r="AG787" s="73" t="s">
        <v>1715</v>
      </c>
      <c r="BA787" s="109" t="s">
        <v>4713</v>
      </c>
      <c r="BB787" s="183">
        <v>3014902</v>
      </c>
    </row>
    <row r="788" spans="28:54" ht="15.75" thickBot="1" x14ac:dyDescent="0.3">
      <c r="AB788" s="71" t="s">
        <v>1274</v>
      </c>
      <c r="AC788" s="72" t="s">
        <v>1273</v>
      </c>
      <c r="AD788" s="73" t="str">
        <f t="shared" si="38"/>
        <v>54-11</v>
      </c>
      <c r="AE788" s="74">
        <f t="shared" si="39"/>
        <v>11</v>
      </c>
      <c r="AF788" s="71" t="s">
        <v>1285</v>
      </c>
      <c r="AG788" s="73" t="s">
        <v>1834</v>
      </c>
      <c r="BA788" s="108" t="s">
        <v>4714</v>
      </c>
      <c r="BB788" s="182">
        <v>3089101</v>
      </c>
    </row>
    <row r="789" spans="28:54" ht="15.75" thickBot="1" x14ac:dyDescent="0.3">
      <c r="AB789" s="71" t="s">
        <v>1274</v>
      </c>
      <c r="AC789" s="72" t="s">
        <v>1273</v>
      </c>
      <c r="AD789" s="73" t="str">
        <f t="shared" si="38"/>
        <v>54-12</v>
      </c>
      <c r="AE789" s="74">
        <f t="shared" si="39"/>
        <v>12</v>
      </c>
      <c r="AF789" s="71" t="s">
        <v>1286</v>
      </c>
      <c r="AG789" s="73" t="s">
        <v>140</v>
      </c>
      <c r="BA789" s="109" t="s">
        <v>4715</v>
      </c>
      <c r="BB789" s="183">
        <v>3089201</v>
      </c>
    </row>
    <row r="790" spans="28:54" ht="15.75" thickBot="1" x14ac:dyDescent="0.3">
      <c r="AB790" s="71" t="s">
        <v>1274</v>
      </c>
      <c r="AC790" s="72" t="s">
        <v>1273</v>
      </c>
      <c r="AD790" s="73" t="str">
        <f t="shared" si="38"/>
        <v>54-13</v>
      </c>
      <c r="AE790" s="74">
        <f t="shared" si="39"/>
        <v>13</v>
      </c>
      <c r="AF790" s="71" t="s">
        <v>1287</v>
      </c>
      <c r="AG790" s="73" t="s">
        <v>154</v>
      </c>
      <c r="BA790" s="108" t="s">
        <v>4716</v>
      </c>
      <c r="BB790" s="182">
        <v>3089202</v>
      </c>
    </row>
    <row r="791" spans="28:54" ht="15.75" thickBot="1" x14ac:dyDescent="0.3">
      <c r="AB791" s="71" t="s">
        <v>1274</v>
      </c>
      <c r="AC791" s="72" t="s">
        <v>1273</v>
      </c>
      <c r="AD791" s="73" t="str">
        <f t="shared" si="38"/>
        <v>54-14</v>
      </c>
      <c r="AE791" s="74">
        <f t="shared" si="39"/>
        <v>14</v>
      </c>
      <c r="AF791" s="71" t="s">
        <v>1288</v>
      </c>
      <c r="AG791" s="73" t="s">
        <v>1720</v>
      </c>
      <c r="BA791" s="109" t="s">
        <v>4717</v>
      </c>
      <c r="BB791" s="183">
        <v>3101201</v>
      </c>
    </row>
    <row r="792" spans="28:54" ht="15.75" thickBot="1" x14ac:dyDescent="0.3">
      <c r="AB792" s="71" t="s">
        <v>1274</v>
      </c>
      <c r="AC792" s="72" t="s">
        <v>1273</v>
      </c>
      <c r="AD792" s="73" t="str">
        <f t="shared" si="38"/>
        <v>54-15</v>
      </c>
      <c r="AE792" s="74">
        <f t="shared" si="39"/>
        <v>15</v>
      </c>
      <c r="AF792" s="71" t="s">
        <v>1289</v>
      </c>
      <c r="AG792" s="73" t="s">
        <v>2052</v>
      </c>
      <c r="BA792" s="108" t="s">
        <v>4718</v>
      </c>
      <c r="BB792" s="182">
        <v>3101202</v>
      </c>
    </row>
    <row r="793" spans="28:54" ht="15.75" thickBot="1" x14ac:dyDescent="0.3">
      <c r="AB793" s="71" t="s">
        <v>1274</v>
      </c>
      <c r="AC793" s="72" t="s">
        <v>1273</v>
      </c>
      <c r="AD793" s="73" t="str">
        <f t="shared" si="38"/>
        <v>54-16</v>
      </c>
      <c r="AE793" s="74">
        <f t="shared" si="39"/>
        <v>16</v>
      </c>
      <c r="AF793" s="71" t="s">
        <v>1290</v>
      </c>
      <c r="AG793" s="73" t="s">
        <v>192</v>
      </c>
      <c r="BA793" s="109" t="s">
        <v>4719</v>
      </c>
      <c r="BB793" s="183">
        <v>3101203</v>
      </c>
    </row>
    <row r="794" spans="28:54" ht="15.75" thickBot="1" x14ac:dyDescent="0.3">
      <c r="AB794" s="71" t="s">
        <v>1274</v>
      </c>
      <c r="AC794" s="72" t="s">
        <v>1273</v>
      </c>
      <c r="AD794" s="73" t="str">
        <f t="shared" si="38"/>
        <v>54-17</v>
      </c>
      <c r="AE794" s="74">
        <f t="shared" si="39"/>
        <v>17</v>
      </c>
      <c r="AF794" s="71" t="s">
        <v>1291</v>
      </c>
      <c r="AG794" s="73" t="s">
        <v>2053</v>
      </c>
      <c r="BA794" s="108" t="s">
        <v>4720</v>
      </c>
      <c r="BB794" s="182">
        <v>3101204</v>
      </c>
    </row>
    <row r="795" spans="28:54" ht="15.75" thickBot="1" x14ac:dyDescent="0.3">
      <c r="AB795" s="71" t="s">
        <v>1274</v>
      </c>
      <c r="AC795" s="72" t="s">
        <v>1273</v>
      </c>
      <c r="AD795" s="73" t="str">
        <f t="shared" si="38"/>
        <v>54-18</v>
      </c>
      <c r="AE795" s="74">
        <f t="shared" si="39"/>
        <v>18</v>
      </c>
      <c r="AF795" s="71" t="s">
        <v>1292</v>
      </c>
      <c r="AG795" s="73" t="s">
        <v>1731</v>
      </c>
      <c r="BA795" s="109" t="s">
        <v>4721</v>
      </c>
      <c r="BB795" s="183">
        <v>3101205</v>
      </c>
    </row>
    <row r="796" spans="28:54" ht="15.75" thickBot="1" x14ac:dyDescent="0.3">
      <c r="AB796" s="71" t="s">
        <v>1274</v>
      </c>
      <c r="AC796" s="72" t="s">
        <v>1273</v>
      </c>
      <c r="AD796" s="73" t="str">
        <f t="shared" si="38"/>
        <v>54-19</v>
      </c>
      <c r="AE796" s="74">
        <f t="shared" si="39"/>
        <v>19</v>
      </c>
      <c r="AF796" s="71" t="s">
        <v>1293</v>
      </c>
      <c r="AG796" s="73" t="s">
        <v>1846</v>
      </c>
      <c r="BA796" s="108" t="s">
        <v>4722</v>
      </c>
      <c r="BB796" s="182">
        <v>3101206</v>
      </c>
    </row>
    <row r="797" spans="28:54" ht="15.75" thickBot="1" x14ac:dyDescent="0.3">
      <c r="AB797" s="71" t="s">
        <v>1274</v>
      </c>
      <c r="AC797" s="72" t="s">
        <v>1273</v>
      </c>
      <c r="AD797" s="73" t="str">
        <f t="shared" si="38"/>
        <v>54-20</v>
      </c>
      <c r="AE797" s="74">
        <f t="shared" si="39"/>
        <v>20</v>
      </c>
      <c r="AF797" s="71" t="s">
        <v>1294</v>
      </c>
      <c r="AG797" s="73" t="s">
        <v>2042</v>
      </c>
      <c r="BA797" s="109" t="s">
        <v>4723</v>
      </c>
      <c r="BB797" s="183">
        <v>3102001</v>
      </c>
    </row>
    <row r="798" spans="28:54" ht="15.75" thickBot="1" x14ac:dyDescent="0.3">
      <c r="AB798" s="71" t="s">
        <v>1274</v>
      </c>
      <c r="AC798" s="72" t="s">
        <v>1273</v>
      </c>
      <c r="AD798" s="73" t="str">
        <f t="shared" si="38"/>
        <v>54-21</v>
      </c>
      <c r="AE798" s="74">
        <f t="shared" si="39"/>
        <v>21</v>
      </c>
      <c r="AF798" s="71" t="s">
        <v>1295</v>
      </c>
      <c r="AG798" s="73" t="s">
        <v>1966</v>
      </c>
      <c r="BA798" s="108" t="s">
        <v>4724</v>
      </c>
      <c r="BB798" s="182">
        <v>3102002</v>
      </c>
    </row>
    <row r="799" spans="28:54" ht="15.75" thickBot="1" x14ac:dyDescent="0.3">
      <c r="AB799" s="71" t="s">
        <v>1274</v>
      </c>
      <c r="AC799" s="72" t="s">
        <v>1273</v>
      </c>
      <c r="AD799" s="73" t="str">
        <f t="shared" si="38"/>
        <v>54-22</v>
      </c>
      <c r="AE799" s="74">
        <f t="shared" si="39"/>
        <v>22</v>
      </c>
      <c r="AF799" s="71" t="s">
        <v>1296</v>
      </c>
      <c r="AG799" s="73" t="s">
        <v>2043</v>
      </c>
      <c r="BA799" s="109" t="s">
        <v>4725</v>
      </c>
      <c r="BB799" s="183">
        <v>3102003</v>
      </c>
    </row>
    <row r="800" spans="28:54" ht="15.75" thickBot="1" x14ac:dyDescent="0.3">
      <c r="AB800" s="71" t="s">
        <v>1274</v>
      </c>
      <c r="AC800" s="72" t="s">
        <v>1273</v>
      </c>
      <c r="AD800" s="73" t="str">
        <f t="shared" si="38"/>
        <v>54-23</v>
      </c>
      <c r="AE800" s="74">
        <f t="shared" si="39"/>
        <v>23</v>
      </c>
      <c r="AF800" s="71" t="s">
        <v>1297</v>
      </c>
      <c r="AG800" s="73" t="s">
        <v>1916</v>
      </c>
      <c r="BA800" s="108" t="s">
        <v>4726</v>
      </c>
      <c r="BB800" s="182">
        <v>3102004</v>
      </c>
    </row>
    <row r="801" spans="28:54" ht="15.75" thickBot="1" x14ac:dyDescent="0.3">
      <c r="AB801" s="71" t="s">
        <v>1274</v>
      </c>
      <c r="AC801" s="72" t="s">
        <v>1273</v>
      </c>
      <c r="AD801" s="73" t="str">
        <f t="shared" si="38"/>
        <v>54-24</v>
      </c>
      <c r="AE801" s="74">
        <f t="shared" si="39"/>
        <v>24</v>
      </c>
      <c r="AF801" s="71" t="s">
        <v>1298</v>
      </c>
      <c r="AG801" s="73" t="s">
        <v>1742</v>
      </c>
      <c r="BA801" s="109" t="s">
        <v>4727</v>
      </c>
      <c r="BB801" s="183">
        <v>3104001</v>
      </c>
    </row>
    <row r="802" spans="28:54" ht="15.75" thickBot="1" x14ac:dyDescent="0.3">
      <c r="AB802" s="71" t="s">
        <v>1274</v>
      </c>
      <c r="AC802" s="72" t="s">
        <v>1273</v>
      </c>
      <c r="AD802" s="73" t="str">
        <f t="shared" si="38"/>
        <v>54-25</v>
      </c>
      <c r="AE802" s="74">
        <f t="shared" si="39"/>
        <v>25</v>
      </c>
      <c r="AF802" s="71" t="s">
        <v>1299</v>
      </c>
      <c r="AG802" s="73" t="s">
        <v>308</v>
      </c>
      <c r="BA802" s="108" t="s">
        <v>4728</v>
      </c>
      <c r="BB802" s="182">
        <v>3104002</v>
      </c>
    </row>
    <row r="803" spans="28:54" ht="15.75" thickBot="1" x14ac:dyDescent="0.3">
      <c r="AB803" s="71" t="s">
        <v>1274</v>
      </c>
      <c r="AC803" s="72" t="s">
        <v>1273</v>
      </c>
      <c r="AD803" s="73" t="str">
        <f t="shared" si="38"/>
        <v>54-26</v>
      </c>
      <c r="AE803" s="74">
        <f t="shared" si="39"/>
        <v>26</v>
      </c>
      <c r="AF803" s="71" t="s">
        <v>1300</v>
      </c>
      <c r="AG803" s="73" t="s">
        <v>1855</v>
      </c>
      <c r="BA803" s="109" t="s">
        <v>4729</v>
      </c>
      <c r="BB803" s="183">
        <v>3105101</v>
      </c>
    </row>
    <row r="804" spans="28:54" ht="15.75" thickBot="1" x14ac:dyDescent="0.3">
      <c r="AB804" s="71" t="s">
        <v>1274</v>
      </c>
      <c r="AC804" s="72" t="s">
        <v>1273</v>
      </c>
      <c r="AD804" s="73" t="str">
        <f t="shared" si="38"/>
        <v>54-27</v>
      </c>
      <c r="AE804" s="74">
        <f t="shared" si="39"/>
        <v>27</v>
      </c>
      <c r="AF804" s="71" t="s">
        <v>1301</v>
      </c>
      <c r="AG804" s="73" t="s">
        <v>1783</v>
      </c>
      <c r="BA804" s="108" t="s">
        <v>4730</v>
      </c>
      <c r="BB804" s="182">
        <v>3105102</v>
      </c>
    </row>
    <row r="805" spans="28:54" ht="15.75" thickBot="1" x14ac:dyDescent="0.3">
      <c r="AB805" s="71" t="s">
        <v>1274</v>
      </c>
      <c r="AC805" s="72" t="s">
        <v>1273</v>
      </c>
      <c r="AD805" s="73" t="str">
        <f t="shared" si="38"/>
        <v>54-28</v>
      </c>
      <c r="AE805" s="74">
        <f t="shared" si="39"/>
        <v>28</v>
      </c>
      <c r="AF805" s="71" t="s">
        <v>1302</v>
      </c>
      <c r="AG805" s="73" t="s">
        <v>2054</v>
      </c>
      <c r="BA805" s="109" t="s">
        <v>4731</v>
      </c>
      <c r="BB805" s="183">
        <v>3105103</v>
      </c>
    </row>
    <row r="806" spans="28:54" ht="15.75" thickBot="1" x14ac:dyDescent="0.3">
      <c r="AB806" s="71" t="s">
        <v>1274</v>
      </c>
      <c r="AC806" s="72" t="s">
        <v>1273</v>
      </c>
      <c r="AD806" s="73" t="str">
        <f t="shared" si="38"/>
        <v>54-29</v>
      </c>
      <c r="AE806" s="74">
        <f t="shared" si="39"/>
        <v>29</v>
      </c>
      <c r="AF806" s="71" t="s">
        <v>1303</v>
      </c>
      <c r="AG806" s="73" t="s">
        <v>366</v>
      </c>
      <c r="BA806" s="108" t="s">
        <v>4732</v>
      </c>
      <c r="BB806" s="182">
        <v>3106101</v>
      </c>
    </row>
    <row r="807" spans="28:54" ht="15.75" thickBot="1" x14ac:dyDescent="0.3">
      <c r="AB807" s="71" t="s">
        <v>1274</v>
      </c>
      <c r="AC807" s="72" t="s">
        <v>1273</v>
      </c>
      <c r="AD807" s="73" t="str">
        <f t="shared" si="38"/>
        <v>54-30</v>
      </c>
      <c r="AE807" s="74">
        <f t="shared" si="39"/>
        <v>30</v>
      </c>
      <c r="AF807" s="71" t="s">
        <v>1304</v>
      </c>
      <c r="AG807" s="73" t="s">
        <v>386</v>
      </c>
      <c r="BA807" s="109" t="s">
        <v>4733</v>
      </c>
      <c r="BB807" s="183">
        <v>3106201</v>
      </c>
    </row>
    <row r="808" spans="28:54" ht="15.75" thickBot="1" x14ac:dyDescent="0.3">
      <c r="AB808" s="71" t="s">
        <v>1274</v>
      </c>
      <c r="AC808" s="72" t="s">
        <v>1273</v>
      </c>
      <c r="AD808" s="73" t="str">
        <f t="shared" si="38"/>
        <v>54-31</v>
      </c>
      <c r="AE808" s="74">
        <f t="shared" si="39"/>
        <v>31</v>
      </c>
      <c r="AF808" s="71" t="s">
        <v>1305</v>
      </c>
      <c r="AG808" s="73" t="s">
        <v>388</v>
      </c>
      <c r="BA808" s="108" t="s">
        <v>4734</v>
      </c>
      <c r="BB808" s="182">
        <v>3106202</v>
      </c>
    </row>
    <row r="809" spans="28:54" ht="15.75" thickBot="1" x14ac:dyDescent="0.3">
      <c r="AB809" s="71" t="s">
        <v>1274</v>
      </c>
      <c r="AC809" s="72" t="s">
        <v>1273</v>
      </c>
      <c r="AD809" s="73" t="str">
        <f t="shared" si="38"/>
        <v>54-32</v>
      </c>
      <c r="AE809" s="74">
        <f t="shared" si="39"/>
        <v>32</v>
      </c>
      <c r="AF809" s="71" t="s">
        <v>1043</v>
      </c>
      <c r="AG809" s="73" t="s">
        <v>1813</v>
      </c>
      <c r="BA809" s="109" t="s">
        <v>4735</v>
      </c>
      <c r="BB809" s="183">
        <v>3107201</v>
      </c>
    </row>
    <row r="810" spans="28:54" ht="15.75" thickBot="1" x14ac:dyDescent="0.3">
      <c r="AB810" s="71" t="s">
        <v>1274</v>
      </c>
      <c r="AC810" s="72" t="s">
        <v>1273</v>
      </c>
      <c r="AD810" s="73" t="str">
        <f t="shared" si="38"/>
        <v>54-33</v>
      </c>
      <c r="AE810" s="74">
        <f t="shared" si="39"/>
        <v>33</v>
      </c>
      <c r="AF810" s="71" t="s">
        <v>1306</v>
      </c>
      <c r="AG810" s="73" t="s">
        <v>2029</v>
      </c>
      <c r="BA810" s="108" t="s">
        <v>4736</v>
      </c>
      <c r="BB810" s="182">
        <v>3108101</v>
      </c>
    </row>
    <row r="811" spans="28:54" ht="15.75" thickBot="1" x14ac:dyDescent="0.3">
      <c r="AB811" s="71" t="s">
        <v>1274</v>
      </c>
      <c r="AC811" s="72" t="s">
        <v>1273</v>
      </c>
      <c r="AD811" s="73" t="str">
        <f t="shared" si="38"/>
        <v>54-34</v>
      </c>
      <c r="AE811" s="74">
        <f t="shared" si="39"/>
        <v>34</v>
      </c>
      <c r="AF811" s="71" t="s">
        <v>1307</v>
      </c>
      <c r="AG811" s="73" t="s">
        <v>414</v>
      </c>
      <c r="BA811" s="109" t="s">
        <v>4737</v>
      </c>
      <c r="BB811" s="183">
        <v>3108201</v>
      </c>
    </row>
    <row r="812" spans="28:54" ht="15.75" thickBot="1" x14ac:dyDescent="0.3">
      <c r="AB812" s="71" t="s">
        <v>1274</v>
      </c>
      <c r="AC812" s="72" t="s">
        <v>1273</v>
      </c>
      <c r="AD812" s="73" t="str">
        <f t="shared" si="38"/>
        <v>54-35</v>
      </c>
      <c r="AE812" s="74">
        <f t="shared" si="39"/>
        <v>35</v>
      </c>
      <c r="AF812" s="71" t="s">
        <v>1308</v>
      </c>
      <c r="AG812" s="73" t="s">
        <v>1921</v>
      </c>
      <c r="BA812" s="108" t="s">
        <v>4738</v>
      </c>
      <c r="BB812" s="182">
        <v>3108202</v>
      </c>
    </row>
    <row r="813" spans="28:54" ht="15.75" thickBot="1" x14ac:dyDescent="0.3">
      <c r="AB813" s="71" t="s">
        <v>1274</v>
      </c>
      <c r="AC813" s="72" t="s">
        <v>1273</v>
      </c>
      <c r="AD813" s="73" t="str">
        <f t="shared" si="38"/>
        <v>54-36</v>
      </c>
      <c r="AE813" s="74">
        <f t="shared" si="39"/>
        <v>36</v>
      </c>
      <c r="AF813" s="71" t="s">
        <v>1309</v>
      </c>
      <c r="AG813" s="73" t="s">
        <v>458</v>
      </c>
      <c r="BA813" s="109" t="s">
        <v>4739</v>
      </c>
      <c r="BB813" s="183">
        <v>3108203</v>
      </c>
    </row>
    <row r="814" spans="28:54" ht="15.75" thickBot="1" x14ac:dyDescent="0.3">
      <c r="AB814" s="71" t="s">
        <v>1274</v>
      </c>
      <c r="AC814" s="72" t="s">
        <v>1273</v>
      </c>
      <c r="AD814" s="73" t="str">
        <f t="shared" si="38"/>
        <v>54-37</v>
      </c>
      <c r="AE814" s="74">
        <f t="shared" si="39"/>
        <v>37</v>
      </c>
      <c r="AF814" s="71" t="s">
        <v>1310</v>
      </c>
      <c r="AG814" s="73" t="s">
        <v>462</v>
      </c>
      <c r="BA814" s="108" t="s">
        <v>4740</v>
      </c>
      <c r="BB814" s="182">
        <v>3108301</v>
      </c>
    </row>
    <row r="815" spans="28:54" ht="15.75" thickBot="1" x14ac:dyDescent="0.3">
      <c r="AB815" s="71" t="s">
        <v>1274</v>
      </c>
      <c r="AC815" s="72" t="s">
        <v>1273</v>
      </c>
      <c r="AD815" s="73" t="str">
        <f t="shared" si="38"/>
        <v>54-38</v>
      </c>
      <c r="AE815" s="74">
        <f t="shared" si="39"/>
        <v>38</v>
      </c>
      <c r="AF815" s="71" t="s">
        <v>621</v>
      </c>
      <c r="AG815" s="73" t="s">
        <v>466</v>
      </c>
      <c r="BA815" s="109" t="s">
        <v>4741</v>
      </c>
      <c r="BB815" s="183">
        <v>3108302</v>
      </c>
    </row>
    <row r="816" spans="28:54" ht="15.75" thickBot="1" x14ac:dyDescent="0.3">
      <c r="AB816" s="71" t="s">
        <v>1274</v>
      </c>
      <c r="AC816" s="72" t="s">
        <v>1273</v>
      </c>
      <c r="AD816" s="73" t="str">
        <f t="shared" si="38"/>
        <v>54-39</v>
      </c>
      <c r="AE816" s="74">
        <f t="shared" si="39"/>
        <v>39</v>
      </c>
      <c r="AF816" s="71" t="s">
        <v>1311</v>
      </c>
      <c r="AG816" s="73" t="s">
        <v>1990</v>
      </c>
      <c r="BA816" s="108" t="s">
        <v>4742</v>
      </c>
      <c r="BB816" s="182">
        <v>3108303</v>
      </c>
    </row>
    <row r="817" spans="28:54" ht="15.75" thickBot="1" x14ac:dyDescent="0.3">
      <c r="AB817" s="71" t="s">
        <v>1274</v>
      </c>
      <c r="AC817" s="72" t="s">
        <v>1273</v>
      </c>
      <c r="AD817" s="73" t="str">
        <f t="shared" si="38"/>
        <v>54-40</v>
      </c>
      <c r="AE817" s="74">
        <f t="shared" si="39"/>
        <v>40</v>
      </c>
      <c r="AF817" s="71" t="s">
        <v>1312</v>
      </c>
      <c r="AG817" s="73" t="s">
        <v>2012</v>
      </c>
      <c r="BA817" s="109" t="s">
        <v>4743</v>
      </c>
      <c r="BB817" s="183">
        <v>3108401</v>
      </c>
    </row>
    <row r="818" spans="28:54" ht="15.75" thickBot="1" x14ac:dyDescent="0.3">
      <c r="AB818" s="71" t="s">
        <v>1314</v>
      </c>
      <c r="AC818" s="72" t="s">
        <v>1313</v>
      </c>
      <c r="AD818" s="73" t="str">
        <f t="shared" si="38"/>
        <v>63-1</v>
      </c>
      <c r="AE818" s="74">
        <f t="shared" si="39"/>
        <v>1</v>
      </c>
      <c r="AF818" s="71" t="s">
        <v>39</v>
      </c>
      <c r="AG818" s="73" t="s">
        <v>334</v>
      </c>
      <c r="BA818" s="108" t="s">
        <v>4744</v>
      </c>
      <c r="BB818" s="182">
        <v>3108402</v>
      </c>
    </row>
    <row r="819" spans="28:54" ht="15.75" thickBot="1" x14ac:dyDescent="0.3">
      <c r="AB819" s="71" t="s">
        <v>1314</v>
      </c>
      <c r="AC819" s="72" t="s">
        <v>1313</v>
      </c>
      <c r="AD819" s="73" t="str">
        <f t="shared" si="38"/>
        <v>63-2</v>
      </c>
      <c r="AE819" s="74">
        <f t="shared" si="39"/>
        <v>2</v>
      </c>
      <c r="AF819" s="71" t="s">
        <v>720</v>
      </c>
      <c r="AG819" s="73" t="s">
        <v>78</v>
      </c>
      <c r="BA819" s="109" t="s">
        <v>4745</v>
      </c>
      <c r="BB819" s="183">
        <v>3108403</v>
      </c>
    </row>
    <row r="820" spans="28:54" ht="15.75" thickBot="1" x14ac:dyDescent="0.3">
      <c r="AB820" s="71" t="s">
        <v>1314</v>
      </c>
      <c r="AC820" s="72" t="s">
        <v>1313</v>
      </c>
      <c r="AD820" s="73" t="str">
        <f t="shared" si="38"/>
        <v>63-3</v>
      </c>
      <c r="AE820" s="74">
        <f t="shared" si="39"/>
        <v>3</v>
      </c>
      <c r="AF820" s="71" t="s">
        <v>1315</v>
      </c>
      <c r="AG820" s="73" t="s">
        <v>1912</v>
      </c>
      <c r="BA820" s="108" t="s">
        <v>4746</v>
      </c>
      <c r="BB820" s="182">
        <v>3108404</v>
      </c>
    </row>
    <row r="821" spans="28:54" ht="15.75" thickBot="1" x14ac:dyDescent="0.3">
      <c r="AB821" s="71" t="s">
        <v>1314</v>
      </c>
      <c r="AC821" s="72" t="s">
        <v>1313</v>
      </c>
      <c r="AD821" s="73" t="str">
        <f t="shared" si="38"/>
        <v>63-4</v>
      </c>
      <c r="AE821" s="74">
        <f t="shared" si="39"/>
        <v>4</v>
      </c>
      <c r="AF821" s="71" t="s">
        <v>1316</v>
      </c>
      <c r="AG821" s="73" t="s">
        <v>122</v>
      </c>
      <c r="BA821" s="109" t="s">
        <v>4747</v>
      </c>
      <c r="BB821" s="183">
        <v>3108901</v>
      </c>
    </row>
    <row r="822" spans="28:54" ht="15.75" thickBot="1" x14ac:dyDescent="0.3">
      <c r="AB822" s="71" t="s">
        <v>1314</v>
      </c>
      <c r="AC822" s="72" t="s">
        <v>1313</v>
      </c>
      <c r="AD822" s="73" t="str">
        <f t="shared" si="38"/>
        <v>63-5</v>
      </c>
      <c r="AE822" s="74">
        <f t="shared" si="39"/>
        <v>5</v>
      </c>
      <c r="AF822" s="71" t="s">
        <v>674</v>
      </c>
      <c r="AG822" s="73" t="s">
        <v>1717</v>
      </c>
      <c r="BA822" s="108" t="s">
        <v>4748</v>
      </c>
      <c r="BB822" s="182">
        <v>3108902</v>
      </c>
    </row>
    <row r="823" spans="28:54" ht="15.75" thickBot="1" x14ac:dyDescent="0.3">
      <c r="AB823" s="71" t="s">
        <v>1314</v>
      </c>
      <c r="AC823" s="72" t="s">
        <v>1313</v>
      </c>
      <c r="AD823" s="73" t="str">
        <f t="shared" si="38"/>
        <v>63-6</v>
      </c>
      <c r="AE823" s="74">
        <f t="shared" si="39"/>
        <v>6</v>
      </c>
      <c r="AF823" s="71" t="s">
        <v>1317</v>
      </c>
      <c r="AG823" s="73" t="s">
        <v>1839</v>
      </c>
      <c r="BA823" s="109" t="s">
        <v>4749</v>
      </c>
      <c r="BB823" s="183">
        <v>3108903</v>
      </c>
    </row>
    <row r="824" spans="28:54" ht="15.75" thickBot="1" x14ac:dyDescent="0.3">
      <c r="AB824" s="71" t="s">
        <v>1314</v>
      </c>
      <c r="AC824" s="72" t="s">
        <v>1313</v>
      </c>
      <c r="AD824" s="73" t="str">
        <f t="shared" si="38"/>
        <v>63-7</v>
      </c>
      <c r="AE824" s="74">
        <f t="shared" si="39"/>
        <v>7</v>
      </c>
      <c r="AF824" s="71" t="s">
        <v>1318</v>
      </c>
      <c r="AG824" s="73" t="s">
        <v>2055</v>
      </c>
      <c r="BA824" s="108" t="s">
        <v>4750</v>
      </c>
      <c r="BB824" s="182">
        <v>3108904</v>
      </c>
    </row>
    <row r="825" spans="28:54" ht="15.75" thickBot="1" x14ac:dyDescent="0.3">
      <c r="AB825" s="71" t="s">
        <v>1314</v>
      </c>
      <c r="AC825" s="72" t="s">
        <v>1313</v>
      </c>
      <c r="AD825" s="73" t="str">
        <f t="shared" si="38"/>
        <v>63-8</v>
      </c>
      <c r="AE825" s="74">
        <f t="shared" si="39"/>
        <v>8</v>
      </c>
      <c r="AF825" s="71" t="s">
        <v>1319</v>
      </c>
      <c r="AG825" s="73" t="s">
        <v>1847</v>
      </c>
      <c r="BA825" s="109" t="s">
        <v>4751</v>
      </c>
      <c r="BB825" s="183">
        <v>3109001</v>
      </c>
    </row>
    <row r="826" spans="28:54" ht="15.75" thickBot="1" x14ac:dyDescent="0.3">
      <c r="AB826" s="71" t="s">
        <v>1314</v>
      </c>
      <c r="AC826" s="72" t="s">
        <v>1313</v>
      </c>
      <c r="AD826" s="73" t="str">
        <f t="shared" si="38"/>
        <v>63-9</v>
      </c>
      <c r="AE826" s="74">
        <f t="shared" si="39"/>
        <v>9</v>
      </c>
      <c r="AF826" s="71" t="s">
        <v>315</v>
      </c>
      <c r="AG826" s="73" t="s">
        <v>2056</v>
      </c>
      <c r="BA826" s="108" t="s">
        <v>4752</v>
      </c>
      <c r="BB826" s="182">
        <v>3109002</v>
      </c>
    </row>
    <row r="827" spans="28:54" ht="15.75" thickBot="1" x14ac:dyDescent="0.3">
      <c r="AB827" s="71" t="s">
        <v>1314</v>
      </c>
      <c r="AC827" s="72" t="s">
        <v>1313</v>
      </c>
      <c r="AD827" s="73" t="str">
        <f t="shared" si="38"/>
        <v>63-10</v>
      </c>
      <c r="AE827" s="74">
        <f t="shared" si="39"/>
        <v>10</v>
      </c>
      <c r="AF827" s="71" t="s">
        <v>1320</v>
      </c>
      <c r="AG827" s="73" t="s">
        <v>344</v>
      </c>
      <c r="BA827" s="109" t="s">
        <v>4753</v>
      </c>
      <c r="BB827" s="183">
        <v>3109003</v>
      </c>
    </row>
    <row r="828" spans="28:54" ht="15.75" thickBot="1" x14ac:dyDescent="0.3">
      <c r="AB828" s="71" t="s">
        <v>1314</v>
      </c>
      <c r="AC828" s="72" t="s">
        <v>1313</v>
      </c>
      <c r="AD828" s="73" t="str">
        <f t="shared" si="38"/>
        <v>63-11</v>
      </c>
      <c r="AE828" s="74">
        <f t="shared" si="39"/>
        <v>11</v>
      </c>
      <c r="AF828" s="71" t="s">
        <v>1321</v>
      </c>
      <c r="AG828" s="73" t="s">
        <v>1971</v>
      </c>
      <c r="BA828" s="108" t="s">
        <v>4754</v>
      </c>
      <c r="BB828" s="182">
        <v>3110101</v>
      </c>
    </row>
    <row r="829" spans="28:54" ht="15.75" thickBot="1" x14ac:dyDescent="0.3">
      <c r="AB829" s="71" t="s">
        <v>1314</v>
      </c>
      <c r="AC829" s="72" t="s">
        <v>1313</v>
      </c>
      <c r="AD829" s="73" t="str">
        <f t="shared" si="38"/>
        <v>63-12</v>
      </c>
      <c r="AE829" s="74">
        <f t="shared" si="39"/>
        <v>12</v>
      </c>
      <c r="AF829" s="71" t="s">
        <v>1322</v>
      </c>
      <c r="AG829" s="73" t="s">
        <v>400</v>
      </c>
      <c r="BA829" s="109" t="s">
        <v>4755</v>
      </c>
      <c r="BB829" s="183">
        <v>3110201</v>
      </c>
    </row>
    <row r="830" spans="28:54" ht="15.75" thickBot="1" x14ac:dyDescent="0.3">
      <c r="AB830" s="71" t="s">
        <v>1324</v>
      </c>
      <c r="AC830" s="72" t="s">
        <v>1323</v>
      </c>
      <c r="AD830" s="73" t="str">
        <f t="shared" si="38"/>
        <v>66-1</v>
      </c>
      <c r="AE830" s="74">
        <f t="shared" si="39"/>
        <v>1</v>
      </c>
      <c r="AF830" s="71" t="s">
        <v>1325</v>
      </c>
      <c r="AG830" s="73" t="s">
        <v>334</v>
      </c>
      <c r="BA830" s="108" t="s">
        <v>4756</v>
      </c>
      <c r="BB830" s="182">
        <v>3110202</v>
      </c>
    </row>
    <row r="831" spans="28:54" ht="15.75" thickBot="1" x14ac:dyDescent="0.3">
      <c r="AB831" s="71" t="s">
        <v>1324</v>
      </c>
      <c r="AC831" s="72" t="s">
        <v>1323</v>
      </c>
      <c r="AD831" s="73" t="str">
        <f t="shared" si="38"/>
        <v>66-2</v>
      </c>
      <c r="AE831" s="74">
        <f t="shared" si="39"/>
        <v>2</v>
      </c>
      <c r="AF831" s="71" t="s">
        <v>1326</v>
      </c>
      <c r="AG831" s="73" t="s">
        <v>1696</v>
      </c>
      <c r="BA831" s="109" t="s">
        <v>4757</v>
      </c>
      <c r="BB831" s="183">
        <v>3110203</v>
      </c>
    </row>
    <row r="832" spans="28:54" ht="15.75" thickBot="1" x14ac:dyDescent="0.3">
      <c r="AB832" s="71" t="s">
        <v>1324</v>
      </c>
      <c r="AC832" s="72" t="s">
        <v>1323</v>
      </c>
      <c r="AD832" s="73" t="str">
        <f t="shared" si="38"/>
        <v>66-3</v>
      </c>
      <c r="AE832" s="74">
        <f t="shared" si="39"/>
        <v>3</v>
      </c>
      <c r="AF832" s="71" t="s">
        <v>878</v>
      </c>
      <c r="AG832" s="73" t="s">
        <v>1909</v>
      </c>
      <c r="BA832" s="108" t="s">
        <v>4758</v>
      </c>
      <c r="BB832" s="182">
        <v>3110204</v>
      </c>
    </row>
    <row r="833" spans="28:54" ht="15.75" thickBot="1" x14ac:dyDescent="0.3">
      <c r="AB833" s="71" t="s">
        <v>1324</v>
      </c>
      <c r="AC833" s="72" t="s">
        <v>1323</v>
      </c>
      <c r="AD833" s="73" t="str">
        <f t="shared" si="38"/>
        <v>66-4</v>
      </c>
      <c r="AE833" s="74">
        <f t="shared" si="39"/>
        <v>4</v>
      </c>
      <c r="AF833" s="71" t="s">
        <v>1327</v>
      </c>
      <c r="AG833" s="73" t="s">
        <v>58</v>
      </c>
      <c r="BA833" s="109" t="s">
        <v>4759</v>
      </c>
      <c r="BB833" s="183">
        <v>3110401</v>
      </c>
    </row>
    <row r="834" spans="28:54" ht="15.75" thickBot="1" x14ac:dyDescent="0.3">
      <c r="AB834" s="71" t="s">
        <v>1324</v>
      </c>
      <c r="AC834" s="72" t="s">
        <v>1323</v>
      </c>
      <c r="AD834" s="73" t="str">
        <f t="shared" si="38"/>
        <v>66-5</v>
      </c>
      <c r="AE834" s="74">
        <f t="shared" si="39"/>
        <v>5</v>
      </c>
      <c r="AF834" s="71" t="s">
        <v>1328</v>
      </c>
      <c r="AG834" s="73" t="s">
        <v>2015</v>
      </c>
      <c r="BA834" s="108" t="s">
        <v>4760</v>
      </c>
      <c r="BB834" s="182">
        <v>3110402</v>
      </c>
    </row>
    <row r="835" spans="28:54" ht="15.75" thickBot="1" x14ac:dyDescent="0.3">
      <c r="AB835" s="71" t="s">
        <v>1324</v>
      </c>
      <c r="AC835" s="72" t="s">
        <v>1323</v>
      </c>
      <c r="AD835" s="73" t="str">
        <f t="shared" ref="AD835:AD898" si="40">CONCATENATE(AC835,"-",AE835)</f>
        <v>66-6</v>
      </c>
      <c r="AE835" s="74">
        <f t="shared" ref="AE835:AE898" si="41">IF(AB835=AB834,1+AE834,1)</f>
        <v>6</v>
      </c>
      <c r="AF835" s="71" t="s">
        <v>1329</v>
      </c>
      <c r="AG835" s="73" t="s">
        <v>1729</v>
      </c>
      <c r="BA835" s="109" t="s">
        <v>4761</v>
      </c>
      <c r="BB835" s="183">
        <v>3110403</v>
      </c>
    </row>
    <row r="836" spans="28:54" ht="15.75" thickBot="1" x14ac:dyDescent="0.3">
      <c r="AB836" s="71" t="s">
        <v>1324</v>
      </c>
      <c r="AC836" s="72" t="s">
        <v>1323</v>
      </c>
      <c r="AD836" s="73" t="str">
        <f t="shared" si="40"/>
        <v>66-7</v>
      </c>
      <c r="AE836" s="74">
        <f t="shared" si="41"/>
        <v>7</v>
      </c>
      <c r="AF836" s="71" t="s">
        <v>1330</v>
      </c>
      <c r="AG836" s="73" t="s">
        <v>230</v>
      </c>
      <c r="BA836" s="108" t="s">
        <v>4762</v>
      </c>
      <c r="BB836" s="182">
        <v>3120001</v>
      </c>
    </row>
    <row r="837" spans="28:54" ht="15.75" thickBot="1" x14ac:dyDescent="0.3">
      <c r="AB837" s="71" t="s">
        <v>1324</v>
      </c>
      <c r="AC837" s="72" t="s">
        <v>1323</v>
      </c>
      <c r="AD837" s="73" t="str">
        <f t="shared" si="40"/>
        <v>66-8</v>
      </c>
      <c r="AE837" s="74">
        <f t="shared" si="41"/>
        <v>8</v>
      </c>
      <c r="AF837" s="71" t="s">
        <v>1331</v>
      </c>
      <c r="AG837" s="73" t="s">
        <v>1739</v>
      </c>
      <c r="BA837" s="109" t="s">
        <v>4763</v>
      </c>
      <c r="BB837" s="183">
        <v>3131101</v>
      </c>
    </row>
    <row r="838" spans="28:54" ht="15.75" thickBot="1" x14ac:dyDescent="0.3">
      <c r="AB838" s="71" t="s">
        <v>1324</v>
      </c>
      <c r="AC838" s="72" t="s">
        <v>1323</v>
      </c>
      <c r="AD838" s="73" t="str">
        <f t="shared" si="40"/>
        <v>66-9</v>
      </c>
      <c r="AE838" s="74">
        <f t="shared" si="41"/>
        <v>9</v>
      </c>
      <c r="AF838" s="71" t="s">
        <v>1332</v>
      </c>
      <c r="AG838" s="73" t="s">
        <v>266</v>
      </c>
      <c r="BA838" s="108" t="s">
        <v>4764</v>
      </c>
      <c r="BB838" s="182">
        <v>3131301</v>
      </c>
    </row>
    <row r="839" spans="28:54" ht="15.75" thickBot="1" x14ac:dyDescent="0.3">
      <c r="AB839" s="71" t="s">
        <v>1324</v>
      </c>
      <c r="AC839" s="72" t="s">
        <v>1323</v>
      </c>
      <c r="AD839" s="73" t="str">
        <f t="shared" si="40"/>
        <v>66-10</v>
      </c>
      <c r="AE839" s="74">
        <f t="shared" si="41"/>
        <v>10</v>
      </c>
      <c r="AF839" s="71" t="s">
        <v>1333</v>
      </c>
      <c r="AG839" s="73" t="s">
        <v>2057</v>
      </c>
      <c r="BA839" s="109" t="s">
        <v>4765</v>
      </c>
      <c r="BB839" s="183">
        <v>3131302</v>
      </c>
    </row>
    <row r="840" spans="28:54" ht="15.75" thickBot="1" x14ac:dyDescent="0.3">
      <c r="AB840" s="71" t="s">
        <v>1324</v>
      </c>
      <c r="AC840" s="72" t="s">
        <v>1323</v>
      </c>
      <c r="AD840" s="73" t="str">
        <f t="shared" si="40"/>
        <v>66-11</v>
      </c>
      <c r="AE840" s="74">
        <f t="shared" si="41"/>
        <v>11</v>
      </c>
      <c r="AF840" s="71" t="s">
        <v>1334</v>
      </c>
      <c r="AG840" s="73" t="s">
        <v>1860</v>
      </c>
      <c r="BA840" s="108" t="s">
        <v>4766</v>
      </c>
      <c r="BB840" s="182">
        <v>3139201</v>
      </c>
    </row>
    <row r="841" spans="28:54" ht="15.75" thickBot="1" x14ac:dyDescent="0.3">
      <c r="AB841" s="71" t="s">
        <v>1324</v>
      </c>
      <c r="AC841" s="72" t="s">
        <v>1323</v>
      </c>
      <c r="AD841" s="73" t="str">
        <f t="shared" si="40"/>
        <v>66-12</v>
      </c>
      <c r="AE841" s="74">
        <f t="shared" si="41"/>
        <v>12</v>
      </c>
      <c r="AF841" s="71" t="s">
        <v>1335</v>
      </c>
      <c r="AG841" s="73" t="s">
        <v>1971</v>
      </c>
      <c r="BA841" s="109" t="s">
        <v>4767</v>
      </c>
      <c r="BB841" s="183">
        <v>3139202</v>
      </c>
    </row>
    <row r="842" spans="28:54" ht="15.75" thickBot="1" x14ac:dyDescent="0.3">
      <c r="AB842" s="71" t="s">
        <v>1324</v>
      </c>
      <c r="AC842" s="72" t="s">
        <v>1323</v>
      </c>
      <c r="AD842" s="73" t="str">
        <f t="shared" si="40"/>
        <v>66-13</v>
      </c>
      <c r="AE842" s="74">
        <f t="shared" si="41"/>
        <v>13</v>
      </c>
      <c r="AF842" s="71" t="s">
        <v>1336</v>
      </c>
      <c r="AG842" s="73" t="s">
        <v>2058</v>
      </c>
      <c r="BA842" s="108" t="s">
        <v>4768</v>
      </c>
      <c r="BB842" s="182">
        <v>3139203</v>
      </c>
    </row>
    <row r="843" spans="28:54" ht="15.75" thickBot="1" x14ac:dyDescent="0.3">
      <c r="AB843" s="71" t="s">
        <v>1324</v>
      </c>
      <c r="AC843" s="72" t="s">
        <v>1323</v>
      </c>
      <c r="AD843" s="73" t="str">
        <f t="shared" si="40"/>
        <v>66-14</v>
      </c>
      <c r="AE843" s="74">
        <f t="shared" si="41"/>
        <v>14</v>
      </c>
      <c r="AF843" s="71" t="s">
        <v>1337</v>
      </c>
      <c r="AG843" s="73" t="s">
        <v>398</v>
      </c>
      <c r="BA843" s="109" t="s">
        <v>4769</v>
      </c>
      <c r="BB843" s="183">
        <v>3139204</v>
      </c>
    </row>
    <row r="844" spans="28:54" ht="15.75" thickBot="1" x14ac:dyDescent="0.3">
      <c r="AB844" s="71" t="s">
        <v>1339</v>
      </c>
      <c r="AC844" s="72" t="s">
        <v>1338</v>
      </c>
      <c r="AD844" s="73" t="str">
        <f t="shared" si="40"/>
        <v>68-1</v>
      </c>
      <c r="AE844" s="74">
        <f t="shared" si="41"/>
        <v>1</v>
      </c>
      <c r="AF844" s="71" t="s">
        <v>1340</v>
      </c>
      <c r="AG844" s="73" t="s">
        <v>334</v>
      </c>
      <c r="BA844" s="108" t="s">
        <v>4770</v>
      </c>
      <c r="BB844" s="182">
        <v>3139401</v>
      </c>
    </row>
    <row r="845" spans="28:54" ht="15.75" thickBot="1" x14ac:dyDescent="0.3">
      <c r="AB845" s="71" t="s">
        <v>1339</v>
      </c>
      <c r="AC845" s="72" t="s">
        <v>1338</v>
      </c>
      <c r="AD845" s="73" t="str">
        <f t="shared" si="40"/>
        <v>68-2</v>
      </c>
      <c r="AE845" s="74">
        <f t="shared" si="41"/>
        <v>2</v>
      </c>
      <c r="AF845" s="71" t="s">
        <v>1341</v>
      </c>
      <c r="AG845" s="73" t="s">
        <v>16</v>
      </c>
      <c r="BA845" s="109" t="s">
        <v>4771</v>
      </c>
      <c r="BB845" s="183">
        <v>3139402</v>
      </c>
    </row>
    <row r="846" spans="28:54" ht="15.75" thickBot="1" x14ac:dyDescent="0.3">
      <c r="AB846" s="71" t="s">
        <v>1339</v>
      </c>
      <c r="AC846" s="72" t="s">
        <v>1338</v>
      </c>
      <c r="AD846" s="73" t="str">
        <f t="shared" si="40"/>
        <v>68-3</v>
      </c>
      <c r="AE846" s="74">
        <f t="shared" si="41"/>
        <v>3</v>
      </c>
      <c r="AF846" s="71" t="s">
        <v>19</v>
      </c>
      <c r="AG846" s="73" t="s">
        <v>1997</v>
      </c>
      <c r="BA846" s="108" t="s">
        <v>4772</v>
      </c>
      <c r="BB846" s="182">
        <v>3139901</v>
      </c>
    </row>
    <row r="847" spans="28:54" ht="15.75" thickBot="1" x14ac:dyDescent="0.3">
      <c r="AB847" s="71" t="s">
        <v>1339</v>
      </c>
      <c r="AC847" s="72" t="s">
        <v>1338</v>
      </c>
      <c r="AD847" s="73" t="str">
        <f t="shared" si="40"/>
        <v>68-4</v>
      </c>
      <c r="AE847" s="74">
        <f t="shared" si="41"/>
        <v>4</v>
      </c>
      <c r="AF847" s="71" t="s">
        <v>1342</v>
      </c>
      <c r="AG847" s="73" t="s">
        <v>1697</v>
      </c>
      <c r="BA847" s="109" t="s">
        <v>4773</v>
      </c>
      <c r="BB847" s="183">
        <v>3141001</v>
      </c>
    </row>
    <row r="848" spans="28:54" ht="15.75" thickBot="1" x14ac:dyDescent="0.3">
      <c r="AB848" s="71" t="s">
        <v>1339</v>
      </c>
      <c r="AC848" s="72" t="s">
        <v>1338</v>
      </c>
      <c r="AD848" s="73" t="str">
        <f t="shared" si="40"/>
        <v>68-5</v>
      </c>
      <c r="AE848" s="74">
        <f t="shared" si="41"/>
        <v>5</v>
      </c>
      <c r="AF848" s="71" t="s">
        <v>528</v>
      </c>
      <c r="AG848" s="73" t="s">
        <v>48</v>
      </c>
      <c r="BA848" s="108" t="s">
        <v>4774</v>
      </c>
      <c r="BB848" s="182">
        <v>3141002</v>
      </c>
    </row>
    <row r="849" spans="28:54" ht="15.75" thickBot="1" x14ac:dyDescent="0.3">
      <c r="AB849" s="71" t="s">
        <v>1339</v>
      </c>
      <c r="AC849" s="72" t="s">
        <v>1338</v>
      </c>
      <c r="AD849" s="73" t="str">
        <f t="shared" si="40"/>
        <v>68-6</v>
      </c>
      <c r="AE849" s="74">
        <f t="shared" si="41"/>
        <v>6</v>
      </c>
      <c r="AF849" s="71" t="s">
        <v>1343</v>
      </c>
      <c r="AG849" s="73" t="s">
        <v>1699</v>
      </c>
      <c r="BA849" s="109" t="s">
        <v>4775</v>
      </c>
      <c r="BB849" s="183">
        <v>3141003</v>
      </c>
    </row>
    <row r="850" spans="28:54" ht="15.75" thickBot="1" x14ac:dyDescent="0.3">
      <c r="AB850" s="71" t="s">
        <v>1339</v>
      </c>
      <c r="AC850" s="72" t="s">
        <v>1338</v>
      </c>
      <c r="AD850" s="73" t="str">
        <f t="shared" si="40"/>
        <v>68-7</v>
      </c>
      <c r="AE850" s="74">
        <f t="shared" si="41"/>
        <v>7</v>
      </c>
      <c r="AF850" s="71" t="s">
        <v>1344</v>
      </c>
      <c r="AG850" s="73" t="s">
        <v>52</v>
      </c>
      <c r="BA850" s="108" t="s">
        <v>4776</v>
      </c>
      <c r="BB850" s="182">
        <v>3141004</v>
      </c>
    </row>
    <row r="851" spans="28:54" ht="15.75" thickBot="1" x14ac:dyDescent="0.3">
      <c r="AB851" s="71" t="s">
        <v>1339</v>
      </c>
      <c r="AC851" s="72" t="s">
        <v>1338</v>
      </c>
      <c r="AD851" s="73" t="str">
        <f t="shared" si="40"/>
        <v>68-8</v>
      </c>
      <c r="AE851" s="74">
        <f t="shared" si="41"/>
        <v>8</v>
      </c>
      <c r="AF851" s="71" t="s">
        <v>532</v>
      </c>
      <c r="AG851" s="73" t="s">
        <v>1821</v>
      </c>
      <c r="BA851" s="109" t="s">
        <v>4777</v>
      </c>
      <c r="BB851" s="183">
        <v>3143001</v>
      </c>
    </row>
    <row r="852" spans="28:54" ht="15.75" thickBot="1" x14ac:dyDescent="0.3">
      <c r="AB852" s="71" t="s">
        <v>1339</v>
      </c>
      <c r="AC852" s="72" t="s">
        <v>1338</v>
      </c>
      <c r="AD852" s="73" t="str">
        <f t="shared" si="40"/>
        <v>68-9</v>
      </c>
      <c r="AE852" s="74">
        <f t="shared" si="41"/>
        <v>9</v>
      </c>
      <c r="AF852" s="71" t="s">
        <v>879</v>
      </c>
      <c r="AG852" s="73" t="s">
        <v>72</v>
      </c>
      <c r="BA852" s="108" t="s">
        <v>4778</v>
      </c>
      <c r="BB852" s="182">
        <v>3151201</v>
      </c>
    </row>
    <row r="853" spans="28:54" ht="15.75" thickBot="1" x14ac:dyDescent="0.3">
      <c r="AB853" s="71" t="s">
        <v>1339</v>
      </c>
      <c r="AC853" s="72" t="s">
        <v>1338</v>
      </c>
      <c r="AD853" s="73" t="str">
        <f t="shared" si="40"/>
        <v>68-10</v>
      </c>
      <c r="AE853" s="74">
        <f t="shared" si="41"/>
        <v>10</v>
      </c>
      <c r="AF853" s="71" t="s">
        <v>978</v>
      </c>
      <c r="AG853" s="73" t="s">
        <v>2059</v>
      </c>
      <c r="BA853" s="109" t="s">
        <v>4779</v>
      </c>
      <c r="BB853" s="183">
        <v>3151202</v>
      </c>
    </row>
    <row r="854" spans="28:54" ht="15.75" thickBot="1" x14ac:dyDescent="0.3">
      <c r="AB854" s="71" t="s">
        <v>1339</v>
      </c>
      <c r="AC854" s="72" t="s">
        <v>1338</v>
      </c>
      <c r="AD854" s="73" t="str">
        <f t="shared" si="40"/>
        <v>68-11</v>
      </c>
      <c r="AE854" s="74">
        <f t="shared" si="41"/>
        <v>11</v>
      </c>
      <c r="AF854" s="71" t="s">
        <v>1345</v>
      </c>
      <c r="AG854" s="73" t="s">
        <v>1998</v>
      </c>
      <c r="BA854" s="108" t="s">
        <v>4780</v>
      </c>
      <c r="BB854" s="182">
        <v>3151203</v>
      </c>
    </row>
    <row r="855" spans="28:54" ht="15.75" thickBot="1" x14ac:dyDescent="0.3">
      <c r="AB855" s="71" t="s">
        <v>1339</v>
      </c>
      <c r="AC855" s="72" t="s">
        <v>1338</v>
      </c>
      <c r="AD855" s="73" t="str">
        <f t="shared" si="40"/>
        <v>68-12</v>
      </c>
      <c r="AE855" s="74">
        <f t="shared" si="41"/>
        <v>12</v>
      </c>
      <c r="AF855" s="71" t="s">
        <v>1346</v>
      </c>
      <c r="AG855" s="73" t="s">
        <v>1709</v>
      </c>
      <c r="BA855" s="109" t="s">
        <v>4781</v>
      </c>
      <c r="BB855" s="183">
        <v>3151301</v>
      </c>
    </row>
    <row r="856" spans="28:54" ht="15.75" thickBot="1" x14ac:dyDescent="0.3">
      <c r="AB856" s="71" t="s">
        <v>1339</v>
      </c>
      <c r="AC856" s="72" t="s">
        <v>1338</v>
      </c>
      <c r="AD856" s="73" t="str">
        <f t="shared" si="40"/>
        <v>68-13</v>
      </c>
      <c r="AE856" s="74">
        <f t="shared" si="41"/>
        <v>13</v>
      </c>
      <c r="AF856" s="71" t="s">
        <v>1347</v>
      </c>
      <c r="AG856" s="73" t="s">
        <v>2060</v>
      </c>
      <c r="BA856" s="108" t="s">
        <v>4782</v>
      </c>
      <c r="BB856" s="182">
        <v>3151302</v>
      </c>
    </row>
    <row r="857" spans="28:54" ht="15.75" thickBot="1" x14ac:dyDescent="0.3">
      <c r="AB857" s="71" t="s">
        <v>1339</v>
      </c>
      <c r="AC857" s="72" t="s">
        <v>1338</v>
      </c>
      <c r="AD857" s="73" t="str">
        <f t="shared" si="40"/>
        <v>68-14</v>
      </c>
      <c r="AE857" s="74">
        <f t="shared" si="41"/>
        <v>14</v>
      </c>
      <c r="AF857" s="71" t="s">
        <v>1348</v>
      </c>
      <c r="AG857" s="73" t="s">
        <v>1797</v>
      </c>
      <c r="BA857" s="109" t="s">
        <v>4783</v>
      </c>
      <c r="BB857" s="183">
        <v>3152101</v>
      </c>
    </row>
    <row r="858" spans="28:54" ht="15.75" thickBot="1" x14ac:dyDescent="0.3">
      <c r="AB858" s="71" t="s">
        <v>1339</v>
      </c>
      <c r="AC858" s="72" t="s">
        <v>1338</v>
      </c>
      <c r="AD858" s="73" t="str">
        <f t="shared" si="40"/>
        <v>68-15</v>
      </c>
      <c r="AE858" s="74">
        <f t="shared" si="41"/>
        <v>15</v>
      </c>
      <c r="AF858" s="71" t="s">
        <v>1349</v>
      </c>
      <c r="AG858" s="73" t="s">
        <v>1828</v>
      </c>
      <c r="BA858" s="108" t="s">
        <v>4784</v>
      </c>
      <c r="BB858" s="182">
        <v>3152102</v>
      </c>
    </row>
    <row r="859" spans="28:54" ht="15.75" thickBot="1" x14ac:dyDescent="0.3">
      <c r="AB859" s="71" t="s">
        <v>1339</v>
      </c>
      <c r="AC859" s="72" t="s">
        <v>1338</v>
      </c>
      <c r="AD859" s="73" t="str">
        <f t="shared" si="40"/>
        <v>68-16</v>
      </c>
      <c r="AE859" s="74">
        <f t="shared" si="41"/>
        <v>16</v>
      </c>
      <c r="AF859" s="71" t="s">
        <v>1350</v>
      </c>
      <c r="AG859" s="73" t="s">
        <v>2061</v>
      </c>
      <c r="BA859" s="109" t="s">
        <v>4785</v>
      </c>
      <c r="BB859" s="183">
        <v>3152201</v>
      </c>
    </row>
    <row r="860" spans="28:54" ht="15.75" thickBot="1" x14ac:dyDescent="0.3">
      <c r="AB860" s="71" t="s">
        <v>1339</v>
      </c>
      <c r="AC860" s="72" t="s">
        <v>1338</v>
      </c>
      <c r="AD860" s="73" t="str">
        <f t="shared" si="40"/>
        <v>68-17</v>
      </c>
      <c r="AE860" s="74">
        <f t="shared" si="41"/>
        <v>17</v>
      </c>
      <c r="AF860" s="71" t="s">
        <v>1351</v>
      </c>
      <c r="AG860" s="73" t="s">
        <v>110</v>
      </c>
      <c r="BA860" s="108" t="s">
        <v>4786</v>
      </c>
      <c r="BB860" s="182">
        <v>3152301</v>
      </c>
    </row>
    <row r="861" spans="28:54" ht="15.75" thickBot="1" x14ac:dyDescent="0.3">
      <c r="AB861" s="71" t="s">
        <v>1339</v>
      </c>
      <c r="AC861" s="72" t="s">
        <v>1338</v>
      </c>
      <c r="AD861" s="73" t="str">
        <f t="shared" si="40"/>
        <v>68-18</v>
      </c>
      <c r="AE861" s="74">
        <f t="shared" si="41"/>
        <v>18</v>
      </c>
      <c r="AF861" s="71" t="s">
        <v>1352</v>
      </c>
      <c r="AG861" s="73" t="s">
        <v>1829</v>
      </c>
      <c r="BA861" s="109" t="s">
        <v>4787</v>
      </c>
      <c r="BB861" s="183">
        <v>3161001</v>
      </c>
    </row>
    <row r="862" spans="28:54" ht="15.75" thickBot="1" x14ac:dyDescent="0.3">
      <c r="AB862" s="71" t="s">
        <v>1339</v>
      </c>
      <c r="AC862" s="72" t="s">
        <v>1338</v>
      </c>
      <c r="AD862" s="73" t="str">
        <f t="shared" si="40"/>
        <v>68-19</v>
      </c>
      <c r="AE862" s="74">
        <f t="shared" si="41"/>
        <v>19</v>
      </c>
      <c r="AF862" s="71" t="s">
        <v>1353</v>
      </c>
      <c r="AG862" s="73" t="s">
        <v>2062</v>
      </c>
      <c r="BA862" s="108" t="s">
        <v>4788</v>
      </c>
      <c r="BB862" s="182">
        <v>3161002</v>
      </c>
    </row>
    <row r="863" spans="28:54" ht="15.75" thickBot="1" x14ac:dyDescent="0.3">
      <c r="AB863" s="71" t="s">
        <v>1339</v>
      </c>
      <c r="AC863" s="72" t="s">
        <v>1338</v>
      </c>
      <c r="AD863" s="73" t="str">
        <f t="shared" si="40"/>
        <v>68-20</v>
      </c>
      <c r="AE863" s="74">
        <f t="shared" si="41"/>
        <v>20</v>
      </c>
      <c r="AF863" s="71" t="s">
        <v>1354</v>
      </c>
      <c r="AG863" s="73" t="s">
        <v>122</v>
      </c>
      <c r="BA863" s="109" t="s">
        <v>4789</v>
      </c>
      <c r="BB863" s="183">
        <v>3161003</v>
      </c>
    </row>
    <row r="864" spans="28:54" ht="15.75" thickBot="1" x14ac:dyDescent="0.3">
      <c r="AB864" s="71" t="s">
        <v>1339</v>
      </c>
      <c r="AC864" s="72" t="s">
        <v>1338</v>
      </c>
      <c r="AD864" s="73" t="str">
        <f t="shared" si="40"/>
        <v>68-21</v>
      </c>
      <c r="AE864" s="74">
        <f t="shared" si="41"/>
        <v>21</v>
      </c>
      <c r="AF864" s="71" t="s">
        <v>550</v>
      </c>
      <c r="AG864" s="73" t="s">
        <v>2032</v>
      </c>
      <c r="BA864" s="108" t="s">
        <v>4790</v>
      </c>
      <c r="BB864" s="182">
        <v>3163001</v>
      </c>
    </row>
    <row r="865" spans="28:54" ht="15.75" thickBot="1" x14ac:dyDescent="0.3">
      <c r="AB865" s="71" t="s">
        <v>1339</v>
      </c>
      <c r="AC865" s="72" t="s">
        <v>1338</v>
      </c>
      <c r="AD865" s="73" t="str">
        <f t="shared" si="40"/>
        <v>68-22</v>
      </c>
      <c r="AE865" s="74">
        <f t="shared" si="41"/>
        <v>22</v>
      </c>
      <c r="AF865" s="71" t="s">
        <v>1355</v>
      </c>
      <c r="AG865" s="73" t="s">
        <v>1716</v>
      </c>
      <c r="BA865" s="109" t="s">
        <v>4791</v>
      </c>
      <c r="BB865" s="183">
        <v>3163002</v>
      </c>
    </row>
    <row r="866" spans="28:54" ht="15.75" thickBot="1" x14ac:dyDescent="0.3">
      <c r="AB866" s="71" t="s">
        <v>1339</v>
      </c>
      <c r="AC866" s="72" t="s">
        <v>1338</v>
      </c>
      <c r="AD866" s="73" t="str">
        <f t="shared" si="40"/>
        <v>68-23</v>
      </c>
      <c r="AE866" s="74">
        <f t="shared" si="41"/>
        <v>23</v>
      </c>
      <c r="AF866" s="71" t="s">
        <v>1356</v>
      </c>
      <c r="AG866" s="73" t="s">
        <v>100</v>
      </c>
      <c r="BA866" s="108" t="s">
        <v>4792</v>
      </c>
      <c r="BB866" s="182">
        <v>3164001</v>
      </c>
    </row>
    <row r="867" spans="28:54" ht="15.75" thickBot="1" x14ac:dyDescent="0.3">
      <c r="AB867" s="71" t="s">
        <v>1339</v>
      </c>
      <c r="AC867" s="72" t="s">
        <v>1338</v>
      </c>
      <c r="AD867" s="73" t="str">
        <f t="shared" si="40"/>
        <v>68-24</v>
      </c>
      <c r="AE867" s="74">
        <f t="shared" si="41"/>
        <v>24</v>
      </c>
      <c r="AF867" s="71" t="s">
        <v>1357</v>
      </c>
      <c r="AG867" s="73" t="s">
        <v>2063</v>
      </c>
      <c r="BA867" s="109" t="s">
        <v>4793</v>
      </c>
      <c r="BB867" s="183">
        <v>3169001</v>
      </c>
    </row>
    <row r="868" spans="28:54" ht="15.75" thickBot="1" x14ac:dyDescent="0.3">
      <c r="AB868" s="71" t="s">
        <v>1339</v>
      </c>
      <c r="AC868" s="72" t="s">
        <v>1338</v>
      </c>
      <c r="AD868" s="73" t="str">
        <f t="shared" si="40"/>
        <v>68-25</v>
      </c>
      <c r="AE868" s="74">
        <f t="shared" si="41"/>
        <v>25</v>
      </c>
      <c r="AF868" s="71" t="s">
        <v>1358</v>
      </c>
      <c r="AG868" s="73" t="s">
        <v>62</v>
      </c>
      <c r="BA868" s="108" t="s">
        <v>4794</v>
      </c>
      <c r="BB868" s="182">
        <v>3169002</v>
      </c>
    </row>
    <row r="869" spans="28:54" ht="15.75" thickBot="1" x14ac:dyDescent="0.3">
      <c r="AB869" s="71" t="s">
        <v>1339</v>
      </c>
      <c r="AC869" s="72" t="s">
        <v>1338</v>
      </c>
      <c r="AD869" s="73" t="str">
        <f t="shared" si="40"/>
        <v>68-26</v>
      </c>
      <c r="AE869" s="74">
        <f t="shared" si="41"/>
        <v>26</v>
      </c>
      <c r="AF869" s="71" t="s">
        <v>1359</v>
      </c>
      <c r="AG869" s="73" t="s">
        <v>138</v>
      </c>
      <c r="BA869" s="109" t="s">
        <v>4795</v>
      </c>
      <c r="BB869" s="183">
        <v>3169003</v>
      </c>
    </row>
    <row r="870" spans="28:54" ht="15.75" thickBot="1" x14ac:dyDescent="0.3">
      <c r="AB870" s="71" t="s">
        <v>1339</v>
      </c>
      <c r="AC870" s="72" t="s">
        <v>1338</v>
      </c>
      <c r="AD870" s="73" t="str">
        <f t="shared" si="40"/>
        <v>68-27</v>
      </c>
      <c r="AE870" s="74">
        <f t="shared" si="41"/>
        <v>27</v>
      </c>
      <c r="AF870" s="71" t="s">
        <v>1360</v>
      </c>
      <c r="AG870" s="73" t="s">
        <v>154</v>
      </c>
      <c r="BA870" s="108" t="s">
        <v>4796</v>
      </c>
      <c r="BB870" s="182">
        <v>3170201</v>
      </c>
    </row>
    <row r="871" spans="28:54" ht="15.75" thickBot="1" x14ac:dyDescent="0.3">
      <c r="AB871" s="71" t="s">
        <v>1339</v>
      </c>
      <c r="AC871" s="72" t="s">
        <v>1338</v>
      </c>
      <c r="AD871" s="73" t="str">
        <f t="shared" si="40"/>
        <v>68-28</v>
      </c>
      <c r="AE871" s="74">
        <f t="shared" si="41"/>
        <v>28</v>
      </c>
      <c r="AF871" s="71" t="s">
        <v>678</v>
      </c>
      <c r="AG871" s="73" t="s">
        <v>1720</v>
      </c>
      <c r="BA871" s="109" t="s">
        <v>4797</v>
      </c>
      <c r="BB871" s="183">
        <v>3181201</v>
      </c>
    </row>
    <row r="872" spans="28:54" ht="15.75" thickBot="1" x14ac:dyDescent="0.3">
      <c r="AB872" s="71" t="s">
        <v>1339</v>
      </c>
      <c r="AC872" s="72" t="s">
        <v>1338</v>
      </c>
      <c r="AD872" s="73" t="str">
        <f t="shared" si="40"/>
        <v>68-29</v>
      </c>
      <c r="AE872" s="74">
        <f t="shared" si="41"/>
        <v>29</v>
      </c>
      <c r="AF872" s="71" t="s">
        <v>1361</v>
      </c>
      <c r="AG872" s="73" t="s">
        <v>2064</v>
      </c>
      <c r="BA872" s="108" t="s">
        <v>4798</v>
      </c>
      <c r="BB872" s="182">
        <v>3181202</v>
      </c>
    </row>
    <row r="873" spans="28:54" ht="15.75" thickBot="1" x14ac:dyDescent="0.3">
      <c r="AB873" s="71" t="s">
        <v>1339</v>
      </c>
      <c r="AC873" s="72" t="s">
        <v>1338</v>
      </c>
      <c r="AD873" s="73" t="str">
        <f t="shared" si="40"/>
        <v>68-30</v>
      </c>
      <c r="AE873" s="74">
        <f t="shared" si="41"/>
        <v>30</v>
      </c>
      <c r="AF873" s="71" t="s">
        <v>1362</v>
      </c>
      <c r="AG873" s="73" t="s">
        <v>1721</v>
      </c>
      <c r="BA873" s="109" t="s">
        <v>4799</v>
      </c>
      <c r="BB873" s="183">
        <v>3181203</v>
      </c>
    </row>
    <row r="874" spans="28:54" ht="15.75" thickBot="1" x14ac:dyDescent="0.3">
      <c r="AB874" s="71" t="s">
        <v>1339</v>
      </c>
      <c r="AC874" s="72" t="s">
        <v>1338</v>
      </c>
      <c r="AD874" s="73" t="str">
        <f t="shared" si="40"/>
        <v>68-31</v>
      </c>
      <c r="AE874" s="74">
        <f t="shared" si="41"/>
        <v>31</v>
      </c>
      <c r="AF874" s="71" t="s">
        <v>1363</v>
      </c>
      <c r="AG874" s="73" t="s">
        <v>1722</v>
      </c>
      <c r="BA874" s="108" t="s">
        <v>4800</v>
      </c>
      <c r="BB874" s="182">
        <v>3192201</v>
      </c>
    </row>
    <row r="875" spans="28:54" ht="15.75" thickBot="1" x14ac:dyDescent="0.3">
      <c r="AB875" s="71" t="s">
        <v>1339</v>
      </c>
      <c r="AC875" s="72" t="s">
        <v>1338</v>
      </c>
      <c r="AD875" s="73" t="str">
        <f t="shared" si="40"/>
        <v>68-32</v>
      </c>
      <c r="AE875" s="74">
        <f t="shared" si="41"/>
        <v>32</v>
      </c>
      <c r="AF875" s="71" t="s">
        <v>1364</v>
      </c>
      <c r="AG875" s="73" t="s">
        <v>168</v>
      </c>
      <c r="BA875" s="109" t="s">
        <v>4801</v>
      </c>
      <c r="BB875" s="183">
        <v>3201101</v>
      </c>
    </row>
    <row r="876" spans="28:54" ht="15.75" thickBot="1" x14ac:dyDescent="0.3">
      <c r="AB876" s="71" t="s">
        <v>1339</v>
      </c>
      <c r="AC876" s="72" t="s">
        <v>1338</v>
      </c>
      <c r="AD876" s="73" t="str">
        <f t="shared" si="40"/>
        <v>68-33</v>
      </c>
      <c r="AE876" s="74">
        <f t="shared" si="41"/>
        <v>33</v>
      </c>
      <c r="AF876" s="71" t="s">
        <v>1365</v>
      </c>
      <c r="AG876" s="73" t="s">
        <v>1840</v>
      </c>
      <c r="BA876" s="108" t="s">
        <v>4802</v>
      </c>
      <c r="BB876" s="182">
        <v>3201102</v>
      </c>
    </row>
    <row r="877" spans="28:54" ht="15.75" thickBot="1" x14ac:dyDescent="0.3">
      <c r="AB877" s="71" t="s">
        <v>1339</v>
      </c>
      <c r="AC877" s="72" t="s">
        <v>1338</v>
      </c>
      <c r="AD877" s="73" t="str">
        <f t="shared" si="40"/>
        <v>68-34</v>
      </c>
      <c r="AE877" s="74">
        <f t="shared" si="41"/>
        <v>34</v>
      </c>
      <c r="AF877" s="71" t="s">
        <v>1366</v>
      </c>
      <c r="AG877" s="73" t="s">
        <v>1779</v>
      </c>
      <c r="BA877" s="109" t="s">
        <v>4803</v>
      </c>
      <c r="BB877" s="183">
        <v>3201401</v>
      </c>
    </row>
    <row r="878" spans="28:54" ht="15.75" thickBot="1" x14ac:dyDescent="0.3">
      <c r="AB878" s="71" t="s">
        <v>1339</v>
      </c>
      <c r="AC878" s="72" t="s">
        <v>1338</v>
      </c>
      <c r="AD878" s="73" t="str">
        <f t="shared" si="40"/>
        <v>68-35</v>
      </c>
      <c r="AE878" s="74">
        <f t="shared" si="41"/>
        <v>35</v>
      </c>
      <c r="AF878" s="71" t="s">
        <v>1367</v>
      </c>
      <c r="AG878" s="73" t="s">
        <v>1999</v>
      </c>
      <c r="BA878" s="108" t="s">
        <v>4804</v>
      </c>
      <c r="BB878" s="182">
        <v>3202201</v>
      </c>
    </row>
    <row r="879" spans="28:54" ht="15.75" thickBot="1" x14ac:dyDescent="0.3">
      <c r="AB879" s="71" t="s">
        <v>1339</v>
      </c>
      <c r="AC879" s="72" t="s">
        <v>1338</v>
      </c>
      <c r="AD879" s="73" t="str">
        <f t="shared" si="40"/>
        <v>68-36</v>
      </c>
      <c r="AE879" s="74">
        <f t="shared" si="41"/>
        <v>36</v>
      </c>
      <c r="AF879" s="71" t="s">
        <v>1368</v>
      </c>
      <c r="AG879" s="73" t="s">
        <v>1957</v>
      </c>
      <c r="BA879" s="109" t="s">
        <v>4805</v>
      </c>
      <c r="BB879" s="183">
        <v>3202301</v>
      </c>
    </row>
    <row r="880" spans="28:54" ht="15.75" thickBot="1" x14ac:dyDescent="0.3">
      <c r="AB880" s="71" t="s">
        <v>1339</v>
      </c>
      <c r="AC880" s="72" t="s">
        <v>1338</v>
      </c>
      <c r="AD880" s="73" t="str">
        <f t="shared" si="40"/>
        <v>68-37</v>
      </c>
      <c r="AE880" s="74">
        <f t="shared" si="41"/>
        <v>37</v>
      </c>
      <c r="AF880" s="71" t="s">
        <v>1369</v>
      </c>
      <c r="AG880" s="73" t="s">
        <v>1729</v>
      </c>
      <c r="BA880" s="108" t="s">
        <v>4806</v>
      </c>
      <c r="BB880" s="182">
        <v>3202302</v>
      </c>
    </row>
    <row r="881" spans="28:54" ht="15.75" thickBot="1" x14ac:dyDescent="0.3">
      <c r="AB881" s="71" t="s">
        <v>1339</v>
      </c>
      <c r="AC881" s="72" t="s">
        <v>1338</v>
      </c>
      <c r="AD881" s="73" t="str">
        <f t="shared" si="40"/>
        <v>68-38</v>
      </c>
      <c r="AE881" s="74">
        <f t="shared" si="41"/>
        <v>38</v>
      </c>
      <c r="AF881" s="71" t="s">
        <v>191</v>
      </c>
      <c r="AG881" s="73" t="s">
        <v>1959</v>
      </c>
      <c r="BA881" s="109" t="s">
        <v>4807</v>
      </c>
      <c r="BB881" s="183">
        <v>3202303</v>
      </c>
    </row>
    <row r="882" spans="28:54" ht="15.75" thickBot="1" x14ac:dyDescent="0.3">
      <c r="AB882" s="71" t="s">
        <v>1339</v>
      </c>
      <c r="AC882" s="72" t="s">
        <v>1338</v>
      </c>
      <c r="AD882" s="73" t="str">
        <f t="shared" si="40"/>
        <v>68-39</v>
      </c>
      <c r="AE882" s="74">
        <f t="shared" si="41"/>
        <v>39</v>
      </c>
      <c r="AF882" s="71" t="s">
        <v>1370</v>
      </c>
      <c r="AG882" s="73" t="s">
        <v>1842</v>
      </c>
      <c r="BA882" s="108" t="s">
        <v>4808</v>
      </c>
      <c r="BB882" s="182">
        <v>3202304</v>
      </c>
    </row>
    <row r="883" spans="28:54" ht="15.75" thickBot="1" x14ac:dyDescent="0.3">
      <c r="AB883" s="71" t="s">
        <v>1339</v>
      </c>
      <c r="AC883" s="72" t="s">
        <v>1338</v>
      </c>
      <c r="AD883" s="73" t="str">
        <f t="shared" si="40"/>
        <v>68-40</v>
      </c>
      <c r="AE883" s="74">
        <f t="shared" si="41"/>
        <v>40</v>
      </c>
      <c r="AF883" s="71" t="s">
        <v>1371</v>
      </c>
      <c r="AG883" s="73" t="s">
        <v>1960</v>
      </c>
      <c r="BA883" s="109" t="s">
        <v>4809</v>
      </c>
      <c r="BB883" s="183">
        <v>3202901</v>
      </c>
    </row>
    <row r="884" spans="28:54" ht="15.75" thickBot="1" x14ac:dyDescent="0.3">
      <c r="AB884" s="71" t="s">
        <v>1339</v>
      </c>
      <c r="AC884" s="72" t="s">
        <v>1338</v>
      </c>
      <c r="AD884" s="73" t="str">
        <f t="shared" si="40"/>
        <v>68-41</v>
      </c>
      <c r="AE884" s="74">
        <f t="shared" si="41"/>
        <v>41</v>
      </c>
      <c r="AF884" s="71" t="s">
        <v>1372</v>
      </c>
      <c r="AG884" s="73" t="s">
        <v>2065</v>
      </c>
      <c r="BA884" s="108" t="s">
        <v>4810</v>
      </c>
      <c r="BB884" s="182">
        <v>3202902</v>
      </c>
    </row>
    <row r="885" spans="28:54" ht="15.75" thickBot="1" x14ac:dyDescent="0.3">
      <c r="AB885" s="71" t="s">
        <v>1339</v>
      </c>
      <c r="AC885" s="72" t="s">
        <v>1338</v>
      </c>
      <c r="AD885" s="73" t="str">
        <f t="shared" si="40"/>
        <v>68-42</v>
      </c>
      <c r="AE885" s="74">
        <f t="shared" si="41"/>
        <v>42</v>
      </c>
      <c r="AF885" s="71" t="s">
        <v>1373</v>
      </c>
      <c r="AG885" s="73" t="s">
        <v>2053</v>
      </c>
      <c r="BA885" s="109" t="s">
        <v>4811</v>
      </c>
      <c r="BB885" s="183">
        <v>3202903</v>
      </c>
    </row>
    <row r="886" spans="28:54" ht="15.75" thickBot="1" x14ac:dyDescent="0.3">
      <c r="AB886" s="71" t="s">
        <v>1339</v>
      </c>
      <c r="AC886" s="72" t="s">
        <v>1338</v>
      </c>
      <c r="AD886" s="73" t="str">
        <f t="shared" si="40"/>
        <v>68-43</v>
      </c>
      <c r="AE886" s="74">
        <f t="shared" si="41"/>
        <v>43</v>
      </c>
      <c r="AF886" s="71" t="s">
        <v>1374</v>
      </c>
      <c r="AG886" s="73" t="s">
        <v>1735</v>
      </c>
      <c r="BA886" s="108" t="s">
        <v>4812</v>
      </c>
      <c r="BB886" s="182">
        <v>3202904</v>
      </c>
    </row>
    <row r="887" spans="28:54" ht="15.75" thickBot="1" x14ac:dyDescent="0.3">
      <c r="AB887" s="71" t="s">
        <v>1339</v>
      </c>
      <c r="AC887" s="72" t="s">
        <v>1338</v>
      </c>
      <c r="AD887" s="73" t="str">
        <f t="shared" si="40"/>
        <v>68-44</v>
      </c>
      <c r="AE887" s="74">
        <f t="shared" si="41"/>
        <v>44</v>
      </c>
      <c r="AF887" s="71" t="s">
        <v>1375</v>
      </c>
      <c r="AG887" s="73" t="s">
        <v>2025</v>
      </c>
      <c r="BA887" s="109" t="s">
        <v>4813</v>
      </c>
      <c r="BB887" s="183">
        <v>3202905</v>
      </c>
    </row>
    <row r="888" spans="28:54" ht="15.75" thickBot="1" x14ac:dyDescent="0.3">
      <c r="AB888" s="71" t="s">
        <v>1339</v>
      </c>
      <c r="AC888" s="72" t="s">
        <v>1338</v>
      </c>
      <c r="AD888" s="73" t="str">
        <f t="shared" si="40"/>
        <v>68-45</v>
      </c>
      <c r="AE888" s="74">
        <f t="shared" si="41"/>
        <v>45</v>
      </c>
      <c r="AF888" s="71" t="s">
        <v>1376</v>
      </c>
      <c r="AG888" s="73" t="s">
        <v>1846</v>
      </c>
      <c r="BA888" s="108" t="s">
        <v>4814</v>
      </c>
      <c r="BB888" s="182">
        <v>3202906</v>
      </c>
    </row>
    <row r="889" spans="28:54" ht="15.75" thickBot="1" x14ac:dyDescent="0.3">
      <c r="AB889" s="71" t="s">
        <v>1339</v>
      </c>
      <c r="AC889" s="72" t="s">
        <v>1338</v>
      </c>
      <c r="AD889" s="73" t="str">
        <f t="shared" si="40"/>
        <v>68-46</v>
      </c>
      <c r="AE889" s="74">
        <f t="shared" si="41"/>
        <v>46</v>
      </c>
      <c r="AF889" s="71" t="s">
        <v>1377</v>
      </c>
      <c r="AG889" s="73" t="s">
        <v>2042</v>
      </c>
      <c r="BA889" s="109" t="s">
        <v>4815</v>
      </c>
      <c r="BB889" s="183">
        <v>3202907</v>
      </c>
    </row>
    <row r="890" spans="28:54" ht="15.75" thickBot="1" x14ac:dyDescent="0.3">
      <c r="AB890" s="71" t="s">
        <v>1339</v>
      </c>
      <c r="AC890" s="72" t="s">
        <v>1338</v>
      </c>
      <c r="AD890" s="73" t="str">
        <f t="shared" si="40"/>
        <v>68-47</v>
      </c>
      <c r="AE890" s="74">
        <f t="shared" si="41"/>
        <v>47</v>
      </c>
      <c r="AF890" s="71" t="s">
        <v>935</v>
      </c>
      <c r="AG890" s="73" t="s">
        <v>1915</v>
      </c>
      <c r="BA890" s="108" t="s">
        <v>4816</v>
      </c>
      <c r="BB890" s="182">
        <v>3202908</v>
      </c>
    </row>
    <row r="891" spans="28:54" ht="15.75" thickBot="1" x14ac:dyDescent="0.3">
      <c r="AB891" s="71" t="s">
        <v>1339</v>
      </c>
      <c r="AC891" s="72" t="s">
        <v>1338</v>
      </c>
      <c r="AD891" s="73" t="str">
        <f t="shared" si="40"/>
        <v>68-48</v>
      </c>
      <c r="AE891" s="74">
        <f t="shared" si="41"/>
        <v>48</v>
      </c>
      <c r="AF891" s="71" t="s">
        <v>1378</v>
      </c>
      <c r="AG891" s="73" t="s">
        <v>244</v>
      </c>
      <c r="BA891" s="109" t="s">
        <v>4817</v>
      </c>
      <c r="BB891" s="183">
        <v>3203001</v>
      </c>
    </row>
    <row r="892" spans="28:54" ht="15.75" thickBot="1" x14ac:dyDescent="0.3">
      <c r="AB892" s="71" t="s">
        <v>1339</v>
      </c>
      <c r="AC892" s="72" t="s">
        <v>1338</v>
      </c>
      <c r="AD892" s="73" t="str">
        <f t="shared" si="40"/>
        <v>68-49</v>
      </c>
      <c r="AE892" s="74">
        <f t="shared" si="41"/>
        <v>49</v>
      </c>
      <c r="AF892" s="71" t="s">
        <v>1379</v>
      </c>
      <c r="AG892" s="73" t="s">
        <v>1916</v>
      </c>
      <c r="BA892" s="108" t="s">
        <v>4818</v>
      </c>
      <c r="BB892" s="182">
        <v>3203002</v>
      </c>
    </row>
    <row r="893" spans="28:54" ht="15.75" thickBot="1" x14ac:dyDescent="0.3">
      <c r="AB893" s="71" t="s">
        <v>1339</v>
      </c>
      <c r="AC893" s="72" t="s">
        <v>1338</v>
      </c>
      <c r="AD893" s="73" t="str">
        <f t="shared" si="40"/>
        <v>68-50</v>
      </c>
      <c r="AE893" s="74">
        <f t="shared" si="41"/>
        <v>50</v>
      </c>
      <c r="AF893" s="71" t="s">
        <v>1380</v>
      </c>
      <c r="AG893" s="73" t="s">
        <v>1740</v>
      </c>
      <c r="BA893" s="109" t="s">
        <v>4819</v>
      </c>
      <c r="BB893" s="183">
        <v>3203003</v>
      </c>
    </row>
    <row r="894" spans="28:54" ht="15.75" thickBot="1" x14ac:dyDescent="0.3">
      <c r="AB894" s="71" t="s">
        <v>1339</v>
      </c>
      <c r="AC894" s="72" t="s">
        <v>1338</v>
      </c>
      <c r="AD894" s="73" t="str">
        <f t="shared" si="40"/>
        <v>68-51</v>
      </c>
      <c r="AE894" s="74">
        <f t="shared" si="41"/>
        <v>51</v>
      </c>
      <c r="AF894" s="71" t="s">
        <v>1381</v>
      </c>
      <c r="AG894" s="73" t="s">
        <v>2066</v>
      </c>
      <c r="BA894" s="108" t="s">
        <v>4820</v>
      </c>
      <c r="BB894" s="182">
        <v>3210001</v>
      </c>
    </row>
    <row r="895" spans="28:54" ht="15.75" thickBot="1" x14ac:dyDescent="0.3">
      <c r="AB895" s="71" t="s">
        <v>1339</v>
      </c>
      <c r="AC895" s="72" t="s">
        <v>1338</v>
      </c>
      <c r="AD895" s="73" t="str">
        <f t="shared" si="40"/>
        <v>68-52</v>
      </c>
      <c r="AE895" s="74">
        <f t="shared" si="41"/>
        <v>52</v>
      </c>
      <c r="AF895" s="71" t="s">
        <v>1382</v>
      </c>
      <c r="AG895" s="73" t="s">
        <v>1888</v>
      </c>
      <c r="BA895" s="109" t="s">
        <v>4821</v>
      </c>
      <c r="BB895" s="183">
        <v>3210002</v>
      </c>
    </row>
    <row r="896" spans="28:54" ht="15.75" thickBot="1" x14ac:dyDescent="0.3">
      <c r="AB896" s="71" t="s">
        <v>1339</v>
      </c>
      <c r="AC896" s="72" t="s">
        <v>1338</v>
      </c>
      <c r="AD896" s="73" t="str">
        <f t="shared" si="40"/>
        <v>68-53</v>
      </c>
      <c r="AE896" s="74">
        <f t="shared" si="41"/>
        <v>53</v>
      </c>
      <c r="AF896" s="71" t="s">
        <v>1383</v>
      </c>
      <c r="AG896" s="73" t="s">
        <v>284</v>
      </c>
      <c r="BA896" s="108" t="s">
        <v>4822</v>
      </c>
      <c r="BB896" s="182">
        <v>3210003</v>
      </c>
    </row>
    <row r="897" spans="28:54" ht="15.75" thickBot="1" x14ac:dyDescent="0.3">
      <c r="AB897" s="71" t="s">
        <v>1339</v>
      </c>
      <c r="AC897" s="72" t="s">
        <v>1338</v>
      </c>
      <c r="AD897" s="73" t="str">
        <f t="shared" si="40"/>
        <v>68-54</v>
      </c>
      <c r="AE897" s="74">
        <f t="shared" si="41"/>
        <v>54</v>
      </c>
      <c r="AF897" s="71" t="s">
        <v>1384</v>
      </c>
      <c r="AG897" s="73" t="s">
        <v>1805</v>
      </c>
      <c r="BA897" s="109" t="s">
        <v>4823</v>
      </c>
      <c r="BB897" s="183">
        <v>3210004</v>
      </c>
    </row>
    <row r="898" spans="28:54" ht="15.75" thickBot="1" x14ac:dyDescent="0.3">
      <c r="AB898" s="71" t="s">
        <v>1339</v>
      </c>
      <c r="AC898" s="72" t="s">
        <v>1338</v>
      </c>
      <c r="AD898" s="73" t="str">
        <f t="shared" si="40"/>
        <v>68-55</v>
      </c>
      <c r="AE898" s="74">
        <f t="shared" si="41"/>
        <v>55</v>
      </c>
      <c r="AF898" s="71" t="s">
        <v>1385</v>
      </c>
      <c r="AG898" s="73" t="s">
        <v>308</v>
      </c>
      <c r="BA898" s="108" t="s">
        <v>4824</v>
      </c>
      <c r="BB898" s="182">
        <v>3210005</v>
      </c>
    </row>
    <row r="899" spans="28:54" ht="15.75" thickBot="1" x14ac:dyDescent="0.3">
      <c r="AB899" s="71" t="s">
        <v>1339</v>
      </c>
      <c r="AC899" s="72" t="s">
        <v>1338</v>
      </c>
      <c r="AD899" s="73" t="str">
        <f t="shared" ref="AD899:AD962" si="42">CONCATENATE(AC899,"-",AE899)</f>
        <v>68-56</v>
      </c>
      <c r="AE899" s="74">
        <f t="shared" ref="AE899:AE962" si="43">IF(AB899=AB898,1+AE898,1)</f>
        <v>56</v>
      </c>
      <c r="AF899" s="71" t="s">
        <v>1386</v>
      </c>
      <c r="AG899" s="73" t="s">
        <v>1852</v>
      </c>
      <c r="BA899" s="109" t="s">
        <v>4825</v>
      </c>
      <c r="BB899" s="183">
        <v>3221901</v>
      </c>
    </row>
    <row r="900" spans="28:54" ht="15.75" thickBot="1" x14ac:dyDescent="0.3">
      <c r="AB900" s="71" t="s">
        <v>1339</v>
      </c>
      <c r="AC900" s="72" t="s">
        <v>1338</v>
      </c>
      <c r="AD900" s="73" t="str">
        <f t="shared" si="42"/>
        <v>68-57</v>
      </c>
      <c r="AE900" s="74">
        <f t="shared" si="43"/>
        <v>57</v>
      </c>
      <c r="AF900" s="71" t="s">
        <v>1387</v>
      </c>
      <c r="AG900" s="73" t="s">
        <v>314</v>
      </c>
      <c r="BA900" s="108" t="s">
        <v>4826</v>
      </c>
      <c r="BB900" s="182">
        <v>3221902</v>
      </c>
    </row>
    <row r="901" spans="28:54" ht="15.75" thickBot="1" x14ac:dyDescent="0.3">
      <c r="AB901" s="71" t="s">
        <v>1339</v>
      </c>
      <c r="AC901" s="72" t="s">
        <v>1338</v>
      </c>
      <c r="AD901" s="73" t="str">
        <f t="shared" si="42"/>
        <v>68-58</v>
      </c>
      <c r="AE901" s="74">
        <f t="shared" si="43"/>
        <v>58</v>
      </c>
      <c r="AF901" s="71" t="s">
        <v>1388</v>
      </c>
      <c r="AG901" s="73" t="s">
        <v>1856</v>
      </c>
      <c r="BA901" s="109" t="s">
        <v>4827</v>
      </c>
      <c r="BB901" s="183">
        <v>3221903</v>
      </c>
    </row>
    <row r="902" spans="28:54" ht="15.75" thickBot="1" x14ac:dyDescent="0.3">
      <c r="AB902" s="71" t="s">
        <v>1339</v>
      </c>
      <c r="AC902" s="72" t="s">
        <v>1338</v>
      </c>
      <c r="AD902" s="73" t="str">
        <f t="shared" si="42"/>
        <v>68-59</v>
      </c>
      <c r="AE902" s="74">
        <f t="shared" si="43"/>
        <v>59</v>
      </c>
      <c r="AF902" s="71" t="s">
        <v>1389</v>
      </c>
      <c r="AG902" s="73" t="s">
        <v>1892</v>
      </c>
      <c r="BA902" s="108" t="s">
        <v>4828</v>
      </c>
      <c r="BB902" s="182">
        <v>3221904</v>
      </c>
    </row>
    <row r="903" spans="28:54" ht="15.75" thickBot="1" x14ac:dyDescent="0.3">
      <c r="AB903" s="71" t="s">
        <v>1339</v>
      </c>
      <c r="AC903" s="72" t="s">
        <v>1338</v>
      </c>
      <c r="AD903" s="73" t="str">
        <f t="shared" si="42"/>
        <v>68-60</v>
      </c>
      <c r="AE903" s="74">
        <f t="shared" si="43"/>
        <v>60</v>
      </c>
      <c r="AF903" s="71" t="s">
        <v>1390</v>
      </c>
      <c r="AG903" s="73" t="s">
        <v>1857</v>
      </c>
      <c r="BA903" s="109" t="s">
        <v>4829</v>
      </c>
      <c r="BB903" s="183">
        <v>3222901</v>
      </c>
    </row>
    <row r="904" spans="28:54" ht="15.75" thickBot="1" x14ac:dyDescent="0.3">
      <c r="AB904" s="71" t="s">
        <v>1339</v>
      </c>
      <c r="AC904" s="72" t="s">
        <v>1338</v>
      </c>
      <c r="AD904" s="73" t="str">
        <f t="shared" si="42"/>
        <v>68-61</v>
      </c>
      <c r="AE904" s="74">
        <f t="shared" si="43"/>
        <v>61</v>
      </c>
      <c r="AF904" s="71" t="s">
        <v>1391</v>
      </c>
      <c r="AG904" s="73" t="s">
        <v>2067</v>
      </c>
      <c r="BA904" s="108" t="s">
        <v>4830</v>
      </c>
      <c r="BB904" s="182">
        <v>3222902</v>
      </c>
    </row>
    <row r="905" spans="28:54" ht="15.75" thickBot="1" x14ac:dyDescent="0.3">
      <c r="AB905" s="71" t="s">
        <v>1339</v>
      </c>
      <c r="AC905" s="72" t="s">
        <v>1338</v>
      </c>
      <c r="AD905" s="73" t="str">
        <f t="shared" si="42"/>
        <v>68-62</v>
      </c>
      <c r="AE905" s="74">
        <f t="shared" si="43"/>
        <v>62</v>
      </c>
      <c r="AF905" s="71" t="s">
        <v>1392</v>
      </c>
      <c r="AG905" s="73" t="s">
        <v>1784</v>
      </c>
      <c r="BA905" s="109" t="s">
        <v>4831</v>
      </c>
      <c r="BB905" s="183">
        <v>3222903</v>
      </c>
    </row>
    <row r="906" spans="28:54" ht="15.75" thickBot="1" x14ac:dyDescent="0.3">
      <c r="AB906" s="71" t="s">
        <v>1339</v>
      </c>
      <c r="AC906" s="72" t="s">
        <v>1338</v>
      </c>
      <c r="AD906" s="73" t="str">
        <f t="shared" si="42"/>
        <v>68-63</v>
      </c>
      <c r="AE906" s="74">
        <f t="shared" si="43"/>
        <v>63</v>
      </c>
      <c r="AF906" s="71" t="s">
        <v>1393</v>
      </c>
      <c r="AG906" s="73" t="s">
        <v>1860</v>
      </c>
      <c r="BA906" s="108" t="s">
        <v>4832</v>
      </c>
      <c r="BB906" s="182">
        <v>3231001</v>
      </c>
    </row>
    <row r="907" spans="28:54" ht="15.75" thickBot="1" x14ac:dyDescent="0.3">
      <c r="AB907" s="71" t="s">
        <v>1339</v>
      </c>
      <c r="AC907" s="72" t="s">
        <v>1338</v>
      </c>
      <c r="AD907" s="73" t="str">
        <f t="shared" si="42"/>
        <v>68-64</v>
      </c>
      <c r="AE907" s="74">
        <f t="shared" si="43"/>
        <v>64</v>
      </c>
      <c r="AF907" s="71" t="s">
        <v>1394</v>
      </c>
      <c r="AG907" s="73" t="s">
        <v>348</v>
      </c>
      <c r="BA907" s="109" t="s">
        <v>4833</v>
      </c>
      <c r="BB907" s="183">
        <v>3239401</v>
      </c>
    </row>
    <row r="908" spans="28:54" ht="15.75" thickBot="1" x14ac:dyDescent="0.3">
      <c r="AB908" s="71" t="s">
        <v>1339</v>
      </c>
      <c r="AC908" s="72" t="s">
        <v>1338</v>
      </c>
      <c r="AD908" s="73" t="str">
        <f t="shared" si="42"/>
        <v>68-65</v>
      </c>
      <c r="AE908" s="74">
        <f t="shared" si="43"/>
        <v>65</v>
      </c>
      <c r="AF908" s="71" t="s">
        <v>1395</v>
      </c>
      <c r="AG908" s="73" t="s">
        <v>2068</v>
      </c>
      <c r="BA908" s="108" t="s">
        <v>4834</v>
      </c>
      <c r="BB908" s="182">
        <v>3239601</v>
      </c>
    </row>
    <row r="909" spans="28:54" ht="15.75" thickBot="1" x14ac:dyDescent="0.3">
      <c r="AB909" s="71" t="s">
        <v>1339</v>
      </c>
      <c r="AC909" s="72" t="s">
        <v>1338</v>
      </c>
      <c r="AD909" s="73" t="str">
        <f t="shared" si="42"/>
        <v>68-66</v>
      </c>
      <c r="AE909" s="74">
        <f t="shared" si="43"/>
        <v>66</v>
      </c>
      <c r="AF909" s="71" t="s">
        <v>594</v>
      </c>
      <c r="AG909" s="73" t="s">
        <v>1750</v>
      </c>
      <c r="BA909" s="109" t="s">
        <v>4835</v>
      </c>
      <c r="BB909" s="183">
        <v>3239901</v>
      </c>
    </row>
    <row r="910" spans="28:54" ht="15.75" thickBot="1" x14ac:dyDescent="0.3">
      <c r="AB910" s="71" t="s">
        <v>1339</v>
      </c>
      <c r="AC910" s="72" t="s">
        <v>1338</v>
      </c>
      <c r="AD910" s="73" t="str">
        <f t="shared" si="42"/>
        <v>68-67</v>
      </c>
      <c r="AE910" s="74">
        <f t="shared" si="43"/>
        <v>67</v>
      </c>
      <c r="AF910" s="71" t="s">
        <v>1396</v>
      </c>
      <c r="AG910" s="73" t="s">
        <v>1811</v>
      </c>
      <c r="BA910" s="108" t="s">
        <v>4836</v>
      </c>
      <c r="BB910" s="182">
        <v>3242101</v>
      </c>
    </row>
    <row r="911" spans="28:54" ht="15.75" thickBot="1" x14ac:dyDescent="0.3">
      <c r="AB911" s="71" t="s">
        <v>1339</v>
      </c>
      <c r="AC911" s="72" t="s">
        <v>1338</v>
      </c>
      <c r="AD911" s="73" t="str">
        <f t="shared" si="42"/>
        <v>68-68</v>
      </c>
      <c r="AE911" s="74">
        <f t="shared" si="43"/>
        <v>68</v>
      </c>
      <c r="AF911" s="71" t="s">
        <v>598</v>
      </c>
      <c r="AG911" s="73" t="s">
        <v>2069</v>
      </c>
      <c r="BA911" s="109" t="s">
        <v>4837</v>
      </c>
      <c r="BB911" s="183">
        <v>3242102</v>
      </c>
    </row>
    <row r="912" spans="28:54" ht="15.75" thickBot="1" x14ac:dyDescent="0.3">
      <c r="AB912" s="71" t="s">
        <v>1339</v>
      </c>
      <c r="AC912" s="72" t="s">
        <v>1338</v>
      </c>
      <c r="AD912" s="73" t="str">
        <f t="shared" si="42"/>
        <v>68-69</v>
      </c>
      <c r="AE912" s="74">
        <f t="shared" si="43"/>
        <v>69</v>
      </c>
      <c r="AF912" s="71" t="s">
        <v>1397</v>
      </c>
      <c r="AG912" s="73" t="s">
        <v>1813</v>
      </c>
      <c r="BA912" s="108" t="s">
        <v>4838</v>
      </c>
      <c r="BB912" s="182">
        <v>3242103</v>
      </c>
    </row>
    <row r="913" spans="28:54" ht="15.75" thickBot="1" x14ac:dyDescent="0.3">
      <c r="AB913" s="71" t="s">
        <v>1339</v>
      </c>
      <c r="AC913" s="72" t="s">
        <v>1338</v>
      </c>
      <c r="AD913" s="73" t="str">
        <f t="shared" si="42"/>
        <v>68-70</v>
      </c>
      <c r="AE913" s="74">
        <f t="shared" si="43"/>
        <v>70</v>
      </c>
      <c r="AF913" s="71" t="s">
        <v>1398</v>
      </c>
      <c r="AG913" s="73" t="s">
        <v>1761</v>
      </c>
      <c r="BA913" s="109" t="s">
        <v>4839</v>
      </c>
      <c r="BB913" s="183">
        <v>3242104</v>
      </c>
    </row>
    <row r="914" spans="28:54" ht="15.75" thickBot="1" x14ac:dyDescent="0.3">
      <c r="AB914" s="71" t="s">
        <v>1339</v>
      </c>
      <c r="AC914" s="72" t="s">
        <v>1338</v>
      </c>
      <c r="AD914" s="73" t="str">
        <f t="shared" si="42"/>
        <v>68-71</v>
      </c>
      <c r="AE914" s="74">
        <f t="shared" si="43"/>
        <v>71</v>
      </c>
      <c r="AF914" s="71" t="s">
        <v>1399</v>
      </c>
      <c r="AG914" s="73" t="s">
        <v>2058</v>
      </c>
      <c r="BA914" s="108" t="s">
        <v>4840</v>
      </c>
      <c r="BB914" s="182">
        <v>3251101</v>
      </c>
    </row>
    <row r="915" spans="28:54" ht="15.75" thickBot="1" x14ac:dyDescent="0.3">
      <c r="AB915" s="71" t="s">
        <v>1339</v>
      </c>
      <c r="AC915" s="72" t="s">
        <v>1338</v>
      </c>
      <c r="AD915" s="73" t="str">
        <f t="shared" si="42"/>
        <v>68-72</v>
      </c>
      <c r="AE915" s="74">
        <f t="shared" si="43"/>
        <v>72</v>
      </c>
      <c r="AF915" s="71" t="s">
        <v>1400</v>
      </c>
      <c r="AG915" s="73" t="s">
        <v>2070</v>
      </c>
      <c r="BA915" s="109" t="s">
        <v>4841</v>
      </c>
      <c r="BB915" s="183">
        <v>3252001</v>
      </c>
    </row>
    <row r="916" spans="28:54" ht="15.75" thickBot="1" x14ac:dyDescent="0.3">
      <c r="AB916" s="71" t="s">
        <v>1339</v>
      </c>
      <c r="AC916" s="72" t="s">
        <v>1338</v>
      </c>
      <c r="AD916" s="73" t="str">
        <f t="shared" si="42"/>
        <v>68-73</v>
      </c>
      <c r="AE916" s="74">
        <f t="shared" si="43"/>
        <v>73</v>
      </c>
      <c r="AF916" s="71" t="s">
        <v>1401</v>
      </c>
      <c r="AG916" s="73" t="s">
        <v>1762</v>
      </c>
      <c r="BA916" s="108" t="s">
        <v>4842</v>
      </c>
      <c r="BB916" s="182">
        <v>3252002</v>
      </c>
    </row>
    <row r="917" spans="28:54" ht="15.75" thickBot="1" x14ac:dyDescent="0.3">
      <c r="AB917" s="71" t="s">
        <v>1339</v>
      </c>
      <c r="AC917" s="72" t="s">
        <v>1338</v>
      </c>
      <c r="AD917" s="73" t="str">
        <f t="shared" si="42"/>
        <v>68-74</v>
      </c>
      <c r="AE917" s="74">
        <f t="shared" si="43"/>
        <v>74</v>
      </c>
      <c r="AF917" s="71" t="s">
        <v>1402</v>
      </c>
      <c r="AG917" s="73" t="s">
        <v>2030</v>
      </c>
      <c r="BA917" s="109" t="s">
        <v>4843</v>
      </c>
      <c r="BB917" s="183">
        <v>3259101</v>
      </c>
    </row>
    <row r="918" spans="28:54" ht="15.75" thickBot="1" x14ac:dyDescent="0.3">
      <c r="AB918" s="71" t="s">
        <v>1339</v>
      </c>
      <c r="AC918" s="72" t="s">
        <v>1338</v>
      </c>
      <c r="AD918" s="73" t="str">
        <f t="shared" si="42"/>
        <v>68-75</v>
      </c>
      <c r="AE918" s="74">
        <f t="shared" si="43"/>
        <v>75</v>
      </c>
      <c r="AF918" s="71" t="s">
        <v>610</v>
      </c>
      <c r="AG918" s="73" t="s">
        <v>408</v>
      </c>
      <c r="BA918" s="108" t="s">
        <v>4844</v>
      </c>
      <c r="BB918" s="182">
        <v>3259201</v>
      </c>
    </row>
    <row r="919" spans="28:54" ht="15.75" thickBot="1" x14ac:dyDescent="0.3">
      <c r="AB919" s="71" t="s">
        <v>1339</v>
      </c>
      <c r="AC919" s="72" t="s">
        <v>1338</v>
      </c>
      <c r="AD919" s="73" t="str">
        <f t="shared" si="42"/>
        <v>68-76</v>
      </c>
      <c r="AE919" s="74">
        <f t="shared" si="43"/>
        <v>76</v>
      </c>
      <c r="AF919" s="71" t="s">
        <v>1403</v>
      </c>
      <c r="AG919" s="73" t="s">
        <v>414</v>
      </c>
      <c r="BA919" s="109" t="s">
        <v>4845</v>
      </c>
      <c r="BB919" s="183">
        <v>3259202</v>
      </c>
    </row>
    <row r="920" spans="28:54" ht="15.75" thickBot="1" x14ac:dyDescent="0.3">
      <c r="AB920" s="71" t="s">
        <v>1339</v>
      </c>
      <c r="AC920" s="72" t="s">
        <v>1338</v>
      </c>
      <c r="AD920" s="73" t="str">
        <f t="shared" si="42"/>
        <v>68-77</v>
      </c>
      <c r="AE920" s="74">
        <f t="shared" si="43"/>
        <v>77</v>
      </c>
      <c r="AF920" s="71" t="s">
        <v>1404</v>
      </c>
      <c r="AG920" s="73" t="s">
        <v>1976</v>
      </c>
      <c r="BA920" s="108" t="s">
        <v>4846</v>
      </c>
      <c r="BB920" s="182">
        <v>3259301</v>
      </c>
    </row>
    <row r="921" spans="28:54" ht="15.75" thickBot="1" x14ac:dyDescent="0.3">
      <c r="AB921" s="71" t="s">
        <v>1339</v>
      </c>
      <c r="AC921" s="72" t="s">
        <v>1338</v>
      </c>
      <c r="AD921" s="73" t="str">
        <f t="shared" si="42"/>
        <v>68-78</v>
      </c>
      <c r="AE921" s="74">
        <f t="shared" si="43"/>
        <v>78</v>
      </c>
      <c r="AF921" s="71" t="s">
        <v>1405</v>
      </c>
      <c r="AG921" s="73" t="s">
        <v>1870</v>
      </c>
      <c r="BA921" s="109" t="s">
        <v>4847</v>
      </c>
      <c r="BB921" s="183">
        <v>3259302</v>
      </c>
    </row>
    <row r="922" spans="28:54" ht="15.75" thickBot="1" x14ac:dyDescent="0.3">
      <c r="AB922" s="71" t="s">
        <v>1339</v>
      </c>
      <c r="AC922" s="72" t="s">
        <v>1338</v>
      </c>
      <c r="AD922" s="73" t="str">
        <f t="shared" si="42"/>
        <v>68-79</v>
      </c>
      <c r="AE922" s="74">
        <f t="shared" si="43"/>
        <v>79</v>
      </c>
      <c r="AF922" s="71" t="s">
        <v>1406</v>
      </c>
      <c r="AG922" s="73" t="s">
        <v>440</v>
      </c>
      <c r="BA922" s="108" t="s">
        <v>4848</v>
      </c>
      <c r="BB922" s="182">
        <v>3261001</v>
      </c>
    </row>
    <row r="923" spans="28:54" ht="15.75" thickBot="1" x14ac:dyDescent="0.3">
      <c r="AB923" s="71" t="s">
        <v>1339</v>
      </c>
      <c r="AC923" s="72" t="s">
        <v>1338</v>
      </c>
      <c r="AD923" s="73" t="str">
        <f t="shared" si="42"/>
        <v>68-80</v>
      </c>
      <c r="AE923" s="74">
        <f t="shared" si="43"/>
        <v>80</v>
      </c>
      <c r="AF923" s="71" t="s">
        <v>907</v>
      </c>
      <c r="AG923" s="73" t="s">
        <v>442</v>
      </c>
      <c r="BA923" s="109" t="s">
        <v>4849</v>
      </c>
      <c r="BB923" s="183">
        <v>3261002</v>
      </c>
    </row>
    <row r="924" spans="28:54" ht="15.75" thickBot="1" x14ac:dyDescent="0.3">
      <c r="AB924" s="71" t="s">
        <v>1339</v>
      </c>
      <c r="AC924" s="72" t="s">
        <v>1338</v>
      </c>
      <c r="AD924" s="73" t="str">
        <f t="shared" si="42"/>
        <v>68-81</v>
      </c>
      <c r="AE924" s="74">
        <f t="shared" si="43"/>
        <v>81</v>
      </c>
      <c r="AF924" s="71" t="s">
        <v>1407</v>
      </c>
      <c r="AG924" s="73" t="s">
        <v>450</v>
      </c>
      <c r="BA924" s="108" t="s">
        <v>4850</v>
      </c>
      <c r="BB924" s="182">
        <v>3261003</v>
      </c>
    </row>
    <row r="925" spans="28:54" ht="15.75" thickBot="1" x14ac:dyDescent="0.3">
      <c r="AB925" s="71" t="s">
        <v>1339</v>
      </c>
      <c r="AC925" s="72" t="s">
        <v>1338</v>
      </c>
      <c r="AD925" s="73" t="str">
        <f t="shared" si="42"/>
        <v>68-82</v>
      </c>
      <c r="AE925" s="74">
        <f t="shared" si="43"/>
        <v>82</v>
      </c>
      <c r="AF925" s="71" t="s">
        <v>1408</v>
      </c>
      <c r="AG925" s="73" t="s">
        <v>466</v>
      </c>
      <c r="BA925" s="109" t="s">
        <v>4851</v>
      </c>
      <c r="BB925" s="183">
        <v>3261004</v>
      </c>
    </row>
    <row r="926" spans="28:54" ht="15.75" thickBot="1" x14ac:dyDescent="0.3">
      <c r="AB926" s="71" t="s">
        <v>1339</v>
      </c>
      <c r="AC926" s="72" t="s">
        <v>1338</v>
      </c>
      <c r="AD926" s="73" t="str">
        <f t="shared" si="42"/>
        <v>68-83</v>
      </c>
      <c r="AE926" s="74">
        <f t="shared" si="43"/>
        <v>83</v>
      </c>
      <c r="AF926" s="71" t="s">
        <v>1409</v>
      </c>
      <c r="AG926" s="73" t="s">
        <v>488</v>
      </c>
      <c r="BA926" s="108" t="s">
        <v>4852</v>
      </c>
      <c r="BB926" s="182">
        <v>3262001</v>
      </c>
    </row>
    <row r="927" spans="28:54" ht="15.75" thickBot="1" x14ac:dyDescent="0.3">
      <c r="AB927" s="71" t="s">
        <v>1339</v>
      </c>
      <c r="AC927" s="72" t="s">
        <v>1338</v>
      </c>
      <c r="AD927" s="73" t="str">
        <f t="shared" si="42"/>
        <v>68-84</v>
      </c>
      <c r="AE927" s="74">
        <f t="shared" si="43"/>
        <v>84</v>
      </c>
      <c r="AF927" s="71" t="s">
        <v>1410</v>
      </c>
      <c r="AG927" s="73" t="s">
        <v>1774</v>
      </c>
      <c r="BA927" s="109" t="s">
        <v>4853</v>
      </c>
      <c r="BB927" s="183">
        <v>3263001</v>
      </c>
    </row>
    <row r="928" spans="28:54" ht="15.75" thickBot="1" x14ac:dyDescent="0.3">
      <c r="AB928" s="71" t="s">
        <v>1339</v>
      </c>
      <c r="AC928" s="72" t="s">
        <v>1338</v>
      </c>
      <c r="AD928" s="73" t="str">
        <f t="shared" si="42"/>
        <v>68-85</v>
      </c>
      <c r="AE928" s="74">
        <f t="shared" si="43"/>
        <v>85</v>
      </c>
      <c r="AF928" s="71" t="s">
        <v>1411</v>
      </c>
      <c r="AG928" s="73" t="s">
        <v>1898</v>
      </c>
      <c r="BA928" s="108" t="s">
        <v>4854</v>
      </c>
      <c r="BB928" s="182">
        <v>3263002</v>
      </c>
    </row>
    <row r="929" spans="28:54" ht="15.75" thickBot="1" x14ac:dyDescent="0.3">
      <c r="AB929" s="71" t="s">
        <v>1339</v>
      </c>
      <c r="AC929" s="72" t="s">
        <v>1338</v>
      </c>
      <c r="AD929" s="73" t="str">
        <f t="shared" si="42"/>
        <v>68-86</v>
      </c>
      <c r="AE929" s="74">
        <f t="shared" si="43"/>
        <v>86</v>
      </c>
      <c r="AF929" s="71" t="s">
        <v>707</v>
      </c>
      <c r="AG929" s="73" t="s">
        <v>2010</v>
      </c>
      <c r="BA929" s="109" t="s">
        <v>4855</v>
      </c>
      <c r="BB929" s="183">
        <v>3263003</v>
      </c>
    </row>
    <row r="930" spans="28:54" ht="15.75" thickBot="1" x14ac:dyDescent="0.3">
      <c r="AB930" s="71" t="s">
        <v>1339</v>
      </c>
      <c r="AC930" s="72" t="s">
        <v>1338</v>
      </c>
      <c r="AD930" s="73" t="str">
        <f t="shared" si="42"/>
        <v>68-87</v>
      </c>
      <c r="AE930" s="74">
        <f t="shared" si="43"/>
        <v>87</v>
      </c>
      <c r="AF930" s="71" t="s">
        <v>1412</v>
      </c>
      <c r="AG930" s="73" t="s">
        <v>504</v>
      </c>
      <c r="BA930" s="108" t="s">
        <v>4856</v>
      </c>
      <c r="BB930" s="182">
        <v>3263004</v>
      </c>
    </row>
    <row r="931" spans="28:54" ht="15.75" thickBot="1" x14ac:dyDescent="0.3">
      <c r="AB931" s="71" t="s">
        <v>1414</v>
      </c>
      <c r="AC931" s="72" t="s">
        <v>1413</v>
      </c>
      <c r="AD931" s="73" t="str">
        <f t="shared" si="42"/>
        <v>70-1</v>
      </c>
      <c r="AE931" s="74">
        <f t="shared" si="43"/>
        <v>1</v>
      </c>
      <c r="AF931" s="71" t="s">
        <v>1415</v>
      </c>
      <c r="AG931" s="73" t="s">
        <v>334</v>
      </c>
      <c r="BA931" s="109" t="s">
        <v>4857</v>
      </c>
      <c r="BB931" s="183">
        <v>3263005</v>
      </c>
    </row>
    <row r="932" spans="28:54" ht="15.75" thickBot="1" x14ac:dyDescent="0.3">
      <c r="AB932" s="71" t="s">
        <v>1414</v>
      </c>
      <c r="AC932" s="72" t="s">
        <v>1413</v>
      </c>
      <c r="AD932" s="73" t="str">
        <f t="shared" si="42"/>
        <v>70-2</v>
      </c>
      <c r="AE932" s="74">
        <f t="shared" si="43"/>
        <v>2</v>
      </c>
      <c r="AF932" s="71" t="s">
        <v>720</v>
      </c>
      <c r="AG932" s="73" t="s">
        <v>1911</v>
      </c>
      <c r="BA932" s="108" t="s">
        <v>4858</v>
      </c>
      <c r="BB932" s="182">
        <v>3264001</v>
      </c>
    </row>
    <row r="933" spans="28:54" ht="15.75" thickBot="1" x14ac:dyDescent="0.3">
      <c r="AB933" s="71" t="s">
        <v>1414</v>
      </c>
      <c r="AC933" s="72" t="s">
        <v>1413</v>
      </c>
      <c r="AD933" s="73" t="str">
        <f t="shared" si="42"/>
        <v>70-3</v>
      </c>
      <c r="AE933" s="74">
        <f t="shared" si="43"/>
        <v>3</v>
      </c>
      <c r="AF933" s="71" t="s">
        <v>1416</v>
      </c>
      <c r="AG933" s="73" t="s">
        <v>2022</v>
      </c>
      <c r="BA933" s="109" t="s">
        <v>4859</v>
      </c>
      <c r="BB933" s="183">
        <v>3264002</v>
      </c>
    </row>
    <row r="934" spans="28:54" ht="15.75" thickBot="1" x14ac:dyDescent="0.3">
      <c r="AB934" s="71" t="s">
        <v>1414</v>
      </c>
      <c r="AC934" s="72" t="s">
        <v>1413</v>
      </c>
      <c r="AD934" s="73" t="str">
        <f t="shared" si="42"/>
        <v>70-4</v>
      </c>
      <c r="AE934" s="74">
        <f t="shared" si="43"/>
        <v>4</v>
      </c>
      <c r="AF934" s="71" t="s">
        <v>1417</v>
      </c>
      <c r="AG934" s="73" t="s">
        <v>1833</v>
      </c>
      <c r="BA934" s="108" t="s">
        <v>4860</v>
      </c>
      <c r="BB934" s="182">
        <v>3265101</v>
      </c>
    </row>
    <row r="935" spans="28:54" ht="15.75" thickBot="1" x14ac:dyDescent="0.3">
      <c r="AB935" s="71" t="s">
        <v>1414</v>
      </c>
      <c r="AC935" s="72" t="s">
        <v>1413</v>
      </c>
      <c r="AD935" s="73" t="str">
        <f t="shared" si="42"/>
        <v>70-5</v>
      </c>
      <c r="AE935" s="74">
        <f t="shared" si="43"/>
        <v>5</v>
      </c>
      <c r="AF935" s="71" t="s">
        <v>1418</v>
      </c>
      <c r="AG935" s="73" t="s">
        <v>102</v>
      </c>
      <c r="BA935" s="109" t="s">
        <v>4861</v>
      </c>
      <c r="BB935" s="183">
        <v>3265102</v>
      </c>
    </row>
    <row r="936" spans="28:54" ht="15.75" thickBot="1" x14ac:dyDescent="0.3">
      <c r="AB936" s="71" t="s">
        <v>1414</v>
      </c>
      <c r="AC936" s="72" t="s">
        <v>1413</v>
      </c>
      <c r="AD936" s="73" t="str">
        <f t="shared" si="42"/>
        <v>70-6</v>
      </c>
      <c r="AE936" s="74">
        <f t="shared" si="43"/>
        <v>6</v>
      </c>
      <c r="AF936" s="71" t="s">
        <v>1419</v>
      </c>
      <c r="AG936" s="73" t="s">
        <v>104</v>
      </c>
      <c r="BA936" s="108" t="s">
        <v>4862</v>
      </c>
      <c r="BB936" s="182">
        <v>3265103</v>
      </c>
    </row>
    <row r="937" spans="28:54" ht="15.75" thickBot="1" x14ac:dyDescent="0.3">
      <c r="AB937" s="71" t="s">
        <v>1414</v>
      </c>
      <c r="AC937" s="72" t="s">
        <v>1413</v>
      </c>
      <c r="AD937" s="73" t="str">
        <f t="shared" si="42"/>
        <v>70-7</v>
      </c>
      <c r="AE937" s="74">
        <f t="shared" si="43"/>
        <v>7</v>
      </c>
      <c r="AF937" s="71" t="s">
        <v>1420</v>
      </c>
      <c r="AG937" s="73" t="s">
        <v>2071</v>
      </c>
      <c r="BA937" s="109" t="s">
        <v>4863</v>
      </c>
      <c r="BB937" s="183">
        <v>3265104</v>
      </c>
    </row>
    <row r="938" spans="28:54" ht="15.75" thickBot="1" x14ac:dyDescent="0.3">
      <c r="AB938" s="71" t="s">
        <v>1414</v>
      </c>
      <c r="AC938" s="72" t="s">
        <v>1413</v>
      </c>
      <c r="AD938" s="73" t="str">
        <f t="shared" si="42"/>
        <v>70-8</v>
      </c>
      <c r="AE938" s="74">
        <f t="shared" si="43"/>
        <v>8</v>
      </c>
      <c r="AF938" s="71" t="s">
        <v>1421</v>
      </c>
      <c r="AG938" s="73" t="s">
        <v>2035</v>
      </c>
      <c r="BA938" s="108" t="s">
        <v>4864</v>
      </c>
      <c r="BB938" s="182">
        <v>3265105</v>
      </c>
    </row>
    <row r="939" spans="28:54" ht="15.75" thickBot="1" x14ac:dyDescent="0.3">
      <c r="AB939" s="71" t="s">
        <v>1414</v>
      </c>
      <c r="AC939" s="72" t="s">
        <v>1413</v>
      </c>
      <c r="AD939" s="73" t="str">
        <f t="shared" si="42"/>
        <v>70-9</v>
      </c>
      <c r="AE939" s="74">
        <f t="shared" si="43"/>
        <v>9</v>
      </c>
      <c r="AF939" s="71" t="s">
        <v>1422</v>
      </c>
      <c r="AG939" s="73" t="s">
        <v>138</v>
      </c>
      <c r="BA939" s="109" t="s">
        <v>4865</v>
      </c>
      <c r="BB939" s="183">
        <v>3265106</v>
      </c>
    </row>
    <row r="940" spans="28:54" ht="15.75" thickBot="1" x14ac:dyDescent="0.3">
      <c r="AB940" s="71" t="s">
        <v>1414</v>
      </c>
      <c r="AC940" s="72" t="s">
        <v>1413</v>
      </c>
      <c r="AD940" s="73" t="str">
        <f t="shared" si="42"/>
        <v>70-10</v>
      </c>
      <c r="AE940" s="74">
        <f t="shared" si="43"/>
        <v>10</v>
      </c>
      <c r="AF940" s="71" t="s">
        <v>1423</v>
      </c>
      <c r="AG940" s="73" t="s">
        <v>2072</v>
      </c>
      <c r="BA940" s="108" t="s">
        <v>4866</v>
      </c>
      <c r="BB940" s="182">
        <v>3265107</v>
      </c>
    </row>
    <row r="941" spans="28:54" ht="15.75" thickBot="1" x14ac:dyDescent="0.3">
      <c r="AB941" s="71" t="s">
        <v>1414</v>
      </c>
      <c r="AC941" s="72" t="s">
        <v>1413</v>
      </c>
      <c r="AD941" s="73" t="str">
        <f t="shared" si="42"/>
        <v>70-11</v>
      </c>
      <c r="AE941" s="74">
        <f t="shared" si="43"/>
        <v>11</v>
      </c>
      <c r="AF941" s="71" t="s">
        <v>575</v>
      </c>
      <c r="AG941" s="73" t="s">
        <v>1739</v>
      </c>
      <c r="BA941" s="109" t="s">
        <v>4867</v>
      </c>
      <c r="BB941" s="183">
        <v>3265108</v>
      </c>
    </row>
    <row r="942" spans="28:54" ht="15.75" thickBot="1" x14ac:dyDescent="0.3">
      <c r="AB942" s="71" t="s">
        <v>1414</v>
      </c>
      <c r="AC942" s="72" t="s">
        <v>1413</v>
      </c>
      <c r="AD942" s="73" t="str">
        <f t="shared" si="42"/>
        <v>70-12</v>
      </c>
      <c r="AE942" s="74">
        <f t="shared" si="43"/>
        <v>12</v>
      </c>
      <c r="AF942" s="71" t="s">
        <v>1424</v>
      </c>
      <c r="AG942" s="73" t="s">
        <v>1916</v>
      </c>
      <c r="BA942" s="108" t="s">
        <v>4868</v>
      </c>
      <c r="BB942" s="182">
        <v>3265109</v>
      </c>
    </row>
    <row r="943" spans="28:54" ht="15.75" thickBot="1" x14ac:dyDescent="0.3">
      <c r="AB943" s="71" t="s">
        <v>1414</v>
      </c>
      <c r="AC943" s="72" t="s">
        <v>1413</v>
      </c>
      <c r="AD943" s="73" t="str">
        <f t="shared" si="42"/>
        <v>70-13</v>
      </c>
      <c r="AE943" s="74">
        <f t="shared" si="43"/>
        <v>13</v>
      </c>
      <c r="AF943" s="71" t="s">
        <v>1425</v>
      </c>
      <c r="AG943" s="73" t="s">
        <v>258</v>
      </c>
      <c r="BA943" s="109" t="s">
        <v>4869</v>
      </c>
      <c r="BB943" s="183">
        <v>3265110</v>
      </c>
    </row>
    <row r="944" spans="28:54" ht="15.75" thickBot="1" x14ac:dyDescent="0.3">
      <c r="AB944" s="71" t="s">
        <v>1414</v>
      </c>
      <c r="AC944" s="72" t="s">
        <v>1413</v>
      </c>
      <c r="AD944" s="73" t="str">
        <f t="shared" si="42"/>
        <v>70-14</v>
      </c>
      <c r="AE944" s="74">
        <f t="shared" si="43"/>
        <v>14</v>
      </c>
      <c r="AF944" s="71" t="s">
        <v>1426</v>
      </c>
      <c r="AG944" s="73" t="s">
        <v>1806</v>
      </c>
      <c r="BA944" s="108" t="s">
        <v>4870</v>
      </c>
      <c r="BB944" s="182">
        <v>3265201</v>
      </c>
    </row>
    <row r="945" spans="28:54" ht="15.75" thickBot="1" x14ac:dyDescent="0.3">
      <c r="AB945" s="71" t="s">
        <v>1414</v>
      </c>
      <c r="AC945" s="72" t="s">
        <v>1413</v>
      </c>
      <c r="AD945" s="73" t="str">
        <f t="shared" si="42"/>
        <v>70-15</v>
      </c>
      <c r="AE945" s="74">
        <f t="shared" si="43"/>
        <v>15</v>
      </c>
      <c r="AF945" s="71" t="s">
        <v>1427</v>
      </c>
      <c r="AG945" s="73" t="s">
        <v>320</v>
      </c>
      <c r="BA945" s="109" t="s">
        <v>4871</v>
      </c>
      <c r="BB945" s="183">
        <v>3266001</v>
      </c>
    </row>
    <row r="946" spans="28:54" ht="15.75" thickBot="1" x14ac:dyDescent="0.3">
      <c r="AB946" s="71" t="s">
        <v>1414</v>
      </c>
      <c r="AC946" s="72" t="s">
        <v>1413</v>
      </c>
      <c r="AD946" s="73" t="str">
        <f t="shared" si="42"/>
        <v>70-16</v>
      </c>
      <c r="AE946" s="74">
        <f t="shared" si="43"/>
        <v>16</v>
      </c>
      <c r="AF946" s="71" t="s">
        <v>1428</v>
      </c>
      <c r="AG946" s="73" t="s">
        <v>2073</v>
      </c>
      <c r="BA946" s="108" t="s">
        <v>4872</v>
      </c>
      <c r="BB946" s="182">
        <v>3267001</v>
      </c>
    </row>
    <row r="947" spans="28:54" ht="15.75" thickBot="1" x14ac:dyDescent="0.3">
      <c r="AB947" s="71" t="s">
        <v>1414</v>
      </c>
      <c r="AC947" s="72" t="s">
        <v>1413</v>
      </c>
      <c r="AD947" s="73" t="str">
        <f t="shared" si="42"/>
        <v>70-17</v>
      </c>
      <c r="AE947" s="74">
        <f t="shared" si="43"/>
        <v>17</v>
      </c>
      <c r="AF947" s="71" t="s">
        <v>1429</v>
      </c>
      <c r="AG947" s="73" t="s">
        <v>388</v>
      </c>
      <c r="BA947" s="109" t="s">
        <v>4873</v>
      </c>
      <c r="BB947" s="183">
        <v>3267002</v>
      </c>
    </row>
    <row r="948" spans="28:54" ht="15.75" thickBot="1" x14ac:dyDescent="0.3">
      <c r="AB948" s="71" t="s">
        <v>1414</v>
      </c>
      <c r="AC948" s="72" t="s">
        <v>1413</v>
      </c>
      <c r="AD948" s="73" t="str">
        <f t="shared" si="42"/>
        <v>70-18</v>
      </c>
      <c r="AE948" s="74">
        <f t="shared" si="43"/>
        <v>18</v>
      </c>
      <c r="AF948" s="71" t="s">
        <v>1430</v>
      </c>
      <c r="AG948" s="73" t="s">
        <v>1941</v>
      </c>
      <c r="BA948" s="108" t="s">
        <v>4874</v>
      </c>
      <c r="BB948" s="182">
        <v>3267003</v>
      </c>
    </row>
    <row r="949" spans="28:54" ht="15.75" thickBot="1" x14ac:dyDescent="0.3">
      <c r="AB949" s="71" t="s">
        <v>1414</v>
      </c>
      <c r="AC949" s="72" t="s">
        <v>1413</v>
      </c>
      <c r="AD949" s="73" t="str">
        <f t="shared" si="42"/>
        <v>70-19</v>
      </c>
      <c r="AE949" s="74">
        <f t="shared" si="43"/>
        <v>19</v>
      </c>
      <c r="AF949" s="71" t="s">
        <v>1431</v>
      </c>
      <c r="AG949" s="73" t="s">
        <v>2074</v>
      </c>
      <c r="BA949" s="109" t="s">
        <v>4875</v>
      </c>
      <c r="BB949" s="183">
        <v>3271101</v>
      </c>
    </row>
    <row r="950" spans="28:54" ht="15.75" thickBot="1" x14ac:dyDescent="0.3">
      <c r="AB950" s="71" t="s">
        <v>1414</v>
      </c>
      <c r="AC950" s="72" t="s">
        <v>1413</v>
      </c>
      <c r="AD950" s="73" t="str">
        <f t="shared" si="42"/>
        <v>70-20</v>
      </c>
      <c r="AE950" s="74">
        <f t="shared" si="43"/>
        <v>20</v>
      </c>
      <c r="AF950" s="71" t="s">
        <v>1432</v>
      </c>
      <c r="AG950" s="73" t="s">
        <v>2075</v>
      </c>
      <c r="BA950" s="108" t="s">
        <v>4876</v>
      </c>
      <c r="BB950" s="182">
        <v>3271102</v>
      </c>
    </row>
    <row r="951" spans="28:54" ht="15.75" thickBot="1" x14ac:dyDescent="0.3">
      <c r="AB951" s="71" t="s">
        <v>1414</v>
      </c>
      <c r="AC951" s="72" t="s">
        <v>1413</v>
      </c>
      <c r="AD951" s="73" t="str">
        <f t="shared" si="42"/>
        <v>70-21</v>
      </c>
      <c r="AE951" s="74">
        <f t="shared" si="43"/>
        <v>21</v>
      </c>
      <c r="AF951" s="71" t="s">
        <v>1433</v>
      </c>
      <c r="AG951" s="73" t="s">
        <v>2076</v>
      </c>
      <c r="BA951" s="109" t="s">
        <v>4877</v>
      </c>
      <c r="BB951" s="183">
        <v>3271103</v>
      </c>
    </row>
    <row r="952" spans="28:54" ht="15.75" thickBot="1" x14ac:dyDescent="0.3">
      <c r="AB952" s="71" t="s">
        <v>1414</v>
      </c>
      <c r="AC952" s="72" t="s">
        <v>1413</v>
      </c>
      <c r="AD952" s="73" t="str">
        <f t="shared" si="42"/>
        <v>70-22</v>
      </c>
      <c r="AE952" s="74">
        <f t="shared" si="43"/>
        <v>22</v>
      </c>
      <c r="AF952" s="71" t="s">
        <v>605</v>
      </c>
      <c r="AG952" s="73" t="s">
        <v>2077</v>
      </c>
      <c r="BA952" s="108" t="s">
        <v>4878</v>
      </c>
      <c r="BB952" s="182">
        <v>3271201</v>
      </c>
    </row>
    <row r="953" spans="28:54" ht="15.75" thickBot="1" x14ac:dyDescent="0.3">
      <c r="AB953" s="71" t="s">
        <v>1414</v>
      </c>
      <c r="AC953" s="72" t="s">
        <v>1413</v>
      </c>
      <c r="AD953" s="73" t="str">
        <f t="shared" si="42"/>
        <v>70-23</v>
      </c>
      <c r="AE953" s="74">
        <f t="shared" si="43"/>
        <v>23</v>
      </c>
      <c r="AF953" s="71" t="s">
        <v>1434</v>
      </c>
      <c r="AG953" s="73" t="s">
        <v>2078</v>
      </c>
      <c r="BA953" s="109" t="s">
        <v>4879</v>
      </c>
      <c r="BB953" s="183">
        <v>3273201</v>
      </c>
    </row>
    <row r="954" spans="28:54" ht="15.75" thickBot="1" x14ac:dyDescent="0.3">
      <c r="AB954" s="71" t="s">
        <v>1414</v>
      </c>
      <c r="AC954" s="72" t="s">
        <v>1413</v>
      </c>
      <c r="AD954" s="73" t="str">
        <f t="shared" si="42"/>
        <v>70-24</v>
      </c>
      <c r="AE954" s="74">
        <f t="shared" si="43"/>
        <v>24</v>
      </c>
      <c r="AF954" s="71" t="s">
        <v>907</v>
      </c>
      <c r="AG954" s="73" t="s">
        <v>2079</v>
      </c>
      <c r="BA954" s="108" t="s">
        <v>4880</v>
      </c>
      <c r="BB954" s="182">
        <v>3274001</v>
      </c>
    </row>
    <row r="955" spans="28:54" ht="15.75" thickBot="1" x14ac:dyDescent="0.3">
      <c r="AB955" s="71" t="s">
        <v>1414</v>
      </c>
      <c r="AC955" s="72" t="s">
        <v>1413</v>
      </c>
      <c r="AD955" s="73" t="str">
        <f t="shared" si="42"/>
        <v>70-25</v>
      </c>
      <c r="AE955" s="74">
        <f t="shared" si="43"/>
        <v>25</v>
      </c>
      <c r="AF955" s="71" t="s">
        <v>1435</v>
      </c>
      <c r="AG955" s="73" t="s">
        <v>466</v>
      </c>
      <c r="BA955" s="109" t="s">
        <v>4881</v>
      </c>
      <c r="BB955" s="183">
        <v>3274002</v>
      </c>
    </row>
    <row r="956" spans="28:54" ht="15.75" thickBot="1" x14ac:dyDescent="0.3">
      <c r="AB956" s="71" t="s">
        <v>1414</v>
      </c>
      <c r="AC956" s="72" t="s">
        <v>1413</v>
      </c>
      <c r="AD956" s="73" t="str">
        <f t="shared" si="42"/>
        <v>70-26</v>
      </c>
      <c r="AE956" s="74">
        <f t="shared" si="43"/>
        <v>26</v>
      </c>
      <c r="AF956" s="71" t="s">
        <v>1436</v>
      </c>
      <c r="AG956" s="73" t="s">
        <v>468</v>
      </c>
      <c r="BA956" s="108" t="s">
        <v>4882</v>
      </c>
      <c r="BB956" s="182">
        <v>3275001</v>
      </c>
    </row>
    <row r="957" spans="28:54" ht="15.75" thickBot="1" x14ac:dyDescent="0.3">
      <c r="AB957" s="71" t="s">
        <v>1438</v>
      </c>
      <c r="AC957" s="72" t="s">
        <v>1437</v>
      </c>
      <c r="AD957" s="73" t="str">
        <f t="shared" si="42"/>
        <v>73-1</v>
      </c>
      <c r="AE957" s="74">
        <f t="shared" si="43"/>
        <v>1</v>
      </c>
      <c r="AF957" s="71" t="s">
        <v>1439</v>
      </c>
      <c r="AG957" s="73" t="s">
        <v>334</v>
      </c>
      <c r="BA957" s="109" t="s">
        <v>4883</v>
      </c>
      <c r="BB957" s="183">
        <v>3275002</v>
      </c>
    </row>
    <row r="958" spans="28:54" ht="15.75" thickBot="1" x14ac:dyDescent="0.3">
      <c r="AB958" s="71" t="s">
        <v>1438</v>
      </c>
      <c r="AC958" s="72" t="s">
        <v>1437</v>
      </c>
      <c r="AD958" s="73" t="str">
        <f t="shared" si="42"/>
        <v>73-2</v>
      </c>
      <c r="AE958" s="74">
        <f t="shared" si="43"/>
        <v>2</v>
      </c>
      <c r="AF958" s="71" t="s">
        <v>1440</v>
      </c>
      <c r="AG958" s="73" t="s">
        <v>2080</v>
      </c>
      <c r="BA958" s="108" t="s">
        <v>4884</v>
      </c>
      <c r="BB958" s="182">
        <v>3279001</v>
      </c>
    </row>
    <row r="959" spans="28:54" ht="15.75" thickBot="1" x14ac:dyDescent="0.3">
      <c r="AB959" s="71" t="s">
        <v>1438</v>
      </c>
      <c r="AC959" s="72" t="s">
        <v>1437</v>
      </c>
      <c r="AD959" s="73" t="str">
        <f t="shared" si="42"/>
        <v>73-3</v>
      </c>
      <c r="AE959" s="74">
        <f t="shared" si="43"/>
        <v>3</v>
      </c>
      <c r="AF959" s="71" t="s">
        <v>1441</v>
      </c>
      <c r="AG959" s="73" t="s">
        <v>38</v>
      </c>
      <c r="BA959" s="109" t="s">
        <v>4885</v>
      </c>
      <c r="BB959" s="183">
        <v>3279002</v>
      </c>
    </row>
    <row r="960" spans="28:54" ht="15.75" thickBot="1" x14ac:dyDescent="0.3">
      <c r="AB960" s="71" t="s">
        <v>1438</v>
      </c>
      <c r="AC960" s="72" t="s">
        <v>1437</v>
      </c>
      <c r="AD960" s="73" t="str">
        <f t="shared" si="42"/>
        <v>73-4</v>
      </c>
      <c r="AE960" s="74">
        <f t="shared" si="43"/>
        <v>4</v>
      </c>
      <c r="AF960" s="71" t="s">
        <v>1442</v>
      </c>
      <c r="AG960" s="73" t="s">
        <v>1690</v>
      </c>
      <c r="BA960" s="108" t="s">
        <v>4886</v>
      </c>
      <c r="BB960" s="182">
        <v>3279003</v>
      </c>
    </row>
    <row r="961" spans="28:54" ht="15.75" thickBot="1" x14ac:dyDescent="0.3">
      <c r="AB961" s="71" t="s">
        <v>1438</v>
      </c>
      <c r="AC961" s="72" t="s">
        <v>1437</v>
      </c>
      <c r="AD961" s="73" t="str">
        <f t="shared" si="42"/>
        <v>73-5</v>
      </c>
      <c r="AE961" s="74">
        <f t="shared" si="43"/>
        <v>5</v>
      </c>
      <c r="AF961" s="71" t="s">
        <v>1443</v>
      </c>
      <c r="AG961" s="73" t="s">
        <v>28</v>
      </c>
      <c r="BA961" s="109" t="s">
        <v>4887</v>
      </c>
      <c r="BB961" s="183">
        <v>3279004</v>
      </c>
    </row>
    <row r="962" spans="28:54" ht="15.75" thickBot="1" x14ac:dyDescent="0.3">
      <c r="AB962" s="71" t="s">
        <v>1438</v>
      </c>
      <c r="AC962" s="72" t="s">
        <v>1437</v>
      </c>
      <c r="AD962" s="73" t="str">
        <f t="shared" si="42"/>
        <v>73-6</v>
      </c>
      <c r="AE962" s="74">
        <f t="shared" si="43"/>
        <v>6</v>
      </c>
      <c r="AF962" s="71" t="s">
        <v>1444</v>
      </c>
      <c r="AG962" s="73" t="s">
        <v>1698</v>
      </c>
      <c r="BA962" s="108" t="s">
        <v>4888</v>
      </c>
      <c r="BB962" s="182">
        <v>3279005</v>
      </c>
    </row>
    <row r="963" spans="28:54" ht="15.75" thickBot="1" x14ac:dyDescent="0.3">
      <c r="AB963" s="71" t="s">
        <v>1438</v>
      </c>
      <c r="AC963" s="72" t="s">
        <v>1437</v>
      </c>
      <c r="AD963" s="73" t="str">
        <f t="shared" ref="AD963:AD1026" si="44">CONCATENATE(AC963,"-",AE963)</f>
        <v>73-7</v>
      </c>
      <c r="AE963" s="74">
        <f t="shared" ref="AE963:AE1026" si="45">IF(AB963=AB962,1+AE962,1)</f>
        <v>7</v>
      </c>
      <c r="AF963" s="71" t="s">
        <v>1445</v>
      </c>
      <c r="AG963" s="73" t="s">
        <v>2081</v>
      </c>
      <c r="BA963" s="109" t="s">
        <v>4889</v>
      </c>
      <c r="BB963" s="183">
        <v>3279006</v>
      </c>
    </row>
    <row r="964" spans="28:54" ht="15.75" thickBot="1" x14ac:dyDescent="0.3">
      <c r="AB964" s="71" t="s">
        <v>1438</v>
      </c>
      <c r="AC964" s="72" t="s">
        <v>1437</v>
      </c>
      <c r="AD964" s="73" t="str">
        <f t="shared" si="44"/>
        <v>73-8</v>
      </c>
      <c r="AE964" s="74">
        <f t="shared" si="45"/>
        <v>8</v>
      </c>
      <c r="AF964" s="71" t="s">
        <v>1446</v>
      </c>
      <c r="AG964" s="73" t="s">
        <v>2022</v>
      </c>
      <c r="BA964" s="108" t="s">
        <v>4890</v>
      </c>
      <c r="BB964" s="182">
        <v>3281701</v>
      </c>
    </row>
    <row r="965" spans="28:54" ht="15.75" thickBot="1" x14ac:dyDescent="0.3">
      <c r="AB965" s="71" t="s">
        <v>1438</v>
      </c>
      <c r="AC965" s="72" t="s">
        <v>1437</v>
      </c>
      <c r="AD965" s="73" t="str">
        <f t="shared" si="44"/>
        <v>73-9</v>
      </c>
      <c r="AE965" s="74">
        <f t="shared" si="45"/>
        <v>9</v>
      </c>
      <c r="AF965" s="71" t="s">
        <v>1447</v>
      </c>
      <c r="AG965" s="73" t="s">
        <v>1710</v>
      </c>
      <c r="BA965" s="109" t="s">
        <v>4891</v>
      </c>
      <c r="BB965" s="183">
        <v>3281801</v>
      </c>
    </row>
    <row r="966" spans="28:54" ht="15.75" thickBot="1" x14ac:dyDescent="0.3">
      <c r="AB966" s="71" t="s">
        <v>1438</v>
      </c>
      <c r="AC966" s="72" t="s">
        <v>1437</v>
      </c>
      <c r="AD966" s="73" t="str">
        <f t="shared" si="44"/>
        <v>73-10</v>
      </c>
      <c r="AE966" s="74">
        <f t="shared" si="45"/>
        <v>10</v>
      </c>
      <c r="AF966" s="71" t="s">
        <v>1448</v>
      </c>
      <c r="AG966" s="73" t="s">
        <v>2060</v>
      </c>
      <c r="BA966" s="108" t="s">
        <v>4892</v>
      </c>
      <c r="BB966" s="182">
        <v>3281901</v>
      </c>
    </row>
    <row r="967" spans="28:54" ht="15.75" thickBot="1" x14ac:dyDescent="0.3">
      <c r="AB967" s="71" t="s">
        <v>1438</v>
      </c>
      <c r="AC967" s="72" t="s">
        <v>1437</v>
      </c>
      <c r="AD967" s="73" t="str">
        <f t="shared" si="44"/>
        <v>73-11</v>
      </c>
      <c r="AE967" s="74">
        <f t="shared" si="45"/>
        <v>11</v>
      </c>
      <c r="AF967" s="71" t="s">
        <v>1449</v>
      </c>
      <c r="AG967" s="73" t="s">
        <v>1933</v>
      </c>
      <c r="BA967" s="109" t="s">
        <v>4893</v>
      </c>
      <c r="BB967" s="183">
        <v>3281902</v>
      </c>
    </row>
    <row r="968" spans="28:54" ht="15.75" thickBot="1" x14ac:dyDescent="0.3">
      <c r="AB968" s="71" t="s">
        <v>1438</v>
      </c>
      <c r="AC968" s="72" t="s">
        <v>1437</v>
      </c>
      <c r="AD968" s="73" t="str">
        <f t="shared" si="44"/>
        <v>73-12</v>
      </c>
      <c r="AE968" s="74">
        <f t="shared" si="45"/>
        <v>12</v>
      </c>
      <c r="AF968" s="71" t="s">
        <v>1450</v>
      </c>
      <c r="AG968" s="73" t="s">
        <v>1950</v>
      </c>
      <c r="BA968" s="108" t="s">
        <v>4894</v>
      </c>
      <c r="BB968" s="182">
        <v>3282101</v>
      </c>
    </row>
    <row r="969" spans="28:54" ht="15.75" thickBot="1" x14ac:dyDescent="0.3">
      <c r="AB969" s="71" t="s">
        <v>1438</v>
      </c>
      <c r="AC969" s="72" t="s">
        <v>1437</v>
      </c>
      <c r="AD969" s="73" t="str">
        <f t="shared" si="44"/>
        <v>73-13</v>
      </c>
      <c r="AE969" s="74">
        <f t="shared" si="45"/>
        <v>13</v>
      </c>
      <c r="AF969" s="71" t="s">
        <v>1451</v>
      </c>
      <c r="AG969" s="73" t="s">
        <v>2063</v>
      </c>
      <c r="BA969" s="109" t="s">
        <v>4895</v>
      </c>
      <c r="BB969" s="183">
        <v>3282102</v>
      </c>
    </row>
    <row r="970" spans="28:54" ht="15.75" thickBot="1" x14ac:dyDescent="0.3">
      <c r="AB970" s="71" t="s">
        <v>1438</v>
      </c>
      <c r="AC970" s="72" t="s">
        <v>1437</v>
      </c>
      <c r="AD970" s="73" t="str">
        <f t="shared" si="44"/>
        <v>73-14</v>
      </c>
      <c r="AE970" s="74">
        <f t="shared" si="45"/>
        <v>14</v>
      </c>
      <c r="AF970" s="71" t="s">
        <v>1452</v>
      </c>
      <c r="AG970" s="73" t="s">
        <v>1836</v>
      </c>
      <c r="BA970" s="108" t="s">
        <v>4896</v>
      </c>
      <c r="BB970" s="182">
        <v>3282201</v>
      </c>
    </row>
    <row r="971" spans="28:54" ht="15.75" thickBot="1" x14ac:dyDescent="0.3">
      <c r="AB971" s="71" t="s">
        <v>1438</v>
      </c>
      <c r="AC971" s="72" t="s">
        <v>1437</v>
      </c>
      <c r="AD971" s="73" t="str">
        <f t="shared" si="44"/>
        <v>73-15</v>
      </c>
      <c r="AE971" s="74">
        <f t="shared" si="45"/>
        <v>15</v>
      </c>
      <c r="AF971" s="71" t="s">
        <v>1453</v>
      </c>
      <c r="AG971" s="73" t="s">
        <v>1837</v>
      </c>
      <c r="BA971" s="109" t="s">
        <v>4897</v>
      </c>
      <c r="BB971" s="183">
        <v>3282202</v>
      </c>
    </row>
    <row r="972" spans="28:54" ht="15.75" thickBot="1" x14ac:dyDescent="0.3">
      <c r="AB972" s="71" t="s">
        <v>1438</v>
      </c>
      <c r="AC972" s="72" t="s">
        <v>1437</v>
      </c>
      <c r="AD972" s="73" t="str">
        <f t="shared" si="44"/>
        <v>73-16</v>
      </c>
      <c r="AE972" s="74">
        <f t="shared" si="45"/>
        <v>16</v>
      </c>
      <c r="AF972" s="71" t="s">
        <v>1454</v>
      </c>
      <c r="AG972" s="73" t="s">
        <v>1801</v>
      </c>
      <c r="BA972" s="108" t="s">
        <v>4898</v>
      </c>
      <c r="BB972" s="182">
        <v>3282203</v>
      </c>
    </row>
    <row r="973" spans="28:54" ht="15.75" thickBot="1" x14ac:dyDescent="0.3">
      <c r="AB973" s="71" t="s">
        <v>1438</v>
      </c>
      <c r="AC973" s="72" t="s">
        <v>1437</v>
      </c>
      <c r="AD973" s="73" t="str">
        <f t="shared" si="44"/>
        <v>73-17</v>
      </c>
      <c r="AE973" s="74">
        <f t="shared" si="45"/>
        <v>17</v>
      </c>
      <c r="AF973" s="71" t="s">
        <v>1455</v>
      </c>
      <c r="AG973" s="73" t="s">
        <v>2023</v>
      </c>
      <c r="BA973" s="109" t="s">
        <v>4899</v>
      </c>
      <c r="BB973" s="183">
        <v>3282601</v>
      </c>
    </row>
    <row r="974" spans="28:54" ht="15.75" thickBot="1" x14ac:dyDescent="0.3">
      <c r="AB974" s="71" t="s">
        <v>1438</v>
      </c>
      <c r="AC974" s="72" t="s">
        <v>1437</v>
      </c>
      <c r="AD974" s="73" t="str">
        <f t="shared" si="44"/>
        <v>73-18</v>
      </c>
      <c r="AE974" s="74">
        <f t="shared" si="45"/>
        <v>18</v>
      </c>
      <c r="AF974" s="71" t="s">
        <v>1456</v>
      </c>
      <c r="AG974" s="73" t="s">
        <v>170</v>
      </c>
      <c r="BA974" s="108" t="s">
        <v>4900</v>
      </c>
      <c r="BB974" s="182">
        <v>3282901</v>
      </c>
    </row>
    <row r="975" spans="28:54" ht="15.75" thickBot="1" x14ac:dyDescent="0.3">
      <c r="AB975" s="71" t="s">
        <v>1438</v>
      </c>
      <c r="AC975" s="72" t="s">
        <v>1437</v>
      </c>
      <c r="AD975" s="73" t="str">
        <f t="shared" si="44"/>
        <v>73-19</v>
      </c>
      <c r="AE975" s="74">
        <f t="shared" si="45"/>
        <v>19</v>
      </c>
      <c r="AF975" s="71" t="s">
        <v>1457</v>
      </c>
      <c r="AG975" s="73" t="s">
        <v>2082</v>
      </c>
      <c r="BA975" s="109" t="s">
        <v>4901</v>
      </c>
      <c r="BB975" s="183">
        <v>3282902</v>
      </c>
    </row>
    <row r="976" spans="28:54" ht="15.75" thickBot="1" x14ac:dyDescent="0.3">
      <c r="AB976" s="71" t="s">
        <v>1438</v>
      </c>
      <c r="AC976" s="72" t="s">
        <v>1437</v>
      </c>
      <c r="AD976" s="73" t="str">
        <f t="shared" si="44"/>
        <v>73-20</v>
      </c>
      <c r="AE976" s="74">
        <f t="shared" si="45"/>
        <v>20</v>
      </c>
      <c r="AF976" s="71" t="s">
        <v>1458</v>
      </c>
      <c r="AG976" s="73" t="s">
        <v>2000</v>
      </c>
      <c r="BA976" s="108" t="s">
        <v>4902</v>
      </c>
      <c r="BB976" s="182">
        <v>3282903</v>
      </c>
    </row>
    <row r="977" spans="28:54" ht="15.75" thickBot="1" x14ac:dyDescent="0.3">
      <c r="AB977" s="71" t="s">
        <v>1438</v>
      </c>
      <c r="AC977" s="72" t="s">
        <v>1437</v>
      </c>
      <c r="AD977" s="73" t="str">
        <f t="shared" si="44"/>
        <v>73-21</v>
      </c>
      <c r="AE977" s="74">
        <f t="shared" si="45"/>
        <v>21</v>
      </c>
      <c r="AF977" s="71" t="s">
        <v>1459</v>
      </c>
      <c r="AG977" s="73" t="s">
        <v>1731</v>
      </c>
      <c r="BA977" s="109" t="s">
        <v>4903</v>
      </c>
      <c r="BB977" s="183">
        <v>3292001</v>
      </c>
    </row>
    <row r="978" spans="28:54" ht="15.75" thickBot="1" x14ac:dyDescent="0.3">
      <c r="AB978" s="71" t="s">
        <v>1438</v>
      </c>
      <c r="AC978" s="72" t="s">
        <v>1437</v>
      </c>
      <c r="AD978" s="73" t="str">
        <f t="shared" si="44"/>
        <v>73-22</v>
      </c>
      <c r="AE978" s="74">
        <f t="shared" si="45"/>
        <v>22</v>
      </c>
      <c r="AF978" s="71" t="s">
        <v>1460</v>
      </c>
      <c r="AG978" s="73" t="s">
        <v>2001</v>
      </c>
      <c r="BA978" s="108" t="s">
        <v>4904</v>
      </c>
      <c r="BB978" s="182">
        <v>3292002</v>
      </c>
    </row>
    <row r="979" spans="28:54" ht="15.75" thickBot="1" x14ac:dyDescent="0.3">
      <c r="AB979" s="71" t="s">
        <v>1438</v>
      </c>
      <c r="AC979" s="72" t="s">
        <v>1437</v>
      </c>
      <c r="AD979" s="73" t="str">
        <f t="shared" si="44"/>
        <v>73-23</v>
      </c>
      <c r="AE979" s="74">
        <f t="shared" si="45"/>
        <v>23</v>
      </c>
      <c r="AF979" s="71" t="s">
        <v>1461</v>
      </c>
      <c r="AG979" s="73" t="s">
        <v>2038</v>
      </c>
      <c r="BA979" s="109" t="s">
        <v>4905</v>
      </c>
      <c r="BB979" s="183">
        <v>3309101</v>
      </c>
    </row>
    <row r="980" spans="28:54" ht="15.75" thickBot="1" x14ac:dyDescent="0.3">
      <c r="AB980" s="71" t="s">
        <v>1438</v>
      </c>
      <c r="AC980" s="72" t="s">
        <v>1437</v>
      </c>
      <c r="AD980" s="73" t="str">
        <f t="shared" si="44"/>
        <v>73-24</v>
      </c>
      <c r="AE980" s="74">
        <f t="shared" si="45"/>
        <v>24</v>
      </c>
      <c r="AF980" s="71" t="s">
        <v>1462</v>
      </c>
      <c r="AG980" s="73" t="s">
        <v>2083</v>
      </c>
      <c r="BA980" s="108" t="s">
        <v>4906</v>
      </c>
      <c r="BB980" s="182">
        <v>3309201</v>
      </c>
    </row>
    <row r="981" spans="28:54" ht="15.75" thickBot="1" x14ac:dyDescent="0.3">
      <c r="AB981" s="71" t="s">
        <v>1438</v>
      </c>
      <c r="AC981" s="72" t="s">
        <v>1437</v>
      </c>
      <c r="AD981" s="73" t="str">
        <f t="shared" si="44"/>
        <v>73-25</v>
      </c>
      <c r="AE981" s="74">
        <f t="shared" si="45"/>
        <v>25</v>
      </c>
      <c r="AF981" s="71" t="s">
        <v>1463</v>
      </c>
      <c r="AG981" s="73" t="s">
        <v>250</v>
      </c>
      <c r="BA981" s="109" t="s">
        <v>4907</v>
      </c>
      <c r="BB981" s="183">
        <v>3309202</v>
      </c>
    </row>
    <row r="982" spans="28:54" ht="15.75" thickBot="1" x14ac:dyDescent="0.3">
      <c r="AB982" s="71" t="s">
        <v>1438</v>
      </c>
      <c r="AC982" s="72" t="s">
        <v>1437</v>
      </c>
      <c r="AD982" s="73" t="str">
        <f t="shared" si="44"/>
        <v>73-26</v>
      </c>
      <c r="AE982" s="74">
        <f t="shared" si="45"/>
        <v>26</v>
      </c>
      <c r="AF982" s="71" t="s">
        <v>1464</v>
      </c>
      <c r="AG982" s="73" t="s">
        <v>268</v>
      </c>
      <c r="BA982" s="108" t="s">
        <v>4908</v>
      </c>
      <c r="BB982" s="182">
        <v>3309901</v>
      </c>
    </row>
    <row r="983" spans="28:54" ht="15.75" thickBot="1" x14ac:dyDescent="0.3">
      <c r="AB983" s="71" t="s">
        <v>1438</v>
      </c>
      <c r="AC983" s="72" t="s">
        <v>1437</v>
      </c>
      <c r="AD983" s="73" t="str">
        <f t="shared" si="44"/>
        <v>73-27</v>
      </c>
      <c r="AE983" s="74">
        <f t="shared" si="45"/>
        <v>27</v>
      </c>
      <c r="AF983" s="71" t="s">
        <v>1465</v>
      </c>
      <c r="AG983" s="73" t="s">
        <v>2084</v>
      </c>
      <c r="BA983" s="109" t="s">
        <v>4909</v>
      </c>
      <c r="BB983" s="183">
        <v>3311001</v>
      </c>
    </row>
    <row r="984" spans="28:54" ht="15.75" thickBot="1" x14ac:dyDescent="0.3">
      <c r="AB984" s="71" t="s">
        <v>1438</v>
      </c>
      <c r="AC984" s="72" t="s">
        <v>1437</v>
      </c>
      <c r="AD984" s="73" t="str">
        <f t="shared" si="44"/>
        <v>73-28</v>
      </c>
      <c r="AE984" s="74">
        <f t="shared" si="45"/>
        <v>28</v>
      </c>
      <c r="AF984" s="71" t="s">
        <v>1466</v>
      </c>
      <c r="AG984" s="73" t="s">
        <v>282</v>
      </c>
      <c r="BA984" s="108" t="s">
        <v>4910</v>
      </c>
      <c r="BB984" s="182">
        <v>3312001</v>
      </c>
    </row>
    <row r="985" spans="28:54" ht="15.75" thickBot="1" x14ac:dyDescent="0.3">
      <c r="AB985" s="71" t="s">
        <v>1438</v>
      </c>
      <c r="AC985" s="72" t="s">
        <v>1437</v>
      </c>
      <c r="AD985" s="73" t="str">
        <f t="shared" si="44"/>
        <v>73-29</v>
      </c>
      <c r="AE985" s="74">
        <f t="shared" si="45"/>
        <v>29</v>
      </c>
      <c r="AF985" s="71" t="s">
        <v>1467</v>
      </c>
      <c r="AG985" s="73" t="s">
        <v>1743</v>
      </c>
      <c r="BA985" s="109" t="s">
        <v>4911</v>
      </c>
      <c r="BB985" s="183">
        <v>3321001</v>
      </c>
    </row>
    <row r="986" spans="28:54" ht="15.75" thickBot="1" x14ac:dyDescent="0.3">
      <c r="AB986" s="71" t="s">
        <v>1438</v>
      </c>
      <c r="AC986" s="72" t="s">
        <v>1437</v>
      </c>
      <c r="AD986" s="73" t="str">
        <f t="shared" si="44"/>
        <v>73-30</v>
      </c>
      <c r="AE986" s="74">
        <f t="shared" si="45"/>
        <v>30</v>
      </c>
      <c r="AF986" s="71" t="s">
        <v>1468</v>
      </c>
      <c r="AG986" s="73" t="s">
        <v>2085</v>
      </c>
      <c r="BA986" s="108" t="s">
        <v>4912</v>
      </c>
      <c r="BB986" s="182">
        <v>3321002</v>
      </c>
    </row>
    <row r="987" spans="28:54" ht="15.75" thickBot="1" x14ac:dyDescent="0.3">
      <c r="AB987" s="71" t="s">
        <v>1438</v>
      </c>
      <c r="AC987" s="72" t="s">
        <v>1437</v>
      </c>
      <c r="AD987" s="73" t="str">
        <f t="shared" si="44"/>
        <v>73-31</v>
      </c>
      <c r="AE987" s="74">
        <f t="shared" si="45"/>
        <v>31</v>
      </c>
      <c r="AF987" s="71" t="s">
        <v>1469</v>
      </c>
      <c r="AG987" s="73" t="s">
        <v>1783</v>
      </c>
      <c r="BA987" s="109" t="s">
        <v>4913</v>
      </c>
      <c r="BB987" s="183">
        <v>3321003</v>
      </c>
    </row>
    <row r="988" spans="28:54" ht="15.75" thickBot="1" x14ac:dyDescent="0.3">
      <c r="AB988" s="71" t="s">
        <v>1438</v>
      </c>
      <c r="AC988" s="72" t="s">
        <v>1437</v>
      </c>
      <c r="AD988" s="73" t="str">
        <f t="shared" si="44"/>
        <v>73-32</v>
      </c>
      <c r="AE988" s="74">
        <f t="shared" si="45"/>
        <v>32</v>
      </c>
      <c r="AF988" s="71" t="s">
        <v>1470</v>
      </c>
      <c r="AG988" s="73" t="s">
        <v>2067</v>
      </c>
      <c r="BA988" s="108" t="s">
        <v>4914</v>
      </c>
      <c r="BB988" s="182">
        <v>3322001</v>
      </c>
    </row>
    <row r="989" spans="28:54" ht="15.75" thickBot="1" x14ac:dyDescent="0.3">
      <c r="AB989" s="71" t="s">
        <v>1438</v>
      </c>
      <c r="AC989" s="72" t="s">
        <v>1437</v>
      </c>
      <c r="AD989" s="73" t="str">
        <f t="shared" si="44"/>
        <v>73-33</v>
      </c>
      <c r="AE989" s="74">
        <f t="shared" si="45"/>
        <v>33</v>
      </c>
      <c r="AF989" s="71" t="s">
        <v>1471</v>
      </c>
      <c r="AG989" s="73" t="s">
        <v>1938</v>
      </c>
      <c r="BA989" s="109" t="s">
        <v>4915</v>
      </c>
      <c r="BB989" s="183">
        <v>3322002</v>
      </c>
    </row>
    <row r="990" spans="28:54" ht="15.75" thickBot="1" x14ac:dyDescent="0.3">
      <c r="AB990" s="71" t="s">
        <v>1438</v>
      </c>
      <c r="AC990" s="72" t="s">
        <v>1437</v>
      </c>
      <c r="AD990" s="73" t="str">
        <f t="shared" si="44"/>
        <v>73-34</v>
      </c>
      <c r="AE990" s="74">
        <f t="shared" si="45"/>
        <v>34</v>
      </c>
      <c r="AF990" s="71" t="s">
        <v>1472</v>
      </c>
      <c r="AG990" s="73" t="s">
        <v>2086</v>
      </c>
      <c r="BA990" s="108" t="s">
        <v>4916</v>
      </c>
      <c r="BB990" s="182">
        <v>3322003</v>
      </c>
    </row>
    <row r="991" spans="28:54" ht="15.75" thickBot="1" x14ac:dyDescent="0.3">
      <c r="AB991" s="71" t="s">
        <v>1438</v>
      </c>
      <c r="AC991" s="72" t="s">
        <v>1437</v>
      </c>
      <c r="AD991" s="73" t="str">
        <f t="shared" si="44"/>
        <v>73-35</v>
      </c>
      <c r="AE991" s="74">
        <f t="shared" si="45"/>
        <v>35</v>
      </c>
      <c r="AF991" s="71" t="s">
        <v>1473</v>
      </c>
      <c r="AG991" s="73" t="s">
        <v>1747</v>
      </c>
      <c r="BA991" s="109" t="s">
        <v>4917</v>
      </c>
      <c r="BB991" s="183">
        <v>3324001</v>
      </c>
    </row>
    <row r="992" spans="28:54" ht="15.75" thickBot="1" x14ac:dyDescent="0.3">
      <c r="AB992" s="71" t="s">
        <v>1438</v>
      </c>
      <c r="AC992" s="72" t="s">
        <v>1437</v>
      </c>
      <c r="AD992" s="73" t="str">
        <f t="shared" si="44"/>
        <v>73-36</v>
      </c>
      <c r="AE992" s="74">
        <f t="shared" si="45"/>
        <v>36</v>
      </c>
      <c r="AF992" s="71" t="s">
        <v>1474</v>
      </c>
      <c r="AG992" s="73" t="s">
        <v>1894</v>
      </c>
      <c r="BA992" s="108" t="s">
        <v>4918</v>
      </c>
      <c r="BB992" s="182">
        <v>3324002</v>
      </c>
    </row>
    <row r="993" spans="28:54" ht="15.75" thickBot="1" x14ac:dyDescent="0.3">
      <c r="AB993" s="71" t="s">
        <v>1438</v>
      </c>
      <c r="AC993" s="72" t="s">
        <v>1437</v>
      </c>
      <c r="AD993" s="73" t="str">
        <f t="shared" si="44"/>
        <v>73-37</v>
      </c>
      <c r="AE993" s="74">
        <f t="shared" si="45"/>
        <v>37</v>
      </c>
      <c r="AF993" s="71" t="s">
        <v>1475</v>
      </c>
      <c r="AG993" s="73" t="s">
        <v>1918</v>
      </c>
      <c r="BA993" s="109" t="s">
        <v>4919</v>
      </c>
      <c r="BB993" s="183">
        <v>3324003</v>
      </c>
    </row>
    <row r="994" spans="28:54" ht="15.75" thickBot="1" x14ac:dyDescent="0.3">
      <c r="AB994" s="71" t="s">
        <v>1438</v>
      </c>
      <c r="AC994" s="72" t="s">
        <v>1437</v>
      </c>
      <c r="AD994" s="73" t="str">
        <f t="shared" si="44"/>
        <v>73-38</v>
      </c>
      <c r="AE994" s="74">
        <f t="shared" si="45"/>
        <v>38</v>
      </c>
      <c r="AF994" s="71" t="s">
        <v>1476</v>
      </c>
      <c r="AG994" s="73" t="s">
        <v>2087</v>
      </c>
      <c r="BA994" s="108" t="s">
        <v>4920</v>
      </c>
      <c r="BB994" s="182">
        <v>3325001</v>
      </c>
    </row>
    <row r="995" spans="28:54" ht="15.75" thickBot="1" x14ac:dyDescent="0.3">
      <c r="AB995" s="71" t="s">
        <v>1438</v>
      </c>
      <c r="AC995" s="72" t="s">
        <v>1437</v>
      </c>
      <c r="AD995" s="73" t="str">
        <f t="shared" si="44"/>
        <v>73-39</v>
      </c>
      <c r="AE995" s="74">
        <f t="shared" si="45"/>
        <v>39</v>
      </c>
      <c r="AF995" s="71" t="s">
        <v>1477</v>
      </c>
      <c r="AG995" s="73" t="s">
        <v>2088</v>
      </c>
      <c r="BA995" s="109" t="s">
        <v>4921</v>
      </c>
      <c r="BB995" s="183">
        <v>3325002</v>
      </c>
    </row>
    <row r="996" spans="28:54" ht="15.75" thickBot="1" x14ac:dyDescent="0.3">
      <c r="AB996" s="71" t="s">
        <v>1438</v>
      </c>
      <c r="AC996" s="72" t="s">
        <v>1437</v>
      </c>
      <c r="AD996" s="73" t="str">
        <f t="shared" si="44"/>
        <v>73-40</v>
      </c>
      <c r="AE996" s="74">
        <f t="shared" si="45"/>
        <v>40</v>
      </c>
      <c r="AF996" s="71" t="s">
        <v>1478</v>
      </c>
      <c r="AG996" s="73" t="s">
        <v>392</v>
      </c>
      <c r="BA996" s="108" t="s">
        <v>4922</v>
      </c>
      <c r="BB996" s="182">
        <v>3325003</v>
      </c>
    </row>
    <row r="997" spans="28:54" ht="15.75" thickBot="1" x14ac:dyDescent="0.3">
      <c r="AB997" s="71" t="s">
        <v>1438</v>
      </c>
      <c r="AC997" s="72" t="s">
        <v>1437</v>
      </c>
      <c r="AD997" s="73" t="str">
        <f t="shared" si="44"/>
        <v>73-41</v>
      </c>
      <c r="AE997" s="74">
        <f t="shared" si="45"/>
        <v>41</v>
      </c>
      <c r="AF997" s="71" t="s">
        <v>604</v>
      </c>
      <c r="AG997" s="73" t="s">
        <v>1941</v>
      </c>
      <c r="BA997" s="109" t="s">
        <v>4923</v>
      </c>
      <c r="BB997" s="183">
        <v>3325004</v>
      </c>
    </row>
    <row r="998" spans="28:54" ht="15.75" thickBot="1" x14ac:dyDescent="0.3">
      <c r="AB998" s="71" t="s">
        <v>1438</v>
      </c>
      <c r="AC998" s="72" t="s">
        <v>1437</v>
      </c>
      <c r="AD998" s="73" t="str">
        <f t="shared" si="44"/>
        <v>73-42</v>
      </c>
      <c r="AE998" s="74">
        <f t="shared" si="45"/>
        <v>42</v>
      </c>
      <c r="AF998" s="71" t="s">
        <v>1479</v>
      </c>
      <c r="AG998" s="73" t="s">
        <v>1762</v>
      </c>
      <c r="BA998" s="108" t="s">
        <v>4924</v>
      </c>
      <c r="BB998" s="182">
        <v>3325005</v>
      </c>
    </row>
    <row r="999" spans="28:54" ht="15.75" thickBot="1" x14ac:dyDescent="0.3">
      <c r="AB999" s="71" t="s">
        <v>1438</v>
      </c>
      <c r="AC999" s="72" t="s">
        <v>1437</v>
      </c>
      <c r="AD999" s="73" t="str">
        <f t="shared" si="44"/>
        <v>73-43</v>
      </c>
      <c r="AE999" s="74">
        <f t="shared" si="45"/>
        <v>43</v>
      </c>
      <c r="AF999" s="71" t="s">
        <v>906</v>
      </c>
      <c r="AG999" s="73" t="s">
        <v>440</v>
      </c>
      <c r="BA999" s="109" t="s">
        <v>4925</v>
      </c>
      <c r="BB999" s="183">
        <v>3325006</v>
      </c>
    </row>
    <row r="1000" spans="28:54" ht="15.75" thickBot="1" x14ac:dyDescent="0.3">
      <c r="AB1000" s="71" t="s">
        <v>1438</v>
      </c>
      <c r="AC1000" s="72" t="s">
        <v>1437</v>
      </c>
      <c r="AD1000" s="73" t="str">
        <f t="shared" si="44"/>
        <v>73-44</v>
      </c>
      <c r="AE1000" s="74">
        <f t="shared" si="45"/>
        <v>44</v>
      </c>
      <c r="AF1000" s="71" t="s">
        <v>1480</v>
      </c>
      <c r="AG1000" s="73" t="s">
        <v>1771</v>
      </c>
      <c r="BA1000" s="108" t="s">
        <v>4926</v>
      </c>
      <c r="BB1000" s="182">
        <v>3325007</v>
      </c>
    </row>
    <row r="1001" spans="28:54" ht="15.75" thickBot="1" x14ac:dyDescent="0.3">
      <c r="AB1001" s="71" t="s">
        <v>1438</v>
      </c>
      <c r="AC1001" s="72" t="s">
        <v>1437</v>
      </c>
      <c r="AD1001" s="73" t="str">
        <f t="shared" si="44"/>
        <v>73-45</v>
      </c>
      <c r="AE1001" s="74">
        <f t="shared" si="45"/>
        <v>45</v>
      </c>
      <c r="AF1001" s="71" t="s">
        <v>1481</v>
      </c>
      <c r="AG1001" s="73" t="s">
        <v>1774</v>
      </c>
      <c r="BA1001" s="109" t="s">
        <v>4927</v>
      </c>
      <c r="BB1001" s="183">
        <v>3325008</v>
      </c>
    </row>
    <row r="1002" spans="28:54" ht="15.75" thickBot="1" x14ac:dyDescent="0.3">
      <c r="AB1002" s="71" t="s">
        <v>1438</v>
      </c>
      <c r="AC1002" s="72" t="s">
        <v>1437</v>
      </c>
      <c r="AD1002" s="73" t="str">
        <f t="shared" si="44"/>
        <v>73-46</v>
      </c>
      <c r="AE1002" s="74">
        <f t="shared" si="45"/>
        <v>46</v>
      </c>
      <c r="AF1002" s="71" t="s">
        <v>1482</v>
      </c>
      <c r="AG1002" s="73" t="s">
        <v>164</v>
      </c>
      <c r="BA1002" s="108" t="s">
        <v>4928</v>
      </c>
      <c r="BB1002" s="182">
        <v>3329001</v>
      </c>
    </row>
    <row r="1003" spans="28:54" ht="15.75" thickBot="1" x14ac:dyDescent="0.3">
      <c r="AB1003" s="71" t="s">
        <v>1438</v>
      </c>
      <c r="AC1003" s="72" t="s">
        <v>1437</v>
      </c>
      <c r="AD1003" s="73" t="str">
        <f t="shared" si="44"/>
        <v>73-47</v>
      </c>
      <c r="AE1003" s="74">
        <f t="shared" si="45"/>
        <v>47</v>
      </c>
      <c r="AF1003" s="71" t="s">
        <v>1483</v>
      </c>
      <c r="AG1003" s="73" t="s">
        <v>1775</v>
      </c>
      <c r="BA1003" s="109" t="s">
        <v>4929</v>
      </c>
      <c r="BB1003" s="183">
        <v>3329002</v>
      </c>
    </row>
    <row r="1004" spans="28:54" ht="15.75" thickBot="1" x14ac:dyDescent="0.3">
      <c r="AB1004" s="71" t="s">
        <v>1485</v>
      </c>
      <c r="AC1004" s="72" t="s">
        <v>1484</v>
      </c>
      <c r="AD1004" s="73" t="str">
        <f t="shared" si="44"/>
        <v>76-1</v>
      </c>
      <c r="AE1004" s="74">
        <f t="shared" si="45"/>
        <v>1</v>
      </c>
      <c r="AF1004" s="71" t="s">
        <v>1486</v>
      </c>
      <c r="AG1004" s="73" t="s">
        <v>334</v>
      </c>
      <c r="BA1004" s="108" t="s">
        <v>4930</v>
      </c>
      <c r="BB1004" s="182">
        <v>3329003</v>
      </c>
    </row>
    <row r="1005" spans="28:54" ht="15.75" thickBot="1" x14ac:dyDescent="0.3">
      <c r="AB1005" s="71" t="s">
        <v>1485</v>
      </c>
      <c r="AC1005" s="72" t="s">
        <v>1484</v>
      </c>
      <c r="AD1005" s="73" t="str">
        <f t="shared" si="44"/>
        <v>76-2</v>
      </c>
      <c r="AE1005" s="74">
        <f t="shared" si="45"/>
        <v>2</v>
      </c>
      <c r="AF1005" s="71" t="s">
        <v>1487</v>
      </c>
      <c r="AG1005" s="73" t="s">
        <v>1997</v>
      </c>
      <c r="BA1005" s="109" t="s">
        <v>4931</v>
      </c>
      <c r="BB1005" s="183">
        <v>3329004</v>
      </c>
    </row>
    <row r="1006" spans="28:54" ht="15.75" thickBot="1" x14ac:dyDescent="0.3">
      <c r="AB1006" s="71" t="s">
        <v>1485</v>
      </c>
      <c r="AC1006" s="72" t="s">
        <v>1484</v>
      </c>
      <c r="AD1006" s="73" t="str">
        <f t="shared" si="44"/>
        <v>76-3</v>
      </c>
      <c r="AE1006" s="74">
        <f t="shared" si="45"/>
        <v>3</v>
      </c>
      <c r="AF1006" s="71" t="s">
        <v>1488</v>
      </c>
      <c r="AG1006" s="73" t="s">
        <v>1692</v>
      </c>
      <c r="BA1006" s="108" t="s">
        <v>4932</v>
      </c>
      <c r="BB1006" s="182">
        <v>3329005</v>
      </c>
    </row>
    <row r="1007" spans="28:54" ht="15.75" thickBot="1" x14ac:dyDescent="0.3">
      <c r="AB1007" s="71" t="s">
        <v>1485</v>
      </c>
      <c r="AC1007" s="72" t="s">
        <v>1484</v>
      </c>
      <c r="AD1007" s="73" t="str">
        <f t="shared" si="44"/>
        <v>76-4</v>
      </c>
      <c r="AE1007" s="74">
        <f t="shared" si="45"/>
        <v>4</v>
      </c>
      <c r="AF1007" s="71" t="s">
        <v>1489</v>
      </c>
      <c r="AG1007" s="73" t="s">
        <v>26</v>
      </c>
      <c r="BA1007" s="109" t="s">
        <v>4933</v>
      </c>
      <c r="BB1007" s="183">
        <v>3331101</v>
      </c>
    </row>
    <row r="1008" spans="28:54" ht="15.75" thickBot="1" x14ac:dyDescent="0.3">
      <c r="AB1008" s="71" t="s">
        <v>1485</v>
      </c>
      <c r="AC1008" s="72" t="s">
        <v>1484</v>
      </c>
      <c r="AD1008" s="73" t="str">
        <f t="shared" si="44"/>
        <v>76-5</v>
      </c>
      <c r="AE1008" s="74">
        <f t="shared" si="45"/>
        <v>5</v>
      </c>
      <c r="AF1008" s="71" t="s">
        <v>35</v>
      </c>
      <c r="AG1008" s="73" t="s">
        <v>2089</v>
      </c>
      <c r="BA1008" s="108" t="s">
        <v>4934</v>
      </c>
      <c r="BB1008" s="182">
        <v>3331201</v>
      </c>
    </row>
    <row r="1009" spans="28:54" ht="15.75" thickBot="1" x14ac:dyDescent="0.3">
      <c r="AB1009" s="71" t="s">
        <v>1485</v>
      </c>
      <c r="AC1009" s="72" t="s">
        <v>1484</v>
      </c>
      <c r="AD1009" s="73" t="str">
        <f t="shared" si="44"/>
        <v>76-6</v>
      </c>
      <c r="AE1009" s="74">
        <f t="shared" si="45"/>
        <v>6</v>
      </c>
      <c r="AF1009" s="71" t="s">
        <v>879</v>
      </c>
      <c r="AG1009" s="73" t="s">
        <v>1910</v>
      </c>
      <c r="BA1009" s="109" t="s">
        <v>4935</v>
      </c>
      <c r="BB1009" s="183">
        <v>3331301</v>
      </c>
    </row>
    <row r="1010" spans="28:54" ht="15.75" thickBot="1" x14ac:dyDescent="0.3">
      <c r="AB1010" s="71" t="s">
        <v>1485</v>
      </c>
      <c r="AC1010" s="72" t="s">
        <v>1484</v>
      </c>
      <c r="AD1010" s="73" t="str">
        <f t="shared" si="44"/>
        <v>76-7</v>
      </c>
      <c r="AE1010" s="74">
        <f t="shared" si="45"/>
        <v>7</v>
      </c>
      <c r="AF1010" s="71" t="s">
        <v>1490</v>
      </c>
      <c r="AG1010" s="73" t="s">
        <v>1824</v>
      </c>
      <c r="BA1010" s="108" t="s">
        <v>4936</v>
      </c>
      <c r="BB1010" s="182">
        <v>3331401</v>
      </c>
    </row>
    <row r="1011" spans="28:54" ht="15.75" thickBot="1" x14ac:dyDescent="0.3">
      <c r="AB1011" s="71" t="s">
        <v>1485</v>
      </c>
      <c r="AC1011" s="72" t="s">
        <v>1484</v>
      </c>
      <c r="AD1011" s="73" t="str">
        <f t="shared" si="44"/>
        <v>76-8</v>
      </c>
      <c r="AE1011" s="74">
        <f t="shared" si="45"/>
        <v>8</v>
      </c>
      <c r="AF1011" s="71" t="s">
        <v>1491</v>
      </c>
      <c r="AG1011" s="73" t="s">
        <v>78</v>
      </c>
      <c r="BA1011" s="109" t="s">
        <v>4937</v>
      </c>
      <c r="BB1011" s="183">
        <v>3353001</v>
      </c>
    </row>
    <row r="1012" spans="28:54" ht="15.75" thickBot="1" x14ac:dyDescent="0.3">
      <c r="AB1012" s="71" t="s">
        <v>1485</v>
      </c>
      <c r="AC1012" s="72" t="s">
        <v>1484</v>
      </c>
      <c r="AD1012" s="73" t="str">
        <f t="shared" si="44"/>
        <v>76-9</v>
      </c>
      <c r="AE1012" s="74">
        <f t="shared" si="45"/>
        <v>9</v>
      </c>
      <c r="AF1012" s="71" t="s">
        <v>1492</v>
      </c>
      <c r="AG1012" s="73" t="s">
        <v>1702</v>
      </c>
      <c r="BA1012" s="108" t="s">
        <v>4938</v>
      </c>
      <c r="BB1012" s="182">
        <v>3360001</v>
      </c>
    </row>
    <row r="1013" spans="28:54" ht="15.75" thickBot="1" x14ac:dyDescent="0.3">
      <c r="AB1013" s="71" t="s">
        <v>1485</v>
      </c>
      <c r="AC1013" s="72" t="s">
        <v>1484</v>
      </c>
      <c r="AD1013" s="73" t="str">
        <f t="shared" si="44"/>
        <v>76-10</v>
      </c>
      <c r="AE1013" s="74">
        <f t="shared" si="45"/>
        <v>10</v>
      </c>
      <c r="AF1013" s="71" t="s">
        <v>1493</v>
      </c>
      <c r="AG1013" s="73" t="s">
        <v>2090</v>
      </c>
      <c r="BA1013" s="109" t="s">
        <v>4939</v>
      </c>
      <c r="BB1013" s="183">
        <v>3360002</v>
      </c>
    </row>
    <row r="1014" spans="28:54" ht="15.75" thickBot="1" x14ac:dyDescent="0.3">
      <c r="AB1014" s="71" t="s">
        <v>1485</v>
      </c>
      <c r="AC1014" s="72" t="s">
        <v>1484</v>
      </c>
      <c r="AD1014" s="73" t="str">
        <f t="shared" si="44"/>
        <v>76-11</v>
      </c>
      <c r="AE1014" s="74">
        <f t="shared" si="45"/>
        <v>11</v>
      </c>
      <c r="AF1014" s="71" t="s">
        <v>1494</v>
      </c>
      <c r="AG1014" s="73" t="s">
        <v>1947</v>
      </c>
      <c r="BA1014" s="108" t="s">
        <v>4940</v>
      </c>
      <c r="BB1014" s="182">
        <v>3381101</v>
      </c>
    </row>
    <row r="1015" spans="28:54" ht="15.75" thickBot="1" x14ac:dyDescent="0.3">
      <c r="AB1015" s="71" t="s">
        <v>1485</v>
      </c>
      <c r="AC1015" s="72" t="s">
        <v>1484</v>
      </c>
      <c r="AD1015" s="73" t="str">
        <f t="shared" si="44"/>
        <v>76-12</v>
      </c>
      <c r="AE1015" s="74">
        <f t="shared" si="45"/>
        <v>12</v>
      </c>
      <c r="AF1015" s="71" t="s">
        <v>640</v>
      </c>
      <c r="AG1015" s="73" t="s">
        <v>1912</v>
      </c>
      <c r="BA1015" s="109" t="s">
        <v>4941</v>
      </c>
      <c r="BB1015" s="183">
        <v>3381102</v>
      </c>
    </row>
    <row r="1016" spans="28:54" ht="15.75" thickBot="1" x14ac:dyDescent="0.3">
      <c r="AB1016" s="71" t="s">
        <v>1485</v>
      </c>
      <c r="AC1016" s="72" t="s">
        <v>1484</v>
      </c>
      <c r="AD1016" s="73" t="str">
        <f t="shared" si="44"/>
        <v>76-13</v>
      </c>
      <c r="AE1016" s="74">
        <f t="shared" si="45"/>
        <v>13</v>
      </c>
      <c r="AF1016" s="71" t="s">
        <v>1495</v>
      </c>
      <c r="AG1016" s="73" t="s">
        <v>1709</v>
      </c>
      <c r="BA1016" s="108" t="s">
        <v>4942</v>
      </c>
      <c r="BB1016" s="182">
        <v>3382101</v>
      </c>
    </row>
    <row r="1017" spans="28:54" ht="15.75" thickBot="1" x14ac:dyDescent="0.3">
      <c r="AB1017" s="71" t="s">
        <v>1485</v>
      </c>
      <c r="AC1017" s="72" t="s">
        <v>1484</v>
      </c>
      <c r="AD1017" s="73" t="str">
        <f t="shared" si="44"/>
        <v>76-14</v>
      </c>
      <c r="AE1017" s="74">
        <f t="shared" si="45"/>
        <v>14</v>
      </c>
      <c r="AF1017" s="71" t="s">
        <v>1496</v>
      </c>
      <c r="AG1017" s="73" t="s">
        <v>2035</v>
      </c>
      <c r="BA1017" s="109" t="s">
        <v>4943</v>
      </c>
      <c r="BB1017" s="183">
        <v>3383001</v>
      </c>
    </row>
    <row r="1018" spans="28:54" ht="15.75" thickBot="1" x14ac:dyDescent="0.3">
      <c r="AB1018" s="71" t="s">
        <v>1485</v>
      </c>
      <c r="AC1018" s="72" t="s">
        <v>1484</v>
      </c>
      <c r="AD1018" s="73" t="str">
        <f t="shared" si="44"/>
        <v>76-15</v>
      </c>
      <c r="AE1018" s="74">
        <f t="shared" si="45"/>
        <v>15</v>
      </c>
      <c r="AF1018" s="71" t="s">
        <v>1497</v>
      </c>
      <c r="AG1018" s="73" t="s">
        <v>148</v>
      </c>
      <c r="BA1018" s="108" t="s">
        <v>4944</v>
      </c>
      <c r="BB1018" s="182">
        <v>3432101</v>
      </c>
    </row>
    <row r="1019" spans="28:54" ht="15.75" thickBot="1" x14ac:dyDescent="0.3">
      <c r="AB1019" s="71" t="s">
        <v>1485</v>
      </c>
      <c r="AC1019" s="72" t="s">
        <v>1484</v>
      </c>
      <c r="AD1019" s="73" t="str">
        <f t="shared" si="44"/>
        <v>76-16</v>
      </c>
      <c r="AE1019" s="74">
        <f t="shared" si="45"/>
        <v>16</v>
      </c>
      <c r="AF1019" s="71" t="s">
        <v>1498</v>
      </c>
      <c r="AG1019" s="73" t="s">
        <v>150</v>
      </c>
      <c r="BA1019" s="109" t="s">
        <v>4945</v>
      </c>
      <c r="BB1019" s="183">
        <v>3432201</v>
      </c>
    </row>
    <row r="1020" spans="28:54" ht="15.75" thickBot="1" x14ac:dyDescent="0.3">
      <c r="AB1020" s="71" t="s">
        <v>1485</v>
      </c>
      <c r="AC1020" s="72" t="s">
        <v>1484</v>
      </c>
      <c r="AD1020" s="73" t="str">
        <f t="shared" si="44"/>
        <v>76-17</v>
      </c>
      <c r="AE1020" s="74">
        <f t="shared" si="45"/>
        <v>17</v>
      </c>
      <c r="AF1020" s="71" t="s">
        <v>1499</v>
      </c>
      <c r="AG1020" s="73" t="s">
        <v>1800</v>
      </c>
      <c r="BA1020" s="108" t="s">
        <v>4946</v>
      </c>
      <c r="BB1020" s="182">
        <v>3432202</v>
      </c>
    </row>
    <row r="1021" spans="28:54" ht="15.75" thickBot="1" x14ac:dyDescent="0.3">
      <c r="AB1021" s="71" t="s">
        <v>1485</v>
      </c>
      <c r="AC1021" s="72" t="s">
        <v>1484</v>
      </c>
      <c r="AD1021" s="73" t="str">
        <f t="shared" si="44"/>
        <v>76-18</v>
      </c>
      <c r="AE1021" s="74">
        <f t="shared" si="45"/>
        <v>18</v>
      </c>
      <c r="AF1021" s="71" t="s">
        <v>1500</v>
      </c>
      <c r="AG1021" s="73" t="s">
        <v>1720</v>
      </c>
      <c r="BA1021" s="109" t="s">
        <v>4947</v>
      </c>
      <c r="BB1021" s="183">
        <v>3433001</v>
      </c>
    </row>
    <row r="1022" spans="28:54" ht="15.75" thickBot="1" x14ac:dyDescent="0.3">
      <c r="AB1022" s="71" t="s">
        <v>1485</v>
      </c>
      <c r="AC1022" s="72" t="s">
        <v>1484</v>
      </c>
      <c r="AD1022" s="73" t="str">
        <f t="shared" si="44"/>
        <v>76-19</v>
      </c>
      <c r="AE1022" s="74">
        <f t="shared" si="45"/>
        <v>19</v>
      </c>
      <c r="AF1022" s="71" t="s">
        <v>1501</v>
      </c>
      <c r="AG1022" s="73" t="s">
        <v>170</v>
      </c>
      <c r="BA1022" s="108" t="s">
        <v>4948</v>
      </c>
      <c r="BB1022" s="182">
        <v>3452001</v>
      </c>
    </row>
    <row r="1023" spans="28:54" ht="15.75" thickBot="1" x14ac:dyDescent="0.3">
      <c r="AB1023" s="71" t="s">
        <v>1485</v>
      </c>
      <c r="AC1023" s="72" t="s">
        <v>1484</v>
      </c>
      <c r="AD1023" s="73" t="str">
        <f t="shared" si="44"/>
        <v>76-20</v>
      </c>
      <c r="AE1023" s="74">
        <f t="shared" si="45"/>
        <v>20</v>
      </c>
      <c r="AF1023" s="71" t="s">
        <v>1502</v>
      </c>
      <c r="AG1023" s="73" t="s">
        <v>1725</v>
      </c>
      <c r="BA1023" s="109" t="s">
        <v>4949</v>
      </c>
      <c r="BB1023" s="183">
        <v>3453001</v>
      </c>
    </row>
    <row r="1024" spans="28:54" ht="15.75" thickBot="1" x14ac:dyDescent="0.3">
      <c r="AB1024" s="71" t="s">
        <v>1485</v>
      </c>
      <c r="AC1024" s="72" t="s">
        <v>1484</v>
      </c>
      <c r="AD1024" s="73" t="str">
        <f t="shared" si="44"/>
        <v>76-21</v>
      </c>
      <c r="AE1024" s="74">
        <f t="shared" si="45"/>
        <v>21</v>
      </c>
      <c r="AF1024" s="71" t="s">
        <v>1503</v>
      </c>
      <c r="AG1024" s="73" t="s">
        <v>1729</v>
      </c>
      <c r="BA1024" s="108" t="s">
        <v>4950</v>
      </c>
      <c r="BB1024" s="182">
        <v>3461001</v>
      </c>
    </row>
    <row r="1025" spans="28:54" ht="15.75" thickBot="1" x14ac:dyDescent="0.3">
      <c r="AB1025" s="71" t="s">
        <v>1485</v>
      </c>
      <c r="AC1025" s="72" t="s">
        <v>1484</v>
      </c>
      <c r="AD1025" s="73" t="str">
        <f t="shared" si="44"/>
        <v>76-22</v>
      </c>
      <c r="AE1025" s="74">
        <f t="shared" si="45"/>
        <v>22</v>
      </c>
      <c r="AF1025" s="71" t="s">
        <v>1504</v>
      </c>
      <c r="AG1025" s="73" t="s">
        <v>1734</v>
      </c>
      <c r="BA1025" s="109" t="s">
        <v>4951</v>
      </c>
      <c r="BB1025" s="183">
        <v>3466101</v>
      </c>
    </row>
    <row r="1026" spans="28:54" ht="15.75" thickBot="1" x14ac:dyDescent="0.3">
      <c r="AB1026" s="71" t="s">
        <v>1485</v>
      </c>
      <c r="AC1026" s="72" t="s">
        <v>1484</v>
      </c>
      <c r="AD1026" s="73" t="str">
        <f t="shared" si="44"/>
        <v>76-23</v>
      </c>
      <c r="AE1026" s="74">
        <f t="shared" si="45"/>
        <v>23</v>
      </c>
      <c r="AF1026" s="71" t="s">
        <v>1505</v>
      </c>
      <c r="AG1026" s="73" t="s">
        <v>1846</v>
      </c>
      <c r="BA1026" s="108" t="s">
        <v>4952</v>
      </c>
      <c r="BB1026" s="182">
        <v>3466501</v>
      </c>
    </row>
    <row r="1027" spans="28:54" ht="15.75" thickBot="1" x14ac:dyDescent="0.3">
      <c r="AB1027" s="71" t="s">
        <v>1485</v>
      </c>
      <c r="AC1027" s="72" t="s">
        <v>1484</v>
      </c>
      <c r="AD1027" s="73" t="str">
        <f t="shared" ref="AD1027:AD1090" si="46">CONCATENATE(AC1027,"-",AE1027)</f>
        <v>76-24</v>
      </c>
      <c r="AE1027" s="74">
        <f t="shared" ref="AE1027:AE1090" si="47">IF(AB1027=AB1026,1+AE1026,1)</f>
        <v>24</v>
      </c>
      <c r="AF1027" s="71" t="s">
        <v>575</v>
      </c>
      <c r="AG1027" s="73" t="s">
        <v>1739</v>
      </c>
      <c r="BA1027" s="109" t="s">
        <v>4953</v>
      </c>
      <c r="BB1027" s="183">
        <v>3473101</v>
      </c>
    </row>
    <row r="1028" spans="28:54" ht="15.75" thickBot="1" x14ac:dyDescent="0.3">
      <c r="AB1028" s="71" t="s">
        <v>1485</v>
      </c>
      <c r="AC1028" s="72" t="s">
        <v>1484</v>
      </c>
      <c r="AD1028" s="73" t="str">
        <f t="shared" si="46"/>
        <v>76-25</v>
      </c>
      <c r="AE1028" s="74">
        <f t="shared" si="47"/>
        <v>25</v>
      </c>
      <c r="AF1028" s="71" t="s">
        <v>756</v>
      </c>
      <c r="AG1028" s="73" t="s">
        <v>240</v>
      </c>
      <c r="BA1028" s="108" t="s">
        <v>4954</v>
      </c>
      <c r="BB1028" s="182">
        <v>3475201</v>
      </c>
    </row>
    <row r="1029" spans="28:54" ht="15.75" thickBot="1" x14ac:dyDescent="0.3">
      <c r="AB1029" s="71" t="s">
        <v>1485</v>
      </c>
      <c r="AC1029" s="72" t="s">
        <v>1484</v>
      </c>
      <c r="AD1029" s="73" t="str">
        <f t="shared" si="46"/>
        <v>76-26</v>
      </c>
      <c r="AE1029" s="74">
        <f t="shared" si="47"/>
        <v>26</v>
      </c>
      <c r="AF1029" s="71" t="s">
        <v>1506</v>
      </c>
      <c r="AG1029" s="73" t="s">
        <v>310</v>
      </c>
      <c r="BA1029" s="109" t="s">
        <v>4955</v>
      </c>
      <c r="BB1029" s="183">
        <v>3475901</v>
      </c>
    </row>
    <row r="1030" spans="28:54" ht="15.75" thickBot="1" x14ac:dyDescent="0.3">
      <c r="AB1030" s="71" t="s">
        <v>1485</v>
      </c>
      <c r="AC1030" s="72" t="s">
        <v>1484</v>
      </c>
      <c r="AD1030" s="73" t="str">
        <f t="shared" si="46"/>
        <v>76-27</v>
      </c>
      <c r="AE1030" s="74">
        <f t="shared" si="47"/>
        <v>27</v>
      </c>
      <c r="AF1030" s="71" t="s">
        <v>1507</v>
      </c>
      <c r="AG1030" s="73" t="s">
        <v>1783</v>
      </c>
      <c r="BA1030" s="108" t="s">
        <v>4956</v>
      </c>
      <c r="BB1030" s="182">
        <v>3492301</v>
      </c>
    </row>
    <row r="1031" spans="28:54" ht="15.75" thickBot="1" x14ac:dyDescent="0.3">
      <c r="AB1031" s="71" t="s">
        <v>1485</v>
      </c>
      <c r="AC1031" s="72" t="s">
        <v>1484</v>
      </c>
      <c r="AD1031" s="73" t="str">
        <f t="shared" si="46"/>
        <v>76-28</v>
      </c>
      <c r="AE1031" s="74">
        <f t="shared" si="47"/>
        <v>28</v>
      </c>
      <c r="AF1031" s="71" t="s">
        <v>1508</v>
      </c>
      <c r="AG1031" s="73" t="s">
        <v>2086</v>
      </c>
      <c r="BA1031" s="109" t="s">
        <v>4957</v>
      </c>
      <c r="BB1031" s="183">
        <v>3521001</v>
      </c>
    </row>
    <row r="1032" spans="28:54" ht="15.75" thickBot="1" x14ac:dyDescent="0.3">
      <c r="AB1032" s="71" t="s">
        <v>1485</v>
      </c>
      <c r="AC1032" s="72" t="s">
        <v>1484</v>
      </c>
      <c r="AD1032" s="73" t="str">
        <f t="shared" si="46"/>
        <v>76-29</v>
      </c>
      <c r="AE1032" s="74">
        <f t="shared" si="47"/>
        <v>29</v>
      </c>
      <c r="AF1032" s="71" t="s">
        <v>1213</v>
      </c>
      <c r="AG1032" s="73" t="s">
        <v>1787</v>
      </c>
      <c r="BA1032" s="108" t="s">
        <v>4958</v>
      </c>
      <c r="BB1032" s="182">
        <v>3522401</v>
      </c>
    </row>
    <row r="1033" spans="28:54" ht="15.75" thickBot="1" x14ac:dyDescent="0.3">
      <c r="AB1033" s="71" t="s">
        <v>1485</v>
      </c>
      <c r="AC1033" s="72" t="s">
        <v>1484</v>
      </c>
      <c r="AD1033" s="73" t="str">
        <f t="shared" si="46"/>
        <v>76-30</v>
      </c>
      <c r="AE1033" s="74">
        <f t="shared" si="47"/>
        <v>30</v>
      </c>
      <c r="AF1033" s="71" t="s">
        <v>1509</v>
      </c>
      <c r="AG1033" s="73" t="s">
        <v>1894</v>
      </c>
      <c r="BA1033" s="109" t="s">
        <v>4959</v>
      </c>
      <c r="BB1033" s="183">
        <v>3551101</v>
      </c>
    </row>
    <row r="1034" spans="28:54" ht="15.75" thickBot="1" x14ac:dyDescent="0.3">
      <c r="AB1034" s="71" t="s">
        <v>1485</v>
      </c>
      <c r="AC1034" s="72" t="s">
        <v>1484</v>
      </c>
      <c r="AD1034" s="73" t="str">
        <f t="shared" si="46"/>
        <v>76-31</v>
      </c>
      <c r="AE1034" s="74">
        <f t="shared" si="47"/>
        <v>31</v>
      </c>
      <c r="AF1034" s="71" t="s">
        <v>1510</v>
      </c>
      <c r="AG1034" s="73" t="s">
        <v>1918</v>
      </c>
      <c r="BA1034" s="108" t="s">
        <v>3906</v>
      </c>
      <c r="BB1034" s="182">
        <v>3551901</v>
      </c>
    </row>
    <row r="1035" spans="28:54" ht="15.75" thickBot="1" x14ac:dyDescent="0.3">
      <c r="AB1035" s="71" t="s">
        <v>1485</v>
      </c>
      <c r="AC1035" s="72" t="s">
        <v>1484</v>
      </c>
      <c r="AD1035" s="73" t="str">
        <f t="shared" si="46"/>
        <v>76-32</v>
      </c>
      <c r="AE1035" s="74">
        <f t="shared" si="47"/>
        <v>32</v>
      </c>
      <c r="AF1035" s="71" t="s">
        <v>605</v>
      </c>
      <c r="AG1035" s="73" t="s">
        <v>388</v>
      </c>
      <c r="BA1035" s="109" t="s">
        <v>3907</v>
      </c>
      <c r="BB1035" s="183">
        <v>3559001</v>
      </c>
    </row>
    <row r="1036" spans="28:54" ht="15.75" thickBot="1" x14ac:dyDescent="0.3">
      <c r="AB1036" s="71" t="s">
        <v>1485</v>
      </c>
      <c r="AC1036" s="72" t="s">
        <v>1484</v>
      </c>
      <c r="AD1036" s="73" t="str">
        <f t="shared" si="46"/>
        <v>76-33</v>
      </c>
      <c r="AE1036" s="74">
        <f t="shared" si="47"/>
        <v>33</v>
      </c>
      <c r="AF1036" s="71" t="s">
        <v>1511</v>
      </c>
      <c r="AG1036" s="73" t="s">
        <v>1763</v>
      </c>
      <c r="BA1036" s="108" t="s">
        <v>4960</v>
      </c>
      <c r="BB1036" s="182">
        <v>3561101</v>
      </c>
    </row>
    <row r="1037" spans="28:54" ht="15.75" thickBot="1" x14ac:dyDescent="0.3">
      <c r="AB1037" s="71" t="s">
        <v>1485</v>
      </c>
      <c r="AC1037" s="72" t="s">
        <v>1484</v>
      </c>
      <c r="AD1037" s="73" t="str">
        <f t="shared" si="46"/>
        <v>76-34</v>
      </c>
      <c r="AE1037" s="74">
        <f t="shared" si="47"/>
        <v>34</v>
      </c>
      <c r="AF1037" s="71" t="s">
        <v>1512</v>
      </c>
      <c r="AG1037" s="73" t="s">
        <v>468</v>
      </c>
      <c r="BA1037" s="109" t="s">
        <v>4961</v>
      </c>
      <c r="BB1037" s="183">
        <v>3561201</v>
      </c>
    </row>
    <row r="1038" spans="28:54" ht="15.75" thickBot="1" x14ac:dyDescent="0.3">
      <c r="AB1038" s="71" t="s">
        <v>1485</v>
      </c>
      <c r="AC1038" s="72" t="s">
        <v>1484</v>
      </c>
      <c r="AD1038" s="73" t="str">
        <f t="shared" si="46"/>
        <v>76-35</v>
      </c>
      <c r="AE1038" s="74">
        <f t="shared" si="47"/>
        <v>35</v>
      </c>
      <c r="AF1038" s="71" t="s">
        <v>1513</v>
      </c>
      <c r="AG1038" s="73" t="s">
        <v>474</v>
      </c>
      <c r="BA1038" s="108" t="s">
        <v>4962</v>
      </c>
      <c r="BB1038" s="182">
        <v>3561901</v>
      </c>
    </row>
    <row r="1039" spans="28:54" ht="15.75" thickBot="1" x14ac:dyDescent="0.3">
      <c r="AB1039" s="71" t="s">
        <v>1485</v>
      </c>
      <c r="AC1039" s="72" t="s">
        <v>1484</v>
      </c>
      <c r="AD1039" s="73" t="str">
        <f t="shared" si="46"/>
        <v>76-36</v>
      </c>
      <c r="AE1039" s="74">
        <f t="shared" si="47"/>
        <v>36</v>
      </c>
      <c r="AF1039" s="71" t="s">
        <v>1514</v>
      </c>
      <c r="AG1039" s="73" t="s">
        <v>2091</v>
      </c>
      <c r="BA1039" s="109" t="s">
        <v>4963</v>
      </c>
      <c r="BB1039" s="183">
        <v>3562101</v>
      </c>
    </row>
    <row r="1040" spans="28:54" ht="15.75" thickBot="1" x14ac:dyDescent="0.3">
      <c r="AB1040" s="71" t="s">
        <v>1485</v>
      </c>
      <c r="AC1040" s="72" t="s">
        <v>1484</v>
      </c>
      <c r="AD1040" s="73" t="str">
        <f t="shared" si="46"/>
        <v>76-37</v>
      </c>
      <c r="AE1040" s="74">
        <f t="shared" si="47"/>
        <v>37</v>
      </c>
      <c r="AF1040" s="71" t="s">
        <v>1515</v>
      </c>
      <c r="AG1040" s="73" t="s">
        <v>480</v>
      </c>
      <c r="BA1040" s="108" t="s">
        <v>4964</v>
      </c>
      <c r="BB1040" s="182">
        <v>3562901</v>
      </c>
    </row>
    <row r="1041" spans="28:54" ht="15.75" thickBot="1" x14ac:dyDescent="0.3">
      <c r="AB1041" s="71" t="s">
        <v>1485</v>
      </c>
      <c r="AC1041" s="72" t="s">
        <v>1484</v>
      </c>
      <c r="AD1041" s="73" t="str">
        <f t="shared" si="46"/>
        <v>76-38</v>
      </c>
      <c r="AE1041" s="74">
        <f t="shared" si="47"/>
        <v>38</v>
      </c>
      <c r="AF1041" s="71" t="s">
        <v>1516</v>
      </c>
      <c r="AG1041" s="73" t="s">
        <v>490</v>
      </c>
      <c r="BA1041" s="109" t="s">
        <v>4965</v>
      </c>
      <c r="BB1041" s="183">
        <v>3581101</v>
      </c>
    </row>
    <row r="1042" spans="28:54" ht="15.75" thickBot="1" x14ac:dyDescent="0.3">
      <c r="AB1042" s="71" t="s">
        <v>1485</v>
      </c>
      <c r="AC1042" s="72" t="s">
        <v>1484</v>
      </c>
      <c r="AD1042" s="73" t="str">
        <f t="shared" si="46"/>
        <v>76-39</v>
      </c>
      <c r="AE1042" s="74">
        <f t="shared" si="47"/>
        <v>39</v>
      </c>
      <c r="AF1042" s="71" t="s">
        <v>1517</v>
      </c>
      <c r="AG1042" s="73" t="s">
        <v>2092</v>
      </c>
      <c r="BA1042" s="108" t="s">
        <v>4966</v>
      </c>
      <c r="BB1042" s="182">
        <v>3581201</v>
      </c>
    </row>
    <row r="1043" spans="28:54" ht="15.75" thickBot="1" x14ac:dyDescent="0.3">
      <c r="AB1043" s="71" t="s">
        <v>1485</v>
      </c>
      <c r="AC1043" s="72" t="s">
        <v>1484</v>
      </c>
      <c r="AD1043" s="73" t="str">
        <f t="shared" si="46"/>
        <v>76-40</v>
      </c>
      <c r="AE1043" s="74">
        <f t="shared" si="47"/>
        <v>40</v>
      </c>
      <c r="AF1043" s="71" t="s">
        <v>1518</v>
      </c>
      <c r="AG1043" s="73" t="s">
        <v>500</v>
      </c>
      <c r="BA1043" s="109" t="s">
        <v>4967</v>
      </c>
      <c r="BB1043" s="183">
        <v>3581301</v>
      </c>
    </row>
    <row r="1044" spans="28:54" ht="15.75" thickBot="1" x14ac:dyDescent="0.3">
      <c r="AB1044" s="71" t="s">
        <v>1485</v>
      </c>
      <c r="AC1044" s="72" t="s">
        <v>1484</v>
      </c>
      <c r="AD1044" s="73" t="str">
        <f t="shared" si="46"/>
        <v>76-41</v>
      </c>
      <c r="AE1044" s="74">
        <f t="shared" si="47"/>
        <v>41</v>
      </c>
      <c r="AF1044" s="71" t="s">
        <v>1519</v>
      </c>
      <c r="AG1044" s="73" t="s">
        <v>2093</v>
      </c>
      <c r="BA1044" s="108" t="s">
        <v>4968</v>
      </c>
      <c r="BB1044" s="182">
        <v>3581901</v>
      </c>
    </row>
    <row r="1045" spans="28:54" ht="15.75" thickBot="1" x14ac:dyDescent="0.3">
      <c r="AB1045" s="71" t="s">
        <v>1485</v>
      </c>
      <c r="AC1045" s="72" t="s">
        <v>1484</v>
      </c>
      <c r="AD1045" s="73" t="str">
        <f t="shared" si="46"/>
        <v>76-42</v>
      </c>
      <c r="AE1045" s="74">
        <f t="shared" si="47"/>
        <v>42</v>
      </c>
      <c r="AF1045" s="71" t="s">
        <v>1520</v>
      </c>
      <c r="AG1045" s="73" t="s">
        <v>504</v>
      </c>
      <c r="BA1045" s="109" t="s">
        <v>4969</v>
      </c>
      <c r="BB1045" s="183">
        <v>3592001</v>
      </c>
    </row>
    <row r="1046" spans="28:54" ht="15.75" thickBot="1" x14ac:dyDescent="0.3">
      <c r="AB1046" s="71" t="s">
        <v>1522</v>
      </c>
      <c r="AC1046" s="72" t="s">
        <v>1521</v>
      </c>
      <c r="AD1046" s="73" t="str">
        <f t="shared" si="46"/>
        <v>81-1</v>
      </c>
      <c r="AE1046" s="74">
        <f t="shared" si="47"/>
        <v>1</v>
      </c>
      <c r="AF1046" s="71" t="s">
        <v>1523</v>
      </c>
      <c r="AG1046" s="73" t="s">
        <v>334</v>
      </c>
      <c r="BA1046" s="108" t="s">
        <v>4970</v>
      </c>
      <c r="BB1046" s="182">
        <v>3611001</v>
      </c>
    </row>
    <row r="1047" spans="28:54" ht="15.75" thickBot="1" x14ac:dyDescent="0.3">
      <c r="AB1047" s="71" t="s">
        <v>1522</v>
      </c>
      <c r="AC1047" s="72" t="s">
        <v>1521</v>
      </c>
      <c r="AD1047" s="73" t="str">
        <f t="shared" si="46"/>
        <v>81-2</v>
      </c>
      <c r="AE1047" s="74">
        <f t="shared" si="47"/>
        <v>2</v>
      </c>
      <c r="AF1047" s="71" t="s">
        <v>1524</v>
      </c>
      <c r="AG1047" s="73" t="s">
        <v>2094</v>
      </c>
      <c r="BA1047" s="109" t="s">
        <v>4971</v>
      </c>
      <c r="BB1047" s="183">
        <v>3611002</v>
      </c>
    </row>
    <row r="1048" spans="28:54" ht="15.75" thickBot="1" x14ac:dyDescent="0.3">
      <c r="AB1048" s="71" t="s">
        <v>1522</v>
      </c>
      <c r="AC1048" s="72" t="s">
        <v>1521</v>
      </c>
      <c r="AD1048" s="73" t="str">
        <f t="shared" si="46"/>
        <v>81-3</v>
      </c>
      <c r="AE1048" s="74">
        <f t="shared" si="47"/>
        <v>3</v>
      </c>
      <c r="AF1048" s="71" t="s">
        <v>1525</v>
      </c>
      <c r="AG1048" s="73" t="s">
        <v>2095</v>
      </c>
      <c r="BA1048" s="108" t="s">
        <v>4972</v>
      </c>
      <c r="BB1048" s="182">
        <v>3611003</v>
      </c>
    </row>
    <row r="1049" spans="28:54" ht="15.75" thickBot="1" x14ac:dyDescent="0.3">
      <c r="AB1049" s="71" t="s">
        <v>1522</v>
      </c>
      <c r="AC1049" s="72" t="s">
        <v>1521</v>
      </c>
      <c r="AD1049" s="73" t="str">
        <f t="shared" si="46"/>
        <v>81-4</v>
      </c>
      <c r="AE1049" s="74">
        <f t="shared" si="47"/>
        <v>4</v>
      </c>
      <c r="AF1049" s="71" t="s">
        <v>1526</v>
      </c>
      <c r="AG1049" s="73" t="s">
        <v>1802</v>
      </c>
      <c r="BA1049" s="109" t="s">
        <v>4973</v>
      </c>
      <c r="BB1049" s="183">
        <v>3612001</v>
      </c>
    </row>
    <row r="1050" spans="28:54" ht="15.75" thickBot="1" x14ac:dyDescent="0.3">
      <c r="AB1050" s="71" t="s">
        <v>1522</v>
      </c>
      <c r="AC1050" s="72" t="s">
        <v>1521</v>
      </c>
      <c r="AD1050" s="73" t="str">
        <f t="shared" si="46"/>
        <v>81-5</v>
      </c>
      <c r="AE1050" s="74">
        <f t="shared" si="47"/>
        <v>5</v>
      </c>
      <c r="AF1050" s="71" t="s">
        <v>1527</v>
      </c>
      <c r="AG1050" s="73" t="s">
        <v>1748</v>
      </c>
      <c r="BA1050" s="108" t="s">
        <v>4974</v>
      </c>
      <c r="BB1050" s="182">
        <v>3619001</v>
      </c>
    </row>
    <row r="1051" spans="28:54" ht="15.75" thickBot="1" x14ac:dyDescent="0.3">
      <c r="AB1051" s="71" t="s">
        <v>1522</v>
      </c>
      <c r="AC1051" s="72" t="s">
        <v>1521</v>
      </c>
      <c r="AD1051" s="73" t="str">
        <f t="shared" si="46"/>
        <v>81-6</v>
      </c>
      <c r="AE1051" s="74">
        <f t="shared" si="47"/>
        <v>6</v>
      </c>
      <c r="AF1051" s="71" t="s">
        <v>1528</v>
      </c>
      <c r="AG1051" s="73" t="s">
        <v>1763</v>
      </c>
      <c r="BA1051" s="109" t="s">
        <v>4975</v>
      </c>
      <c r="BB1051" s="183">
        <v>3711001</v>
      </c>
    </row>
    <row r="1052" spans="28:54" ht="15.75" thickBot="1" x14ac:dyDescent="0.3">
      <c r="AB1052" s="71" t="s">
        <v>1522</v>
      </c>
      <c r="AC1052" s="72" t="s">
        <v>1521</v>
      </c>
      <c r="AD1052" s="73" t="str">
        <f t="shared" si="46"/>
        <v>81-7</v>
      </c>
      <c r="AE1052" s="74">
        <f t="shared" si="47"/>
        <v>7</v>
      </c>
      <c r="AF1052" s="71" t="s">
        <v>1529</v>
      </c>
      <c r="AG1052" s="73" t="s">
        <v>2096</v>
      </c>
      <c r="BA1052" s="108" t="s">
        <v>4976</v>
      </c>
      <c r="BB1052" s="182">
        <v>3711002</v>
      </c>
    </row>
    <row r="1053" spans="28:54" ht="15.75" thickBot="1" x14ac:dyDescent="0.3">
      <c r="AB1053" s="71" t="s">
        <v>1531</v>
      </c>
      <c r="AC1053" s="72" t="s">
        <v>1530</v>
      </c>
      <c r="AD1053" s="73" t="str">
        <f t="shared" si="46"/>
        <v>85-1</v>
      </c>
      <c r="AE1053" s="74">
        <f t="shared" si="47"/>
        <v>1</v>
      </c>
      <c r="AF1053" s="71" t="s">
        <v>1532</v>
      </c>
      <c r="AG1053" s="73" t="s">
        <v>334</v>
      </c>
      <c r="BA1053" s="109" t="s">
        <v>4977</v>
      </c>
      <c r="BB1053" s="183">
        <v>3721001</v>
      </c>
    </row>
    <row r="1054" spans="28:54" ht="15.75" thickBot="1" x14ac:dyDescent="0.3">
      <c r="AB1054" s="71" t="s">
        <v>1531</v>
      </c>
      <c r="AC1054" s="72" t="s">
        <v>1530</v>
      </c>
      <c r="AD1054" s="73" t="str">
        <f t="shared" si="46"/>
        <v>85-2</v>
      </c>
      <c r="AE1054" s="74">
        <f t="shared" si="47"/>
        <v>2</v>
      </c>
      <c r="AF1054" s="71" t="s">
        <v>1533</v>
      </c>
      <c r="AG1054" s="73" t="s">
        <v>2097</v>
      </c>
      <c r="BA1054" s="108" t="s">
        <v>4978</v>
      </c>
      <c r="BB1054" s="182">
        <v>3722001</v>
      </c>
    </row>
    <row r="1055" spans="28:54" ht="15.75" thickBot="1" x14ac:dyDescent="0.3">
      <c r="AB1055" s="71" t="s">
        <v>1531</v>
      </c>
      <c r="AC1055" s="72" t="s">
        <v>1530</v>
      </c>
      <c r="AD1055" s="73" t="str">
        <f t="shared" si="46"/>
        <v>85-3</v>
      </c>
      <c r="AE1055" s="74">
        <f t="shared" si="47"/>
        <v>3</v>
      </c>
      <c r="AF1055" s="71" t="s">
        <v>1534</v>
      </c>
      <c r="AG1055" s="73" t="s">
        <v>2098</v>
      </c>
      <c r="BA1055" s="109" t="s">
        <v>4979</v>
      </c>
      <c r="BB1055" s="183">
        <v>3741001</v>
      </c>
    </row>
    <row r="1056" spans="28:54" ht="15.75" thickBot="1" x14ac:dyDescent="0.3">
      <c r="AB1056" s="71" t="s">
        <v>1531</v>
      </c>
      <c r="AC1056" s="72" t="s">
        <v>1530</v>
      </c>
      <c r="AD1056" s="73" t="str">
        <f t="shared" si="46"/>
        <v>85-4</v>
      </c>
      <c r="AE1056" s="74">
        <f t="shared" si="47"/>
        <v>4</v>
      </c>
      <c r="AF1056" s="71" t="s">
        <v>1535</v>
      </c>
      <c r="AG1056" s="73" t="s">
        <v>1704</v>
      </c>
      <c r="BA1056" s="108" t="s">
        <v>4980</v>
      </c>
      <c r="BB1056" s="182">
        <v>3772101</v>
      </c>
    </row>
    <row r="1057" spans="28:54" ht="15.75" thickBot="1" x14ac:dyDescent="0.3">
      <c r="AB1057" s="71" t="s">
        <v>1531</v>
      </c>
      <c r="AC1057" s="72" t="s">
        <v>1530</v>
      </c>
      <c r="AD1057" s="73" t="str">
        <f t="shared" si="46"/>
        <v>85-5</v>
      </c>
      <c r="AE1057" s="74">
        <f t="shared" si="47"/>
        <v>5</v>
      </c>
      <c r="AF1057" s="71" t="s">
        <v>1536</v>
      </c>
      <c r="AG1057" s="73" t="s">
        <v>2099</v>
      </c>
      <c r="BA1057" s="109" t="s">
        <v>4981</v>
      </c>
      <c r="BB1057" s="183">
        <v>3782001</v>
      </c>
    </row>
    <row r="1058" spans="28:54" ht="15.75" thickBot="1" x14ac:dyDescent="0.3">
      <c r="AB1058" s="71" t="s">
        <v>1531</v>
      </c>
      <c r="AC1058" s="72" t="s">
        <v>1530</v>
      </c>
      <c r="AD1058" s="73" t="str">
        <f t="shared" si="46"/>
        <v>85-6</v>
      </c>
      <c r="AE1058" s="74">
        <f t="shared" si="47"/>
        <v>6</v>
      </c>
      <c r="AF1058" s="71" t="s">
        <v>1537</v>
      </c>
      <c r="AG1058" s="73" t="s">
        <v>2100</v>
      </c>
      <c r="BA1058" s="108" t="s">
        <v>4982</v>
      </c>
      <c r="BB1058" s="182">
        <v>3783001</v>
      </c>
    </row>
    <row r="1059" spans="28:54" ht="15.75" thickBot="1" x14ac:dyDescent="0.3">
      <c r="AB1059" s="71" t="s">
        <v>1531</v>
      </c>
      <c r="AC1059" s="72" t="s">
        <v>1530</v>
      </c>
      <c r="AD1059" s="73" t="str">
        <f t="shared" si="46"/>
        <v>85-7</v>
      </c>
      <c r="AE1059" s="74">
        <f t="shared" si="47"/>
        <v>7</v>
      </c>
      <c r="AF1059" s="71" t="s">
        <v>1538</v>
      </c>
      <c r="AG1059" s="73" t="s">
        <v>1828</v>
      </c>
      <c r="BA1059" s="109" t="s">
        <v>4983</v>
      </c>
      <c r="BB1059" s="183">
        <v>3813001</v>
      </c>
    </row>
    <row r="1060" spans="28:54" ht="15.75" thickBot="1" x14ac:dyDescent="0.3">
      <c r="AB1060" s="71" t="s">
        <v>1531</v>
      </c>
      <c r="AC1060" s="72" t="s">
        <v>1530</v>
      </c>
      <c r="AD1060" s="73" t="str">
        <f t="shared" si="46"/>
        <v>85-8</v>
      </c>
      <c r="AE1060" s="74">
        <f t="shared" si="47"/>
        <v>8</v>
      </c>
      <c r="AF1060" s="71" t="s">
        <v>1539</v>
      </c>
      <c r="AG1060" s="73" t="s">
        <v>2101</v>
      </c>
      <c r="BA1060" s="108" t="s">
        <v>4984</v>
      </c>
      <c r="BB1060" s="182">
        <v>3829201</v>
      </c>
    </row>
    <row r="1061" spans="28:54" ht="15.75" thickBot="1" x14ac:dyDescent="0.3">
      <c r="AB1061" s="71" t="s">
        <v>1531</v>
      </c>
      <c r="AC1061" s="72" t="s">
        <v>1530</v>
      </c>
      <c r="AD1061" s="73" t="str">
        <f t="shared" si="46"/>
        <v>85-9</v>
      </c>
      <c r="AE1061" s="74">
        <f t="shared" si="47"/>
        <v>9</v>
      </c>
      <c r="AF1061" s="71" t="s">
        <v>1540</v>
      </c>
      <c r="AG1061" s="73" t="s">
        <v>2071</v>
      </c>
      <c r="BA1061" s="109" t="s">
        <v>4985</v>
      </c>
      <c r="BB1061" s="183">
        <v>3855901</v>
      </c>
    </row>
    <row r="1062" spans="28:54" ht="15.75" thickBot="1" x14ac:dyDescent="0.3">
      <c r="AB1062" s="71" t="s">
        <v>1531</v>
      </c>
      <c r="AC1062" s="72" t="s">
        <v>1530</v>
      </c>
      <c r="AD1062" s="73" t="str">
        <f t="shared" si="46"/>
        <v>85-10</v>
      </c>
      <c r="AE1062" s="74">
        <f t="shared" si="47"/>
        <v>10</v>
      </c>
      <c r="AF1062" s="71" t="s">
        <v>1541</v>
      </c>
      <c r="AG1062" s="73" t="s">
        <v>1720</v>
      </c>
      <c r="BA1062" s="108" t="s">
        <v>4986</v>
      </c>
      <c r="BB1062" s="182">
        <v>3861001</v>
      </c>
    </row>
    <row r="1063" spans="28:54" ht="15.75" thickBot="1" x14ac:dyDescent="0.3">
      <c r="AB1063" s="71" t="s">
        <v>1531</v>
      </c>
      <c r="AC1063" s="72" t="s">
        <v>1530</v>
      </c>
      <c r="AD1063" s="73" t="str">
        <f t="shared" si="46"/>
        <v>85-11</v>
      </c>
      <c r="AE1063" s="74">
        <f t="shared" si="47"/>
        <v>11</v>
      </c>
      <c r="AF1063" s="71" t="s">
        <v>1542</v>
      </c>
      <c r="AG1063" s="73" t="s">
        <v>2102</v>
      </c>
      <c r="BA1063" s="109" t="s">
        <v>4987</v>
      </c>
      <c r="BB1063" s="183">
        <v>3869101</v>
      </c>
    </row>
    <row r="1064" spans="28:54" ht="15.75" thickBot="1" x14ac:dyDescent="0.3">
      <c r="AB1064" s="71" t="s">
        <v>1531</v>
      </c>
      <c r="AC1064" s="72" t="s">
        <v>1530</v>
      </c>
      <c r="AD1064" s="73" t="str">
        <f t="shared" si="46"/>
        <v>85-12</v>
      </c>
      <c r="AE1064" s="74">
        <f t="shared" si="47"/>
        <v>12</v>
      </c>
      <c r="AF1064" s="71" t="s">
        <v>1543</v>
      </c>
      <c r="AG1064" s="73" t="s">
        <v>1955</v>
      </c>
      <c r="BA1064" s="108" t="s">
        <v>4988</v>
      </c>
      <c r="BB1064" s="182">
        <v>3869201</v>
      </c>
    </row>
    <row r="1065" spans="28:54" ht="15.75" thickBot="1" x14ac:dyDescent="0.3">
      <c r="AB1065" s="71" t="s">
        <v>1531</v>
      </c>
      <c r="AC1065" s="72" t="s">
        <v>1530</v>
      </c>
      <c r="AD1065" s="73" t="str">
        <f t="shared" si="46"/>
        <v>85-13</v>
      </c>
      <c r="AE1065" s="74">
        <f t="shared" si="47"/>
        <v>13</v>
      </c>
      <c r="AF1065" s="71" t="s">
        <v>595</v>
      </c>
      <c r="AG1065" s="73" t="s">
        <v>1802</v>
      </c>
      <c r="BA1065" s="109" t="s">
        <v>4989</v>
      </c>
      <c r="BB1065" s="183">
        <v>3869202</v>
      </c>
    </row>
    <row r="1066" spans="28:54" ht="15.75" thickBot="1" x14ac:dyDescent="0.3">
      <c r="AB1066" s="71" t="s">
        <v>1531</v>
      </c>
      <c r="AC1066" s="72" t="s">
        <v>1530</v>
      </c>
      <c r="AD1066" s="73" t="str">
        <f t="shared" si="46"/>
        <v>85-14</v>
      </c>
      <c r="AE1066" s="74">
        <f t="shared" si="47"/>
        <v>14</v>
      </c>
      <c r="AF1066" s="71" t="s">
        <v>1544</v>
      </c>
      <c r="AG1066" s="73" t="s">
        <v>1728</v>
      </c>
      <c r="BA1066" s="108" t="s">
        <v>4990</v>
      </c>
      <c r="BB1066" s="182">
        <v>3900701</v>
      </c>
    </row>
    <row r="1067" spans="28:54" ht="15.75" thickBot="1" x14ac:dyDescent="0.3">
      <c r="AB1067" s="71" t="s">
        <v>1531</v>
      </c>
      <c r="AC1067" s="72" t="s">
        <v>1530</v>
      </c>
      <c r="AD1067" s="73" t="str">
        <f t="shared" si="46"/>
        <v>85-15</v>
      </c>
      <c r="AE1067" s="74">
        <f t="shared" si="47"/>
        <v>15</v>
      </c>
      <c r="AF1067" s="71" t="s">
        <v>1545</v>
      </c>
      <c r="AG1067" s="73" t="s">
        <v>196</v>
      </c>
      <c r="BA1067" s="109" t="s">
        <v>4991</v>
      </c>
      <c r="BB1067" s="183">
        <v>3900801</v>
      </c>
    </row>
    <row r="1068" spans="28:54" ht="15.75" thickBot="1" x14ac:dyDescent="0.3">
      <c r="AB1068" s="71" t="s">
        <v>1531</v>
      </c>
      <c r="AC1068" s="72" t="s">
        <v>1530</v>
      </c>
      <c r="AD1068" s="73" t="str">
        <f t="shared" si="46"/>
        <v>85-16</v>
      </c>
      <c r="AE1068" s="74">
        <f t="shared" si="47"/>
        <v>16</v>
      </c>
      <c r="AF1068" s="71" t="s">
        <v>1546</v>
      </c>
      <c r="AG1068" s="73" t="s">
        <v>1739</v>
      </c>
      <c r="BA1068" s="108" t="s">
        <v>4992</v>
      </c>
      <c r="BB1068" s="182">
        <v>3910301</v>
      </c>
    </row>
    <row r="1069" spans="28:54" ht="15.75" thickBot="1" x14ac:dyDescent="0.3">
      <c r="AB1069" s="71" t="s">
        <v>1531</v>
      </c>
      <c r="AC1069" s="72" t="s">
        <v>1530</v>
      </c>
      <c r="AD1069" s="73" t="str">
        <f t="shared" si="46"/>
        <v>85-17</v>
      </c>
      <c r="AE1069" s="74">
        <f t="shared" si="47"/>
        <v>17</v>
      </c>
      <c r="AF1069" s="71" t="s">
        <v>1547</v>
      </c>
      <c r="AG1069" s="73" t="s">
        <v>246</v>
      </c>
      <c r="BA1069" s="109" t="s">
        <v>4993</v>
      </c>
      <c r="BB1069" s="183">
        <v>3931101</v>
      </c>
    </row>
    <row r="1070" spans="28:54" ht="15.75" thickBot="1" x14ac:dyDescent="0.3">
      <c r="AB1070" s="71" t="s">
        <v>1531</v>
      </c>
      <c r="AC1070" s="72" t="s">
        <v>1530</v>
      </c>
      <c r="AD1070" s="73" t="str">
        <f t="shared" si="46"/>
        <v>85-18</v>
      </c>
      <c r="AE1070" s="74">
        <f t="shared" si="47"/>
        <v>18</v>
      </c>
      <c r="AF1070" s="71" t="s">
        <v>1548</v>
      </c>
      <c r="AG1070" s="73" t="s">
        <v>1803</v>
      </c>
      <c r="BA1070" s="108" t="s">
        <v>3908</v>
      </c>
      <c r="BB1070" s="182">
        <v>3931201</v>
      </c>
    </row>
    <row r="1071" spans="28:54" ht="15.75" thickBot="1" x14ac:dyDescent="0.3">
      <c r="AB1071" s="71" t="s">
        <v>1531</v>
      </c>
      <c r="AC1071" s="72" t="s">
        <v>1530</v>
      </c>
      <c r="AD1071" s="73" t="str">
        <f t="shared" si="46"/>
        <v>85-19</v>
      </c>
      <c r="AE1071" s="74">
        <f t="shared" si="47"/>
        <v>19</v>
      </c>
      <c r="AF1071" s="71" t="s">
        <v>707</v>
      </c>
      <c r="AG1071" s="73" t="s">
        <v>266</v>
      </c>
      <c r="BA1071" s="109" t="s">
        <v>4994</v>
      </c>
      <c r="BB1071" s="183">
        <v>3931202</v>
      </c>
    </row>
    <row r="1072" spans="28:54" ht="15.75" thickBot="1" x14ac:dyDescent="0.3">
      <c r="AB1072" s="71" t="s">
        <v>1550</v>
      </c>
      <c r="AC1072" s="72" t="s">
        <v>1549</v>
      </c>
      <c r="AD1072" s="73" t="str">
        <f t="shared" si="46"/>
        <v>86-1</v>
      </c>
      <c r="AE1072" s="74">
        <f t="shared" si="47"/>
        <v>1</v>
      </c>
      <c r="AF1072" s="71" t="s">
        <v>1551</v>
      </c>
      <c r="AG1072" s="73" t="s">
        <v>334</v>
      </c>
      <c r="BA1072" s="108" t="s">
        <v>4995</v>
      </c>
      <c r="BB1072" s="182">
        <v>3931901</v>
      </c>
    </row>
    <row r="1073" spans="28:54" ht="15.75" thickBot="1" x14ac:dyDescent="0.3">
      <c r="AB1073" s="71" t="s">
        <v>1550</v>
      </c>
      <c r="AC1073" s="72" t="s">
        <v>1549</v>
      </c>
      <c r="AD1073" s="73" t="str">
        <f t="shared" si="46"/>
        <v>86-2</v>
      </c>
      <c r="AE1073" s="74">
        <f t="shared" si="47"/>
        <v>2</v>
      </c>
      <c r="AF1073" s="71" t="s">
        <v>1226</v>
      </c>
      <c r="AG1073" s="73" t="s">
        <v>2103</v>
      </c>
      <c r="BA1073" s="109" t="s">
        <v>4996</v>
      </c>
      <c r="BB1073" s="183">
        <v>3931902</v>
      </c>
    </row>
    <row r="1074" spans="28:54" ht="15.75" thickBot="1" x14ac:dyDescent="0.3">
      <c r="AB1074" s="71" t="s">
        <v>1550</v>
      </c>
      <c r="AC1074" s="72" t="s">
        <v>1549</v>
      </c>
      <c r="AD1074" s="73" t="str">
        <f t="shared" si="46"/>
        <v>86-3</v>
      </c>
      <c r="AE1074" s="74">
        <f t="shared" si="47"/>
        <v>3</v>
      </c>
      <c r="AF1074" s="71" t="s">
        <v>1552</v>
      </c>
      <c r="AG1074" s="73" t="s">
        <v>1959</v>
      </c>
      <c r="BA1074" s="108" t="s">
        <v>4997</v>
      </c>
      <c r="BB1074" s="182">
        <v>3931903</v>
      </c>
    </row>
    <row r="1075" spans="28:54" ht="15.75" thickBot="1" x14ac:dyDescent="0.3">
      <c r="AB1075" s="71" t="s">
        <v>1550</v>
      </c>
      <c r="AC1075" s="72" t="s">
        <v>1549</v>
      </c>
      <c r="AD1075" s="73" t="str">
        <f t="shared" si="46"/>
        <v>86-4</v>
      </c>
      <c r="AE1075" s="74">
        <f t="shared" si="47"/>
        <v>4</v>
      </c>
      <c r="AF1075" s="71" t="s">
        <v>1553</v>
      </c>
      <c r="AG1075" s="73" t="s">
        <v>2026</v>
      </c>
      <c r="BA1075" s="109" t="s">
        <v>4998</v>
      </c>
      <c r="BB1075" s="183">
        <v>3932101</v>
      </c>
    </row>
    <row r="1076" spans="28:54" ht="15.75" thickBot="1" x14ac:dyDescent="0.3">
      <c r="AB1076" s="71" t="s">
        <v>1550</v>
      </c>
      <c r="AC1076" s="72" t="s">
        <v>1549</v>
      </c>
      <c r="AD1076" s="73" t="str">
        <f t="shared" si="46"/>
        <v>86-5</v>
      </c>
      <c r="AE1076" s="74">
        <f t="shared" si="47"/>
        <v>5</v>
      </c>
      <c r="AF1076" s="71" t="s">
        <v>1554</v>
      </c>
      <c r="AG1076" s="73" t="s">
        <v>2104</v>
      </c>
      <c r="BA1076" s="108" t="s">
        <v>4999</v>
      </c>
      <c r="BB1076" s="182">
        <v>3932901</v>
      </c>
    </row>
    <row r="1077" spans="28:54" ht="15.75" thickBot="1" x14ac:dyDescent="0.3">
      <c r="AB1077" s="71" t="s">
        <v>1550</v>
      </c>
      <c r="AC1077" s="72" t="s">
        <v>1549</v>
      </c>
      <c r="AD1077" s="73" t="str">
        <f t="shared" si="46"/>
        <v>86-6</v>
      </c>
      <c r="AE1077" s="74">
        <f t="shared" si="47"/>
        <v>6</v>
      </c>
      <c r="AF1077" s="71" t="s">
        <v>1555</v>
      </c>
      <c r="AG1077" s="73" t="s">
        <v>2105</v>
      </c>
      <c r="BA1077" s="109" t="s">
        <v>5000</v>
      </c>
      <c r="BB1077" s="183">
        <v>3942001</v>
      </c>
    </row>
    <row r="1078" spans="28:54" ht="15.75" thickBot="1" x14ac:dyDescent="0.3">
      <c r="AB1078" s="71" t="s">
        <v>1550</v>
      </c>
      <c r="AC1078" s="72" t="s">
        <v>1549</v>
      </c>
      <c r="AD1078" s="73" t="str">
        <f t="shared" si="46"/>
        <v>86-7</v>
      </c>
      <c r="AE1078" s="74">
        <f t="shared" si="47"/>
        <v>7</v>
      </c>
      <c r="AF1078" s="71" t="s">
        <v>1556</v>
      </c>
      <c r="AG1078" s="73" t="s">
        <v>348</v>
      </c>
      <c r="BA1078" s="108" t="s">
        <v>5001</v>
      </c>
      <c r="BB1078" s="182">
        <v>3949201</v>
      </c>
    </row>
    <row r="1079" spans="28:54" ht="15.75" thickBot="1" x14ac:dyDescent="0.3">
      <c r="AB1079" s="71" t="s">
        <v>1550</v>
      </c>
      <c r="AC1079" s="72" t="s">
        <v>1549</v>
      </c>
      <c r="AD1079" s="73" t="str">
        <f t="shared" si="46"/>
        <v>86-8</v>
      </c>
      <c r="AE1079" s="74">
        <f t="shared" si="47"/>
        <v>8</v>
      </c>
      <c r="AF1079" s="71" t="s">
        <v>1557</v>
      </c>
      <c r="AG1079" s="73" t="s">
        <v>2106</v>
      </c>
      <c r="BA1079" s="109" t="s">
        <v>5002</v>
      </c>
      <c r="BB1079" s="183">
        <v>3960101</v>
      </c>
    </row>
    <row r="1080" spans="28:54" ht="15.75" thickBot="1" x14ac:dyDescent="0.3">
      <c r="AB1080" s="71" t="s">
        <v>1550</v>
      </c>
      <c r="AC1080" s="72" t="s">
        <v>1549</v>
      </c>
      <c r="AD1080" s="73" t="str">
        <f t="shared" si="46"/>
        <v>86-9</v>
      </c>
      <c r="AE1080" s="74">
        <f t="shared" si="47"/>
        <v>9</v>
      </c>
      <c r="AF1080" s="71" t="s">
        <v>600</v>
      </c>
      <c r="AG1080" s="73" t="s">
        <v>1870</v>
      </c>
      <c r="BA1080" s="108" t="s">
        <v>5003</v>
      </c>
      <c r="BB1080" s="182">
        <v>3960301</v>
      </c>
    </row>
    <row r="1081" spans="28:54" ht="15.75" thickBot="1" x14ac:dyDescent="0.3">
      <c r="AB1081" s="71" t="s">
        <v>1550</v>
      </c>
      <c r="AC1081" s="72" t="s">
        <v>1549</v>
      </c>
      <c r="AD1081" s="73" t="str">
        <f t="shared" si="46"/>
        <v>86-10</v>
      </c>
      <c r="AE1081" s="74">
        <f t="shared" si="47"/>
        <v>10</v>
      </c>
      <c r="AF1081" s="71" t="s">
        <v>1401</v>
      </c>
      <c r="AG1081" s="73" t="s">
        <v>1871</v>
      </c>
      <c r="BA1081" s="109" t="s">
        <v>5004</v>
      </c>
      <c r="BB1081" s="183">
        <v>3960901</v>
      </c>
    </row>
    <row r="1082" spans="28:54" ht="15.75" thickBot="1" x14ac:dyDescent="0.3">
      <c r="AB1082" s="71" t="s">
        <v>1550</v>
      </c>
      <c r="AC1082" s="72" t="s">
        <v>1549</v>
      </c>
      <c r="AD1082" s="73" t="str">
        <f t="shared" si="46"/>
        <v>86-11</v>
      </c>
      <c r="AE1082" s="74">
        <f t="shared" si="47"/>
        <v>11</v>
      </c>
      <c r="AF1082" s="71" t="s">
        <v>1306</v>
      </c>
      <c r="AG1082" s="73" t="s">
        <v>1816</v>
      </c>
      <c r="BA1082" s="108" t="s">
        <v>5005</v>
      </c>
      <c r="BB1082" s="182">
        <v>3970001</v>
      </c>
    </row>
    <row r="1083" spans="28:54" ht="15.75" thickBot="1" x14ac:dyDescent="0.3">
      <c r="AB1083" s="71" t="s">
        <v>1550</v>
      </c>
      <c r="AC1083" s="72" t="s">
        <v>1549</v>
      </c>
      <c r="AD1083" s="73" t="str">
        <f t="shared" si="46"/>
        <v>86-12</v>
      </c>
      <c r="AE1083" s="74">
        <f t="shared" si="47"/>
        <v>12</v>
      </c>
      <c r="AF1083" s="71" t="s">
        <v>1558</v>
      </c>
      <c r="AG1083" s="73" t="s">
        <v>2107</v>
      </c>
      <c r="BA1083" s="109" t="s">
        <v>5006</v>
      </c>
      <c r="BB1083" s="183">
        <v>3990001</v>
      </c>
    </row>
    <row r="1084" spans="28:54" ht="15.75" thickBot="1" x14ac:dyDescent="0.3">
      <c r="AB1084" s="71" t="s">
        <v>1550</v>
      </c>
      <c r="AC1084" s="72" t="s">
        <v>1549</v>
      </c>
      <c r="AD1084" s="73" t="str">
        <f t="shared" si="46"/>
        <v>86-13</v>
      </c>
      <c r="AE1084" s="74">
        <f t="shared" si="47"/>
        <v>13</v>
      </c>
      <c r="AF1084" s="71" t="s">
        <v>1559</v>
      </c>
      <c r="AG1084" s="73" t="s">
        <v>498</v>
      </c>
      <c r="BA1084" s="108" t="s">
        <v>5007</v>
      </c>
      <c r="BB1084" s="182">
        <v>411401</v>
      </c>
    </row>
    <row r="1085" spans="28:54" ht="15.75" thickBot="1" x14ac:dyDescent="0.3">
      <c r="AB1085" s="71" t="s">
        <v>1561</v>
      </c>
      <c r="AC1085" s="72" t="s">
        <v>1560</v>
      </c>
      <c r="AD1085" s="73" t="str">
        <f t="shared" si="46"/>
        <v>88-1</v>
      </c>
      <c r="AE1085" s="74">
        <f t="shared" si="47"/>
        <v>1</v>
      </c>
      <c r="AF1085" s="71" t="s">
        <v>598</v>
      </c>
      <c r="AG1085" s="73" t="s">
        <v>334</v>
      </c>
      <c r="BA1085" s="109" t="s">
        <v>5008</v>
      </c>
      <c r="BB1085" s="183">
        <v>411502</v>
      </c>
    </row>
    <row r="1086" spans="28:54" ht="15.75" thickBot="1" x14ac:dyDescent="0.3">
      <c r="AB1086" s="71" t="s">
        <v>1561</v>
      </c>
      <c r="AC1086" s="72" t="s">
        <v>1560</v>
      </c>
      <c r="AD1086" s="73" t="str">
        <f t="shared" si="46"/>
        <v>88-2</v>
      </c>
      <c r="AE1086" s="74">
        <f t="shared" si="47"/>
        <v>2</v>
      </c>
      <c r="AF1086" s="71" t="s">
        <v>1258</v>
      </c>
      <c r="AG1086" s="73" t="s">
        <v>2108</v>
      </c>
      <c r="BA1086" s="108" t="s">
        <v>5009</v>
      </c>
      <c r="BB1086" s="182">
        <v>420102</v>
      </c>
    </row>
    <row r="1087" spans="28:54" ht="15.75" thickBot="1" x14ac:dyDescent="0.3">
      <c r="AB1087" s="71" t="s">
        <v>1563</v>
      </c>
      <c r="AC1087" s="72" t="s">
        <v>1562</v>
      </c>
      <c r="AD1087" s="73" t="str">
        <f t="shared" si="46"/>
        <v>91-1</v>
      </c>
      <c r="AE1087" s="74">
        <f t="shared" si="47"/>
        <v>1</v>
      </c>
      <c r="AF1087" s="71" t="s">
        <v>1564</v>
      </c>
      <c r="AG1087" s="73" t="s">
        <v>334</v>
      </c>
      <c r="BA1087" s="109" t="s">
        <v>5010</v>
      </c>
      <c r="BB1087" s="183">
        <v>450102</v>
      </c>
    </row>
    <row r="1088" spans="28:54" ht="15.75" thickBot="1" x14ac:dyDescent="0.3">
      <c r="AB1088" s="71" t="s">
        <v>1563</v>
      </c>
      <c r="AC1088" s="72" t="s">
        <v>1562</v>
      </c>
      <c r="AD1088" s="73" t="str">
        <f t="shared" si="46"/>
        <v>91-2</v>
      </c>
      <c r="AE1088" s="74">
        <f t="shared" si="47"/>
        <v>2</v>
      </c>
      <c r="AF1088" s="71" t="s">
        <v>1565</v>
      </c>
      <c r="AG1088" s="73" t="s">
        <v>2102</v>
      </c>
      <c r="BA1088" s="108" t="s">
        <v>5011</v>
      </c>
      <c r="BB1088" s="182">
        <v>450202</v>
      </c>
    </row>
    <row r="1089" spans="28:54" ht="15.75" thickBot="1" x14ac:dyDescent="0.3">
      <c r="AB1089" s="71" t="s">
        <v>1563</v>
      </c>
      <c r="AC1089" s="72" t="s">
        <v>1562</v>
      </c>
      <c r="AD1089" s="73" t="str">
        <f t="shared" si="46"/>
        <v>91-3</v>
      </c>
      <c r="AE1089" s="74">
        <f t="shared" si="47"/>
        <v>3</v>
      </c>
      <c r="AF1089" s="71" t="s">
        <v>1566</v>
      </c>
      <c r="AG1089" s="73" t="s">
        <v>2043</v>
      </c>
      <c r="BA1089" s="109" t="s">
        <v>5012</v>
      </c>
      <c r="BB1089" s="183">
        <v>4133901</v>
      </c>
    </row>
    <row r="1090" spans="28:54" ht="15.75" thickBot="1" x14ac:dyDescent="0.3">
      <c r="AB1090" s="71" t="s">
        <v>1563</v>
      </c>
      <c r="AC1090" s="72" t="s">
        <v>1562</v>
      </c>
      <c r="AD1090" s="73" t="str">
        <f t="shared" si="46"/>
        <v>91-4</v>
      </c>
      <c r="AE1090" s="74">
        <f t="shared" si="47"/>
        <v>4</v>
      </c>
      <c r="AF1090" s="71" t="s">
        <v>1567</v>
      </c>
      <c r="AG1090" s="73" t="s">
        <v>1848</v>
      </c>
      <c r="BA1090" s="108" t="s">
        <v>5013</v>
      </c>
      <c r="BB1090" s="182">
        <v>4149001</v>
      </c>
    </row>
    <row r="1091" spans="28:54" ht="15.75" thickBot="1" x14ac:dyDescent="0.3">
      <c r="AB1091" s="71" t="s">
        <v>1563</v>
      </c>
      <c r="AC1091" s="72" t="s">
        <v>1562</v>
      </c>
      <c r="AD1091" s="73" t="str">
        <f t="shared" ref="AD1091:AD1120" si="48">CONCATENATE(AC1091,"-",AE1091)</f>
        <v>91-5</v>
      </c>
      <c r="AE1091" s="74">
        <f t="shared" ref="AE1091:AE1120" si="49">IF(AB1091=AB1090,1+AE1090,1)</f>
        <v>5</v>
      </c>
      <c r="AF1091" s="71" t="s">
        <v>756</v>
      </c>
      <c r="AG1091" s="73" t="s">
        <v>1803</v>
      </c>
      <c r="BA1091" s="109" t="s">
        <v>5014</v>
      </c>
      <c r="BB1091" s="183">
        <v>4151103</v>
      </c>
    </row>
    <row r="1092" spans="28:54" ht="15.75" thickBot="1" x14ac:dyDescent="0.3">
      <c r="AB1092" s="71" t="s">
        <v>1563</v>
      </c>
      <c r="AC1092" s="72" t="s">
        <v>1562</v>
      </c>
      <c r="AD1092" s="73" t="str">
        <f t="shared" si="48"/>
        <v>91-6</v>
      </c>
      <c r="AE1092" s="74">
        <f t="shared" si="49"/>
        <v>6</v>
      </c>
      <c r="AF1092" s="71" t="s">
        <v>1568</v>
      </c>
      <c r="AG1092" s="73" t="s">
        <v>1903</v>
      </c>
      <c r="BA1092" s="108" t="s">
        <v>5015</v>
      </c>
      <c r="BB1092" s="182">
        <v>4152201</v>
      </c>
    </row>
    <row r="1093" spans="28:54" ht="15.75" thickBot="1" x14ac:dyDescent="0.3">
      <c r="AB1093" s="71" t="s">
        <v>1563</v>
      </c>
      <c r="AC1093" s="72" t="s">
        <v>1562</v>
      </c>
      <c r="AD1093" s="73" t="str">
        <f t="shared" si="48"/>
        <v>91-7</v>
      </c>
      <c r="AE1093" s="74">
        <f t="shared" si="49"/>
        <v>7</v>
      </c>
      <c r="AF1093" s="71" t="s">
        <v>1569</v>
      </c>
      <c r="AG1093" s="73" t="s">
        <v>1970</v>
      </c>
      <c r="BA1093" s="109" t="s">
        <v>5016</v>
      </c>
      <c r="BB1093" s="183">
        <v>4156401</v>
      </c>
    </row>
    <row r="1094" spans="28:54" ht="15.75" thickBot="1" x14ac:dyDescent="0.3">
      <c r="AB1094" s="71" t="s">
        <v>1563</v>
      </c>
      <c r="AC1094" s="72" t="s">
        <v>1562</v>
      </c>
      <c r="AD1094" s="73" t="str">
        <f t="shared" si="48"/>
        <v>91-8</v>
      </c>
      <c r="AE1094" s="74">
        <f t="shared" si="49"/>
        <v>8</v>
      </c>
      <c r="AF1094" s="71" t="s">
        <v>1570</v>
      </c>
      <c r="AG1094" s="73" t="s">
        <v>2109</v>
      </c>
      <c r="BA1094" s="108" t="s">
        <v>5017</v>
      </c>
      <c r="BB1094" s="182">
        <v>4157101</v>
      </c>
    </row>
    <row r="1095" spans="28:54" ht="15.75" thickBot="1" x14ac:dyDescent="0.3">
      <c r="AB1095" s="71" t="s">
        <v>1563</v>
      </c>
      <c r="AC1095" s="72" t="s">
        <v>1562</v>
      </c>
      <c r="AD1095" s="73" t="str">
        <f t="shared" si="48"/>
        <v>91-9</v>
      </c>
      <c r="AE1095" s="74">
        <f t="shared" si="49"/>
        <v>9</v>
      </c>
      <c r="AF1095" s="71" t="s">
        <v>1571</v>
      </c>
      <c r="AG1095" s="73" t="s">
        <v>2046</v>
      </c>
      <c r="BA1095" s="109" t="s">
        <v>5018</v>
      </c>
      <c r="BB1095" s="183">
        <v>4159102</v>
      </c>
    </row>
    <row r="1096" spans="28:54" ht="15.75" thickBot="1" x14ac:dyDescent="0.3">
      <c r="AB1096" s="71" t="s">
        <v>1563</v>
      </c>
      <c r="AC1096" s="72" t="s">
        <v>1562</v>
      </c>
      <c r="AD1096" s="73" t="str">
        <f t="shared" si="48"/>
        <v>91-10</v>
      </c>
      <c r="AE1096" s="74">
        <f t="shared" si="49"/>
        <v>10</v>
      </c>
      <c r="AF1096" s="71" t="s">
        <v>1302</v>
      </c>
      <c r="AG1096" s="73" t="s">
        <v>2069</v>
      </c>
      <c r="BA1096" s="108" t="s">
        <v>5019</v>
      </c>
      <c r="BB1096" s="182">
        <v>4159301</v>
      </c>
    </row>
    <row r="1097" spans="28:54" ht="15.75" thickBot="1" x14ac:dyDescent="0.3">
      <c r="AB1097" s="71" t="s">
        <v>1563</v>
      </c>
      <c r="AC1097" s="72" t="s">
        <v>1562</v>
      </c>
      <c r="AD1097" s="73" t="str">
        <f t="shared" si="48"/>
        <v>91-11</v>
      </c>
      <c r="AE1097" s="74">
        <f t="shared" si="49"/>
        <v>11</v>
      </c>
      <c r="AF1097" s="71" t="s">
        <v>1572</v>
      </c>
      <c r="AG1097" s="73" t="s">
        <v>1875</v>
      </c>
      <c r="BA1097" s="109" t="s">
        <v>5020</v>
      </c>
      <c r="BB1097" s="183">
        <v>4171002</v>
      </c>
    </row>
    <row r="1098" spans="28:54" ht="15.75" thickBot="1" x14ac:dyDescent="0.3">
      <c r="AB1098" s="71" t="s">
        <v>1574</v>
      </c>
      <c r="AC1098" s="72" t="s">
        <v>1573</v>
      </c>
      <c r="AD1098" s="73" t="str">
        <f t="shared" si="48"/>
        <v>94-1</v>
      </c>
      <c r="AE1098" s="74">
        <f t="shared" si="49"/>
        <v>1</v>
      </c>
      <c r="AF1098" s="71" t="s">
        <v>1575</v>
      </c>
      <c r="AG1098" s="73" t="s">
        <v>334</v>
      </c>
      <c r="BA1098" s="108" t="s">
        <v>5021</v>
      </c>
      <c r="BB1098" s="182">
        <v>4173003</v>
      </c>
    </row>
    <row r="1099" spans="28:54" ht="15.75" thickBot="1" x14ac:dyDescent="0.3">
      <c r="AB1099" s="71" t="s">
        <v>1574</v>
      </c>
      <c r="AC1099" s="72" t="s">
        <v>1573</v>
      </c>
      <c r="AD1099" s="73" t="str">
        <f t="shared" si="48"/>
        <v>94-2</v>
      </c>
      <c r="AE1099" s="74">
        <f t="shared" si="49"/>
        <v>2</v>
      </c>
      <c r="AF1099" s="71" t="s">
        <v>1576</v>
      </c>
      <c r="AG1099" s="73" t="s">
        <v>2110</v>
      </c>
      <c r="BA1099" s="109" t="s">
        <v>5022</v>
      </c>
      <c r="BB1099" s="183">
        <v>4174903</v>
      </c>
    </row>
    <row r="1100" spans="28:54" ht="15.75" thickBot="1" x14ac:dyDescent="0.3">
      <c r="AB1100" s="71" t="s">
        <v>1574</v>
      </c>
      <c r="AC1100" s="72" t="s">
        <v>1573</v>
      </c>
      <c r="AD1100" s="73" t="str">
        <f t="shared" si="48"/>
        <v>94-3</v>
      </c>
      <c r="AE1100" s="74">
        <f t="shared" si="49"/>
        <v>3</v>
      </c>
      <c r="AF1100" s="71" t="s">
        <v>1577</v>
      </c>
      <c r="AG1100" s="73" t="s">
        <v>2111</v>
      </c>
      <c r="BA1100" s="108" t="s">
        <v>5023</v>
      </c>
      <c r="BB1100" s="182">
        <v>4182002</v>
      </c>
    </row>
    <row r="1101" spans="28:54" ht="15.75" thickBot="1" x14ac:dyDescent="0.3">
      <c r="AB1101" s="71" t="s">
        <v>1574</v>
      </c>
      <c r="AC1101" s="72" t="s">
        <v>1573</v>
      </c>
      <c r="AD1101" s="73" t="str">
        <f t="shared" si="48"/>
        <v>94-4</v>
      </c>
      <c r="AE1101" s="74">
        <f t="shared" si="49"/>
        <v>4</v>
      </c>
      <c r="AF1101" s="71" t="s">
        <v>1578</v>
      </c>
      <c r="AG1101" s="73" t="s">
        <v>2112</v>
      </c>
      <c r="BA1101" s="109" t="s">
        <v>5024</v>
      </c>
      <c r="BB1101" s="183">
        <v>4191001</v>
      </c>
    </row>
    <row r="1102" spans="28:54" ht="15.75" thickBot="1" x14ac:dyDescent="0.3">
      <c r="AB1102" s="71" t="s">
        <v>1574</v>
      </c>
      <c r="AC1102" s="72" t="s">
        <v>1573</v>
      </c>
      <c r="AD1102" s="73" t="str">
        <f t="shared" si="48"/>
        <v>94-5</v>
      </c>
      <c r="AE1102" s="74">
        <f t="shared" si="49"/>
        <v>5</v>
      </c>
      <c r="AF1102" s="71" t="s">
        <v>650</v>
      </c>
      <c r="AG1102" s="73" t="s">
        <v>2113</v>
      </c>
      <c r="BA1102" s="108" t="s">
        <v>5025</v>
      </c>
      <c r="BB1102" s="182">
        <v>4202001</v>
      </c>
    </row>
    <row r="1103" spans="28:54" ht="15.75" thickBot="1" x14ac:dyDescent="0.3">
      <c r="AB1103" s="71" t="s">
        <v>1574</v>
      </c>
      <c r="AC1103" s="72" t="s">
        <v>1573</v>
      </c>
      <c r="AD1103" s="73" t="str">
        <f t="shared" si="48"/>
        <v>94-6</v>
      </c>
      <c r="AE1103" s="74">
        <f t="shared" si="49"/>
        <v>6</v>
      </c>
      <c r="AF1103" s="71" t="s">
        <v>1579</v>
      </c>
      <c r="AG1103" s="73" t="s">
        <v>498</v>
      </c>
      <c r="BA1103" s="109" t="s">
        <v>5026</v>
      </c>
      <c r="BB1103" s="183">
        <v>4210101</v>
      </c>
    </row>
    <row r="1104" spans="28:54" ht="15.75" thickBot="1" x14ac:dyDescent="0.3">
      <c r="AB1104" s="71" t="s">
        <v>1574</v>
      </c>
      <c r="AC1104" s="72" t="s">
        <v>1573</v>
      </c>
      <c r="AD1104" s="73" t="str">
        <f t="shared" si="48"/>
        <v>94-7</v>
      </c>
      <c r="AE1104" s="74">
        <f t="shared" si="49"/>
        <v>7</v>
      </c>
      <c r="AF1104" s="71" t="s">
        <v>1580</v>
      </c>
      <c r="AG1104" s="73" t="s">
        <v>2114</v>
      </c>
      <c r="BA1104" s="108" t="s">
        <v>5027</v>
      </c>
      <c r="BB1104" s="182">
        <v>4210203</v>
      </c>
    </row>
    <row r="1105" spans="28:54" ht="15.75" thickBot="1" x14ac:dyDescent="0.3">
      <c r="AB1105" s="71" t="s">
        <v>1574</v>
      </c>
      <c r="AC1105" s="72" t="s">
        <v>1573</v>
      </c>
      <c r="AD1105" s="73" t="str">
        <f t="shared" si="48"/>
        <v>94-8</v>
      </c>
      <c r="AE1105" s="74">
        <f t="shared" si="49"/>
        <v>8</v>
      </c>
      <c r="AF1105" s="71" t="s">
        <v>1581</v>
      </c>
      <c r="AG1105" s="73" t="s">
        <v>1776</v>
      </c>
      <c r="BA1105" s="109" t="s">
        <v>5028</v>
      </c>
      <c r="BB1105" s="183">
        <v>4210901</v>
      </c>
    </row>
    <row r="1106" spans="28:54" ht="15.75" thickBot="1" x14ac:dyDescent="0.3">
      <c r="AB1106" s="71" t="s">
        <v>1574</v>
      </c>
      <c r="AC1106" s="72" t="s">
        <v>1573</v>
      </c>
      <c r="AD1106" s="73" t="str">
        <f t="shared" si="48"/>
        <v>94-9</v>
      </c>
      <c r="AE1106" s="74">
        <f t="shared" si="49"/>
        <v>9</v>
      </c>
      <c r="AF1106" s="71" t="s">
        <v>1582</v>
      </c>
      <c r="AG1106" s="73" t="s">
        <v>382</v>
      </c>
      <c r="BA1106" s="108" t="s">
        <v>5029</v>
      </c>
      <c r="BB1106" s="182">
        <v>4222002</v>
      </c>
    </row>
    <row r="1107" spans="28:54" ht="15.75" thickBot="1" x14ac:dyDescent="0.3">
      <c r="AB1107" s="71" t="s">
        <v>1584</v>
      </c>
      <c r="AC1107" s="72" t="s">
        <v>1583</v>
      </c>
      <c r="AD1107" s="73" t="str">
        <f t="shared" si="48"/>
        <v>95-1</v>
      </c>
      <c r="AE1107" s="74">
        <f t="shared" si="49"/>
        <v>1</v>
      </c>
      <c r="AF1107" s="71" t="s">
        <v>1585</v>
      </c>
      <c r="AG1107" s="73" t="s">
        <v>334</v>
      </c>
      <c r="BA1107" s="109" t="s">
        <v>5030</v>
      </c>
      <c r="BB1107" s="183">
        <v>4223901</v>
      </c>
    </row>
    <row r="1108" spans="28:54" ht="15.75" thickBot="1" x14ac:dyDescent="0.3">
      <c r="AB1108" s="71" t="s">
        <v>1584</v>
      </c>
      <c r="AC1108" s="72" t="s">
        <v>1583</v>
      </c>
      <c r="AD1108" s="73" t="str">
        <f t="shared" si="48"/>
        <v>95-2</v>
      </c>
      <c r="AE1108" s="74">
        <f t="shared" si="49"/>
        <v>2</v>
      </c>
      <c r="AF1108" s="71" t="s">
        <v>671</v>
      </c>
      <c r="AG1108" s="73" t="s">
        <v>2098</v>
      </c>
      <c r="BA1108" s="108" t="s">
        <v>5031</v>
      </c>
      <c r="BB1108" s="182">
        <v>4232201</v>
      </c>
    </row>
    <row r="1109" spans="28:54" ht="15.75" thickBot="1" x14ac:dyDescent="0.3">
      <c r="AB1109" s="71" t="s">
        <v>1584</v>
      </c>
      <c r="AC1109" s="72" t="s">
        <v>1583</v>
      </c>
      <c r="AD1109" s="73" t="str">
        <f t="shared" si="48"/>
        <v>95-3</v>
      </c>
      <c r="AE1109" s="74">
        <f t="shared" si="49"/>
        <v>3</v>
      </c>
      <c r="AF1109" s="71" t="s">
        <v>1586</v>
      </c>
      <c r="AG1109" s="73" t="s">
        <v>1994</v>
      </c>
      <c r="BA1109" s="112" t="s">
        <v>5032</v>
      </c>
      <c r="BB1109" s="184">
        <v>4241102</v>
      </c>
    </row>
    <row r="1110" spans="28:54" ht="15.75" thickBot="1" x14ac:dyDescent="0.3">
      <c r="AB1110" s="71" t="s">
        <v>1584</v>
      </c>
      <c r="AC1110" s="72" t="s">
        <v>1583</v>
      </c>
      <c r="AD1110" s="73" t="str">
        <f t="shared" si="48"/>
        <v>95-4</v>
      </c>
      <c r="AE1110" s="74">
        <f t="shared" si="49"/>
        <v>4</v>
      </c>
      <c r="AF1110" s="71" t="s">
        <v>761</v>
      </c>
      <c r="AG1110" s="73" t="s">
        <v>1950</v>
      </c>
      <c r="BA1110" s="109" t="s">
        <v>5033</v>
      </c>
      <c r="BB1110" s="183">
        <v>4241201</v>
      </c>
    </row>
    <row r="1111" spans="28:54" ht="15.75" thickBot="1" x14ac:dyDescent="0.3">
      <c r="AB1111" s="71" t="s">
        <v>1588</v>
      </c>
      <c r="AC1111" s="72" t="s">
        <v>1587</v>
      </c>
      <c r="AD1111" s="73" t="str">
        <f t="shared" si="48"/>
        <v>97-1</v>
      </c>
      <c r="AE1111" s="74">
        <f t="shared" si="49"/>
        <v>1</v>
      </c>
      <c r="AF1111" s="71" t="s">
        <v>1589</v>
      </c>
      <c r="AG1111" s="73" t="s">
        <v>334</v>
      </c>
      <c r="BA1111" s="109" t="s">
        <v>5034</v>
      </c>
      <c r="BB1111" s="183">
        <v>4242202</v>
      </c>
    </row>
    <row r="1112" spans="28:54" ht="15.75" thickBot="1" x14ac:dyDescent="0.3">
      <c r="AB1112" s="71" t="s">
        <v>1588</v>
      </c>
      <c r="AC1112" s="72" t="s">
        <v>1587</v>
      </c>
      <c r="AD1112" s="73" t="str">
        <f t="shared" si="48"/>
        <v>97-2</v>
      </c>
      <c r="AE1112" s="74">
        <f t="shared" si="49"/>
        <v>2</v>
      </c>
      <c r="AF1112" s="71" t="s">
        <v>1590</v>
      </c>
      <c r="AG1112" s="73" t="s">
        <v>2014</v>
      </c>
      <c r="BA1112" s="109" t="s">
        <v>5035</v>
      </c>
      <c r="BB1112" s="183">
        <v>4242903</v>
      </c>
    </row>
    <row r="1113" spans="28:54" ht="15.75" thickBot="1" x14ac:dyDescent="0.3">
      <c r="AB1113" s="71" t="s">
        <v>1588</v>
      </c>
      <c r="AC1113" s="72" t="s">
        <v>1587</v>
      </c>
      <c r="AD1113" s="73" t="str">
        <f t="shared" si="48"/>
        <v>97-3</v>
      </c>
      <c r="AE1113" s="74">
        <f t="shared" si="49"/>
        <v>3</v>
      </c>
      <c r="AF1113" s="71" t="s">
        <v>1591</v>
      </c>
      <c r="AG1113" s="73" t="s">
        <v>322</v>
      </c>
      <c r="BA1113" s="109" t="s">
        <v>5036</v>
      </c>
      <c r="BB1113" s="183">
        <v>4251101</v>
      </c>
    </row>
    <row r="1114" spans="28:54" ht="15.75" thickBot="1" x14ac:dyDescent="0.3">
      <c r="AB1114" s="71" t="s">
        <v>1588</v>
      </c>
      <c r="AC1114" s="72" t="s">
        <v>1587</v>
      </c>
      <c r="AD1114" s="73" t="str">
        <f t="shared" si="48"/>
        <v>97-4</v>
      </c>
      <c r="AE1114" s="74">
        <f t="shared" si="49"/>
        <v>4</v>
      </c>
      <c r="AF1114" s="71" t="s">
        <v>1592</v>
      </c>
      <c r="AG1114" s="73" t="s">
        <v>2115</v>
      </c>
      <c r="BA1114" s="109" t="s">
        <v>5037</v>
      </c>
      <c r="BB1114" s="183">
        <v>4251201</v>
      </c>
    </row>
    <row r="1115" spans="28:54" ht="15.75" thickBot="1" x14ac:dyDescent="0.3">
      <c r="AB1115" s="71" t="s">
        <v>1588</v>
      </c>
      <c r="AC1115" s="72" t="s">
        <v>1587</v>
      </c>
      <c r="AD1115" s="73" t="str">
        <f t="shared" si="48"/>
        <v>97-5</v>
      </c>
      <c r="AE1115" s="74">
        <f t="shared" si="49"/>
        <v>5</v>
      </c>
      <c r="AF1115" s="71" t="s">
        <v>1593</v>
      </c>
      <c r="AG1115" s="73" t="s">
        <v>1897</v>
      </c>
      <c r="BA1115" s="109" t="s">
        <v>5038</v>
      </c>
      <c r="BB1115" s="183">
        <v>4251301</v>
      </c>
    </row>
    <row r="1116" spans="28:54" ht="15.75" thickBot="1" x14ac:dyDescent="0.3">
      <c r="AB1116" s="71" t="s">
        <v>1588</v>
      </c>
      <c r="AC1116" s="72" t="s">
        <v>1587</v>
      </c>
      <c r="AD1116" s="73" t="str">
        <f t="shared" si="48"/>
        <v>97-6</v>
      </c>
      <c r="AE1116" s="74">
        <f t="shared" si="49"/>
        <v>6</v>
      </c>
      <c r="AF1116" s="71" t="s">
        <v>1594</v>
      </c>
      <c r="AG1116" s="73" t="s">
        <v>2116</v>
      </c>
      <c r="BA1116" s="109" t="s">
        <v>5039</v>
      </c>
      <c r="BB1116" s="183">
        <v>4251903</v>
      </c>
    </row>
    <row r="1117" spans="28:54" ht="15.75" thickBot="1" x14ac:dyDescent="0.3">
      <c r="AB1117" s="71" t="s">
        <v>1596</v>
      </c>
      <c r="AC1117" s="72" t="s">
        <v>1595</v>
      </c>
      <c r="AD1117" s="73" t="str">
        <f t="shared" si="48"/>
        <v>99-1</v>
      </c>
      <c r="AE1117" s="74">
        <f t="shared" si="49"/>
        <v>1</v>
      </c>
      <c r="AF1117" s="71" t="s">
        <v>1597</v>
      </c>
      <c r="AG1117" s="73" t="s">
        <v>334</v>
      </c>
      <c r="BA1117" s="109" t="s">
        <v>5040</v>
      </c>
      <c r="BB1117" s="183">
        <v>4261002</v>
      </c>
    </row>
    <row r="1118" spans="28:54" ht="15.75" thickBot="1" x14ac:dyDescent="0.3">
      <c r="AB1118" s="71" t="s">
        <v>1596</v>
      </c>
      <c r="AC1118" s="72" t="s">
        <v>1595</v>
      </c>
      <c r="AD1118" s="73" t="str">
        <f t="shared" si="48"/>
        <v>99-2</v>
      </c>
      <c r="AE1118" s="74">
        <f t="shared" si="49"/>
        <v>2</v>
      </c>
      <c r="AF1118" s="71" t="s">
        <v>1598</v>
      </c>
      <c r="AG1118" s="73" t="s">
        <v>1892</v>
      </c>
      <c r="BA1118" s="109" t="s">
        <v>5041</v>
      </c>
      <c r="BB1118" s="183">
        <v>4269101</v>
      </c>
    </row>
    <row r="1119" spans="28:54" ht="15.75" thickBot="1" x14ac:dyDescent="0.3">
      <c r="AB1119" s="71" t="s">
        <v>1596</v>
      </c>
      <c r="AC1119" s="72" t="s">
        <v>1595</v>
      </c>
      <c r="AD1119" s="73" t="str">
        <f t="shared" si="48"/>
        <v>99-3</v>
      </c>
      <c r="AE1119" s="74">
        <f t="shared" si="49"/>
        <v>3</v>
      </c>
      <c r="AF1119" s="71" t="s">
        <v>1599</v>
      </c>
      <c r="AG1119" s="73" t="s">
        <v>2087</v>
      </c>
      <c r="BA1119" s="109" t="s">
        <v>5042</v>
      </c>
      <c r="BB1119" s="183">
        <v>4269201</v>
      </c>
    </row>
    <row r="1120" spans="28:54" ht="15.75" thickBot="1" x14ac:dyDescent="0.3">
      <c r="AB1120" s="75" t="s">
        <v>1596</v>
      </c>
      <c r="AC1120" s="76" t="s">
        <v>1595</v>
      </c>
      <c r="AD1120" s="77" t="str">
        <f t="shared" si="48"/>
        <v>99-4</v>
      </c>
      <c r="AE1120" s="78">
        <f t="shared" si="49"/>
        <v>4</v>
      </c>
      <c r="AF1120" s="75" t="s">
        <v>1600</v>
      </c>
      <c r="AG1120" s="77" t="s">
        <v>442</v>
      </c>
      <c r="BA1120" s="109" t="s">
        <v>5043</v>
      </c>
      <c r="BB1120" s="183">
        <v>4269301</v>
      </c>
    </row>
    <row r="1121" spans="53:54" ht="15.75" thickBot="1" x14ac:dyDescent="0.3">
      <c r="BA1121" s="109" t="s">
        <v>5044</v>
      </c>
      <c r="BB1121" s="183">
        <v>4269501</v>
      </c>
    </row>
    <row r="1122" spans="53:54" ht="15.75" thickBot="1" x14ac:dyDescent="0.3">
      <c r="BA1122" s="109" t="s">
        <v>5045</v>
      </c>
      <c r="BB1122" s="183">
        <v>4269902</v>
      </c>
    </row>
    <row r="1123" spans="53:54" ht="15.75" thickBot="1" x14ac:dyDescent="0.3">
      <c r="BA1123" s="109" t="s">
        <v>5046</v>
      </c>
      <c r="BB1123" s="183">
        <v>4272901</v>
      </c>
    </row>
    <row r="1124" spans="53:54" ht="15.75" thickBot="1" x14ac:dyDescent="0.3">
      <c r="BA1124" s="109" t="s">
        <v>5047</v>
      </c>
      <c r="BB1124" s="183">
        <v>4289102</v>
      </c>
    </row>
    <row r="1125" spans="53:54" ht="15.75" thickBot="1" x14ac:dyDescent="0.3">
      <c r="BA1125" s="109" t="s">
        <v>5048</v>
      </c>
      <c r="BB1125" s="183">
        <v>4289202</v>
      </c>
    </row>
    <row r="1126" spans="53:54" ht="15.75" thickBot="1" x14ac:dyDescent="0.3">
      <c r="BA1126" s="109" t="s">
        <v>5049</v>
      </c>
      <c r="BB1126" s="183">
        <v>4289301</v>
      </c>
    </row>
    <row r="1127" spans="53:54" ht="15.75" thickBot="1" x14ac:dyDescent="0.3">
      <c r="BA1127" s="109" t="s">
        <v>5050</v>
      </c>
      <c r="BB1127" s="183">
        <v>4289903</v>
      </c>
    </row>
    <row r="1128" spans="53:54" ht="15.75" thickBot="1" x14ac:dyDescent="0.3">
      <c r="BA1128" s="109" t="s">
        <v>5051</v>
      </c>
      <c r="BB1128" s="183">
        <v>4291101</v>
      </c>
    </row>
    <row r="1129" spans="53:54" ht="15.75" thickBot="1" x14ac:dyDescent="0.3">
      <c r="BA1129" s="109" t="s">
        <v>5052</v>
      </c>
      <c r="BB1129" s="183">
        <v>4291401</v>
      </c>
    </row>
    <row r="1130" spans="53:54" ht="15.75" thickBot="1" x14ac:dyDescent="0.3">
      <c r="BA1130" s="109" t="s">
        <v>5053</v>
      </c>
      <c r="BB1130" s="183">
        <v>4292501</v>
      </c>
    </row>
    <row r="1131" spans="53:54" ht="15.75" thickBot="1" x14ac:dyDescent="0.3">
      <c r="BA1131" s="109" t="s">
        <v>4649</v>
      </c>
      <c r="BB1131" s="183">
        <v>4292602</v>
      </c>
    </row>
    <row r="1132" spans="53:54" ht="15.75" thickBot="1" x14ac:dyDescent="0.3">
      <c r="BA1132" s="109" t="s">
        <v>5054</v>
      </c>
      <c r="BB1132" s="183">
        <v>4292902</v>
      </c>
    </row>
    <row r="1133" spans="53:54" ht="15.75" thickBot="1" x14ac:dyDescent="0.3">
      <c r="BA1133" s="109" t="s">
        <v>5055</v>
      </c>
      <c r="BB1133" s="183">
        <v>4300002</v>
      </c>
    </row>
    <row r="1134" spans="53:54" ht="15.75" thickBot="1" x14ac:dyDescent="0.3">
      <c r="BA1134" s="109" t="s">
        <v>5056</v>
      </c>
      <c r="BB1134" s="183">
        <v>4313001</v>
      </c>
    </row>
    <row r="1135" spans="53:54" ht="15.75" thickBot="1" x14ac:dyDescent="0.3">
      <c r="BA1135" s="109" t="s">
        <v>5057</v>
      </c>
      <c r="BB1135" s="183">
        <v>4314001</v>
      </c>
    </row>
    <row r="1136" spans="53:54" ht="15.75" thickBot="1" x14ac:dyDescent="0.3">
      <c r="BA1136" s="109" t="s">
        <v>5058</v>
      </c>
      <c r="BB1136" s="183">
        <v>4315002</v>
      </c>
    </row>
    <row r="1137" spans="53:54" ht="15.75" thickBot="1" x14ac:dyDescent="0.3">
      <c r="BA1137" s="109" t="s">
        <v>5059</v>
      </c>
      <c r="BB1137" s="183">
        <v>4341002</v>
      </c>
    </row>
    <row r="1138" spans="53:54" ht="15.75" thickBot="1" x14ac:dyDescent="0.3">
      <c r="BA1138" s="109" t="s">
        <v>5060</v>
      </c>
      <c r="BB1138" s="183">
        <v>4353002</v>
      </c>
    </row>
    <row r="1139" spans="53:54" ht="15.75" thickBot="1" x14ac:dyDescent="0.3">
      <c r="BA1139" s="109" t="s">
        <v>5061</v>
      </c>
      <c r="BB1139" s="183">
        <v>4359102</v>
      </c>
    </row>
    <row r="1140" spans="53:54" ht="15.75" thickBot="1" x14ac:dyDescent="0.3">
      <c r="BA1140" s="109" t="s">
        <v>5062</v>
      </c>
      <c r="BB1140" s="183">
        <v>4369102</v>
      </c>
    </row>
    <row r="1141" spans="53:54" ht="15.75" thickBot="1" x14ac:dyDescent="0.3">
      <c r="BA1141" s="109" t="s">
        <v>5063</v>
      </c>
      <c r="BB1141" s="183">
        <v>4369903</v>
      </c>
    </row>
    <row r="1142" spans="53:54" ht="15.75" thickBot="1" x14ac:dyDescent="0.3">
      <c r="BA1142" s="109" t="s">
        <v>5064</v>
      </c>
      <c r="BB1142" s="183">
        <v>4401001</v>
      </c>
    </row>
    <row r="1143" spans="53:54" ht="15.75" thickBot="1" x14ac:dyDescent="0.3">
      <c r="BA1143" s="109" t="s">
        <v>5065</v>
      </c>
      <c r="BB1143" s="183">
        <v>4402001</v>
      </c>
    </row>
    <row r="1144" spans="53:54" ht="15.75" thickBot="1" x14ac:dyDescent="0.3">
      <c r="BA1144" s="109" t="s">
        <v>5066</v>
      </c>
      <c r="BB1144" s="183">
        <v>4452101</v>
      </c>
    </row>
    <row r="1145" spans="53:54" ht="15.75" thickBot="1" x14ac:dyDescent="0.3">
      <c r="BA1145" s="109" t="s">
        <v>5067</v>
      </c>
      <c r="BB1145" s="183">
        <v>4453001</v>
      </c>
    </row>
    <row r="1146" spans="53:54" ht="15.75" thickBot="1" x14ac:dyDescent="0.3">
      <c r="BA1146" s="109" t="s">
        <v>5068</v>
      </c>
      <c r="BB1146" s="183">
        <v>4454202</v>
      </c>
    </row>
    <row r="1147" spans="53:54" ht="15.75" thickBot="1" x14ac:dyDescent="0.3">
      <c r="BA1147" s="109" t="s">
        <v>5069</v>
      </c>
      <c r="BB1147" s="183">
        <v>4454301</v>
      </c>
    </row>
    <row r="1148" spans="53:54" ht="15.75" thickBot="1" x14ac:dyDescent="0.3">
      <c r="BA1148" s="109" t="s">
        <v>5070</v>
      </c>
      <c r="BB1148" s="183">
        <v>4454901</v>
      </c>
    </row>
    <row r="1149" spans="53:54" ht="15.75" thickBot="1" x14ac:dyDescent="0.3">
      <c r="BA1149" s="109" t="s">
        <v>5071</v>
      </c>
      <c r="BB1149" s="183">
        <v>4456001</v>
      </c>
    </row>
    <row r="1150" spans="53:54" ht="15.75" thickBot="1" x14ac:dyDescent="0.3">
      <c r="BA1150" s="109" t="s">
        <v>5072</v>
      </c>
      <c r="BB1150" s="183">
        <v>4502001</v>
      </c>
    </row>
    <row r="1151" spans="53:54" ht="15.75" thickBot="1" x14ac:dyDescent="0.3">
      <c r="BA1151" s="109" t="s">
        <v>5073</v>
      </c>
      <c r="BB1151" s="183">
        <v>4511302</v>
      </c>
    </row>
    <row r="1152" spans="53:54" ht="15.75" thickBot="1" x14ac:dyDescent="0.3">
      <c r="BA1152" s="109" t="s">
        <v>5074</v>
      </c>
      <c r="BB1152" s="183">
        <v>4514102</v>
      </c>
    </row>
    <row r="1153" spans="53:54" ht="15.75" thickBot="1" x14ac:dyDescent="0.3">
      <c r="BA1153" s="109" t="s">
        <v>5075</v>
      </c>
      <c r="BB1153" s="183">
        <v>4515302</v>
      </c>
    </row>
    <row r="1154" spans="53:54" ht="15.75" thickBot="1" x14ac:dyDescent="0.3">
      <c r="BA1154" s="109" t="s">
        <v>5076</v>
      </c>
      <c r="BB1154" s="183">
        <v>4517003</v>
      </c>
    </row>
    <row r="1155" spans="53:54" ht="15.75" thickBot="1" x14ac:dyDescent="0.3">
      <c r="BA1155" s="109" t="s">
        <v>5077</v>
      </c>
      <c r="BB1155" s="183">
        <v>4523903</v>
      </c>
    </row>
    <row r="1156" spans="53:54" ht="15.75" thickBot="1" x14ac:dyDescent="0.3">
      <c r="BA1156" s="109" t="s">
        <v>5078</v>
      </c>
      <c r="BB1156" s="183">
        <v>4524104</v>
      </c>
    </row>
    <row r="1157" spans="53:54" ht="15.75" thickBot="1" x14ac:dyDescent="0.3">
      <c r="BA1157" s="109" t="s">
        <v>5079</v>
      </c>
      <c r="BB1157" s="183">
        <v>4601001</v>
      </c>
    </row>
    <row r="1158" spans="53:54" ht="15.75" thickBot="1" x14ac:dyDescent="0.3">
      <c r="BA1158" s="109" t="s">
        <v>5080</v>
      </c>
      <c r="BB1158" s="183">
        <v>4602101</v>
      </c>
    </row>
    <row r="1159" spans="53:54" ht="15.75" thickBot="1" x14ac:dyDescent="0.3">
      <c r="BA1159" s="109" t="s">
        <v>5081</v>
      </c>
      <c r="BB1159" s="183">
        <v>4602201</v>
      </c>
    </row>
    <row r="1160" spans="53:54" ht="15.75" thickBot="1" x14ac:dyDescent="0.3">
      <c r="BA1160" s="109" t="s">
        <v>5082</v>
      </c>
      <c r="BB1160" s="183">
        <v>4602301</v>
      </c>
    </row>
    <row r="1161" spans="53:54" ht="15.75" thickBot="1" x14ac:dyDescent="0.3">
      <c r="BA1161" s="109" t="s">
        <v>5083</v>
      </c>
      <c r="BB1161" s="183">
        <v>4603101</v>
      </c>
    </row>
    <row r="1162" spans="53:54" ht="15.75" thickBot="1" x14ac:dyDescent="0.3">
      <c r="BA1162" s="109" t="s">
        <v>5084</v>
      </c>
      <c r="BB1162" s="183">
        <v>4603201</v>
      </c>
    </row>
    <row r="1163" spans="53:54" ht="15.75" thickBot="1" x14ac:dyDescent="0.3">
      <c r="BA1163" s="109" t="s">
        <v>5085</v>
      </c>
      <c r="BB1163" s="183">
        <v>4603901</v>
      </c>
    </row>
    <row r="1164" spans="53:54" ht="15.75" thickBot="1" x14ac:dyDescent="0.3">
      <c r="BA1164" s="109" t="s">
        <v>5086</v>
      </c>
      <c r="BB1164" s="183">
        <v>4604102</v>
      </c>
    </row>
    <row r="1165" spans="53:54" ht="15.75" thickBot="1" x14ac:dyDescent="0.3">
      <c r="BA1165" s="109" t="s">
        <v>5087</v>
      </c>
      <c r="BB1165" s="183">
        <v>4604201</v>
      </c>
    </row>
    <row r="1166" spans="53:54" ht="15.75" thickBot="1" x14ac:dyDescent="0.3">
      <c r="BA1166" s="109" t="s">
        <v>5088</v>
      </c>
      <c r="BB1166" s="183">
        <v>4604301</v>
      </c>
    </row>
    <row r="1167" spans="53:54" ht="15.75" thickBot="1" x14ac:dyDescent="0.3">
      <c r="BA1167" s="109" t="s">
        <v>5089</v>
      </c>
      <c r="BB1167" s="183">
        <v>4604401</v>
      </c>
    </row>
    <row r="1168" spans="53:54" ht="15.75" thickBot="1" x14ac:dyDescent="0.3">
      <c r="BA1168" s="109" t="s">
        <v>5090</v>
      </c>
      <c r="BB1168" s="183">
        <v>4611101</v>
      </c>
    </row>
    <row r="1169" spans="53:54" ht="15.75" thickBot="1" x14ac:dyDescent="0.3">
      <c r="BA1169" s="109" t="s">
        <v>5091</v>
      </c>
      <c r="BB1169" s="183">
        <v>4611201</v>
      </c>
    </row>
    <row r="1170" spans="53:54" ht="15.75" thickBot="1" x14ac:dyDescent="0.3">
      <c r="BA1170" s="109" t="s">
        <v>5092</v>
      </c>
      <c r="BB1170" s="183">
        <v>4612001</v>
      </c>
    </row>
    <row r="1171" spans="53:54" ht="15.75" thickBot="1" x14ac:dyDescent="0.3">
      <c r="BA1171" s="109" t="s">
        <v>5093</v>
      </c>
      <c r="BB1171" s="183">
        <v>4621101</v>
      </c>
    </row>
    <row r="1172" spans="53:54" ht="15.75" thickBot="1" x14ac:dyDescent="0.3">
      <c r="BA1172" s="109" t="s">
        <v>5094</v>
      </c>
      <c r="BB1172" s="183">
        <v>4621201</v>
      </c>
    </row>
    <row r="1173" spans="53:54" ht="15.75" thickBot="1" x14ac:dyDescent="0.3">
      <c r="BA1173" s="109" t="s">
        <v>5095</v>
      </c>
      <c r="BB1173" s="183">
        <v>4621301</v>
      </c>
    </row>
    <row r="1174" spans="53:54" ht="15.75" thickBot="1" x14ac:dyDescent="0.3">
      <c r="BA1174" s="109" t="s">
        <v>5096</v>
      </c>
      <c r="BB1174" s="183">
        <v>4621401</v>
      </c>
    </row>
    <row r="1175" spans="53:54" ht="15.75" thickBot="1" x14ac:dyDescent="0.3">
      <c r="BA1175" s="109" t="s">
        <v>5097</v>
      </c>
      <c r="BB1175" s="183">
        <v>4622001</v>
      </c>
    </row>
    <row r="1176" spans="53:54" ht="15.75" thickBot="1" x14ac:dyDescent="0.3">
      <c r="BA1176" s="109" t="s">
        <v>5098</v>
      </c>
      <c r="BB1176" s="183">
        <v>4633101</v>
      </c>
    </row>
    <row r="1177" spans="53:54" ht="15.75" thickBot="1" x14ac:dyDescent="0.3">
      <c r="BA1177" s="109" t="s">
        <v>5099</v>
      </c>
      <c r="BB1177" s="183">
        <v>4633902</v>
      </c>
    </row>
    <row r="1178" spans="53:54" ht="15.75" thickBot="1" x14ac:dyDescent="0.3">
      <c r="BA1178" s="109" t="s">
        <v>5100</v>
      </c>
      <c r="BB1178" s="183">
        <v>4639001</v>
      </c>
    </row>
    <row r="1179" spans="53:54" ht="15.75" thickBot="1" x14ac:dyDescent="0.3">
      <c r="BA1179" s="109" t="s">
        <v>5101</v>
      </c>
      <c r="BB1179" s="183">
        <v>4641101</v>
      </c>
    </row>
    <row r="1180" spans="53:54" ht="15.75" thickBot="1" x14ac:dyDescent="0.3">
      <c r="BA1180" s="109" t="s">
        <v>5102</v>
      </c>
      <c r="BB1180" s="183">
        <v>4641201</v>
      </c>
    </row>
    <row r="1181" spans="53:54" ht="15.75" thickBot="1" x14ac:dyDescent="0.3">
      <c r="BA1181" s="109" t="s">
        <v>5103</v>
      </c>
      <c r="BB1181" s="183">
        <v>4711102</v>
      </c>
    </row>
    <row r="1182" spans="53:54" ht="15.75" thickBot="1" x14ac:dyDescent="0.3">
      <c r="BA1182" s="109" t="s">
        <v>5104</v>
      </c>
      <c r="BB1182" s="183">
        <v>4711202</v>
      </c>
    </row>
    <row r="1183" spans="53:54" ht="15.75" thickBot="1" x14ac:dyDescent="0.3">
      <c r="BA1183" s="109" t="s">
        <v>5105</v>
      </c>
      <c r="BB1183" s="183">
        <v>4711302</v>
      </c>
    </row>
    <row r="1184" spans="53:54" ht="15.75" thickBot="1" x14ac:dyDescent="0.3">
      <c r="BA1184" s="109" t="s">
        <v>5106</v>
      </c>
      <c r="BB1184" s="183">
        <v>4712102</v>
      </c>
    </row>
    <row r="1185" spans="53:54" ht="15.75" thickBot="1" x14ac:dyDescent="0.3">
      <c r="BA1185" s="109" t="s">
        <v>5107</v>
      </c>
      <c r="BB1185" s="183">
        <v>4749202</v>
      </c>
    </row>
    <row r="1186" spans="53:54" ht="15.75" thickBot="1" x14ac:dyDescent="0.3">
      <c r="BA1186" s="109" t="s">
        <v>5108</v>
      </c>
      <c r="BB1186" s="183">
        <v>4749302</v>
      </c>
    </row>
    <row r="1187" spans="53:54" ht="15.75" thickBot="1" x14ac:dyDescent="0.3">
      <c r="BA1187" s="109" t="s">
        <v>5109</v>
      </c>
      <c r="BB1187" s="183">
        <v>4749402</v>
      </c>
    </row>
    <row r="1188" spans="53:54" ht="15.75" thickBot="1" x14ac:dyDescent="0.3">
      <c r="BA1188" s="109" t="s">
        <v>5110</v>
      </c>
      <c r="BB1188" s="183">
        <v>4749502</v>
      </c>
    </row>
    <row r="1189" spans="53:54" ht="15.75" thickBot="1" x14ac:dyDescent="0.3">
      <c r="BA1189" s="109" t="s">
        <v>5111</v>
      </c>
      <c r="BB1189" s="183">
        <v>4900002</v>
      </c>
    </row>
    <row r="1190" spans="53:54" ht="15.75" thickBot="1" x14ac:dyDescent="0.3">
      <c r="BA1190" s="109" t="s">
        <v>5112</v>
      </c>
      <c r="BB1190" s="183">
        <v>4922001</v>
      </c>
    </row>
    <row r="1191" spans="53:54" ht="15.75" thickBot="1" x14ac:dyDescent="0.3">
      <c r="BA1191" s="109" t="s">
        <v>5113</v>
      </c>
      <c r="BB1191" s="183">
        <v>4930303</v>
      </c>
    </row>
    <row r="1192" spans="53:54" ht="15.75" thickBot="1" x14ac:dyDescent="0.3">
      <c r="BA1192" s="109" t="s">
        <v>5114</v>
      </c>
      <c r="BB1192" s="183">
        <v>4012401</v>
      </c>
    </row>
    <row r="1193" spans="53:54" ht="15.75" thickBot="1" x14ac:dyDescent="0.3">
      <c r="BA1193" s="109" t="s">
        <v>5115</v>
      </c>
      <c r="BB1193" s="183">
        <v>4016101</v>
      </c>
    </row>
    <row r="1194" spans="53:54" ht="15.75" thickBot="1" x14ac:dyDescent="0.3">
      <c r="BA1194" s="109" t="s">
        <v>5116</v>
      </c>
      <c r="BB1194" s="183">
        <v>4031101</v>
      </c>
    </row>
    <row r="1195" spans="53:54" ht="15.75" thickBot="1" x14ac:dyDescent="0.3">
      <c r="BA1195" s="109" t="s">
        <v>5117</v>
      </c>
      <c r="BB1195" s="183">
        <v>4031102</v>
      </c>
    </row>
    <row r="1196" spans="53:54" ht="15.75" thickBot="1" x14ac:dyDescent="0.3">
      <c r="BA1196" s="109" t="s">
        <v>5118</v>
      </c>
      <c r="BB1196" s="183">
        <v>4031201</v>
      </c>
    </row>
    <row r="1197" spans="53:54" ht="15.75" thickBot="1" x14ac:dyDescent="0.3">
      <c r="BA1197" s="109" t="s">
        <v>5119</v>
      </c>
      <c r="BB1197" s="183">
        <v>4031202</v>
      </c>
    </row>
    <row r="1198" spans="53:54" ht="15.75" thickBot="1" x14ac:dyDescent="0.3">
      <c r="BA1198" s="109" t="s">
        <v>5120</v>
      </c>
      <c r="BB1198" s="183">
        <v>4072901</v>
      </c>
    </row>
    <row r="1199" spans="53:54" ht="15.75" thickBot="1" x14ac:dyDescent="0.3">
      <c r="BA1199" s="109" t="s">
        <v>5121</v>
      </c>
      <c r="BB1199" s="183">
        <v>4089901</v>
      </c>
    </row>
    <row r="1200" spans="53:54" ht="15.75" thickBot="1" x14ac:dyDescent="0.3">
      <c r="BA1200" s="109" t="s">
        <v>5122</v>
      </c>
      <c r="BB1200" s="183">
        <v>4101101</v>
      </c>
    </row>
    <row r="1201" spans="53:54" ht="15.75" thickBot="1" x14ac:dyDescent="0.3">
      <c r="BA1201" s="109" t="s">
        <v>5123</v>
      </c>
      <c r="BB1201" s="183">
        <v>4101102</v>
      </c>
    </row>
    <row r="1202" spans="53:54" ht="15.75" thickBot="1" x14ac:dyDescent="0.3">
      <c r="BA1202" s="109" t="s">
        <v>5124</v>
      </c>
      <c r="BB1202" s="183">
        <v>4101103</v>
      </c>
    </row>
    <row r="1203" spans="53:54" ht="15.75" thickBot="1" x14ac:dyDescent="0.3">
      <c r="BA1203" s="109" t="s">
        <v>5125</v>
      </c>
      <c r="BB1203" s="183">
        <v>4103001</v>
      </c>
    </row>
    <row r="1204" spans="53:54" ht="15.75" thickBot="1" x14ac:dyDescent="0.3">
      <c r="BA1204" s="109" t="s">
        <v>5126</v>
      </c>
      <c r="BB1204" s="183">
        <v>4103002</v>
      </c>
    </row>
    <row r="1205" spans="53:54" ht="15.75" thickBot="1" x14ac:dyDescent="0.3">
      <c r="BA1205" s="109" t="s">
        <v>5127</v>
      </c>
      <c r="BB1205" s="183">
        <v>4103003</v>
      </c>
    </row>
    <row r="1206" spans="53:54" ht="15.75" thickBot="1" x14ac:dyDescent="0.3">
      <c r="BA1206" s="109" t="s">
        <v>5128</v>
      </c>
      <c r="BB1206" s="183">
        <v>4103004</v>
      </c>
    </row>
    <row r="1207" spans="53:54" ht="15.75" thickBot="1" x14ac:dyDescent="0.3">
      <c r="BA1207" s="109" t="s">
        <v>5129</v>
      </c>
      <c r="BB1207" s="183">
        <v>4103005</v>
      </c>
    </row>
    <row r="1208" spans="53:54" ht="15.75" thickBot="1" x14ac:dyDescent="0.3">
      <c r="BA1208" s="109" t="s">
        <v>5130</v>
      </c>
      <c r="BB1208" s="183">
        <v>4106301</v>
      </c>
    </row>
    <row r="1209" spans="53:54" ht="15.75" thickBot="1" x14ac:dyDescent="0.3">
      <c r="BA1209" s="109" t="s">
        <v>5131</v>
      </c>
      <c r="BB1209" s="183">
        <v>4107101</v>
      </c>
    </row>
    <row r="1210" spans="53:54" ht="15.75" thickBot="1" x14ac:dyDescent="0.3">
      <c r="BA1210" s="109" t="s">
        <v>5132</v>
      </c>
      <c r="BB1210" s="183">
        <v>4107102</v>
      </c>
    </row>
    <row r="1211" spans="53:54" ht="15.75" thickBot="1" x14ac:dyDescent="0.3">
      <c r="BA1211" s="109" t="s">
        <v>5133</v>
      </c>
      <c r="BB1211" s="183">
        <v>4110101</v>
      </c>
    </row>
    <row r="1212" spans="53:54" ht="15.75" thickBot="1" x14ac:dyDescent="0.3">
      <c r="BA1212" s="109" t="s">
        <v>5134</v>
      </c>
      <c r="BB1212" s="183">
        <v>4110301</v>
      </c>
    </row>
    <row r="1213" spans="53:54" ht="15.75" thickBot="1" x14ac:dyDescent="0.3">
      <c r="BA1213" s="109" t="s">
        <v>5135</v>
      </c>
      <c r="BB1213" s="183">
        <v>4110302</v>
      </c>
    </row>
    <row r="1214" spans="53:54" ht="15.75" thickBot="1" x14ac:dyDescent="0.3">
      <c r="BA1214" s="109" t="s">
        <v>5136</v>
      </c>
      <c r="BB1214" s="183">
        <v>4131101</v>
      </c>
    </row>
    <row r="1215" spans="53:54" ht="15.75" thickBot="1" x14ac:dyDescent="0.3">
      <c r="BA1215" s="109" t="s">
        <v>5137</v>
      </c>
      <c r="BB1215" s="183">
        <v>4131102</v>
      </c>
    </row>
    <row r="1216" spans="53:54" ht="15.75" thickBot="1" x14ac:dyDescent="0.3">
      <c r="BA1216" s="109" t="s">
        <v>5138</v>
      </c>
      <c r="BB1216" s="183">
        <v>4131201</v>
      </c>
    </row>
    <row r="1217" spans="53:54" ht="15.75" thickBot="1" x14ac:dyDescent="0.3">
      <c r="BA1217" s="109" t="s">
        <v>5139</v>
      </c>
      <c r="BB1217" s="183">
        <v>4131202</v>
      </c>
    </row>
    <row r="1218" spans="53:54" ht="15.75" thickBot="1" x14ac:dyDescent="0.3">
      <c r="BA1218" s="109" t="s">
        <v>5140</v>
      </c>
      <c r="BB1218" s="183">
        <v>4131203</v>
      </c>
    </row>
    <row r="1219" spans="53:54" ht="15.75" thickBot="1" x14ac:dyDescent="0.3">
      <c r="BA1219" s="109" t="s">
        <v>5141</v>
      </c>
      <c r="BB1219" s="183">
        <v>4131204</v>
      </c>
    </row>
    <row r="1220" spans="53:54" ht="15.75" thickBot="1" x14ac:dyDescent="0.3">
      <c r="BA1220" s="109" t="s">
        <v>5142</v>
      </c>
      <c r="BB1220" s="183">
        <v>4131301</v>
      </c>
    </row>
    <row r="1221" spans="53:54" ht="15.75" thickBot="1" x14ac:dyDescent="0.3">
      <c r="BA1221" s="109" t="s">
        <v>5143</v>
      </c>
      <c r="BB1221" s="183">
        <v>4139901</v>
      </c>
    </row>
    <row r="1222" spans="53:54" ht="15.75" thickBot="1" x14ac:dyDescent="0.3">
      <c r="BA1222" s="109" t="s">
        <v>5144</v>
      </c>
      <c r="BB1222" s="183">
        <v>4139902</v>
      </c>
    </row>
    <row r="1223" spans="53:54" ht="15.75" thickBot="1" x14ac:dyDescent="0.3">
      <c r="BA1223" s="109" t="s">
        <v>5145</v>
      </c>
      <c r="BB1223" s="183">
        <v>4139903</v>
      </c>
    </row>
    <row r="1224" spans="53:54" ht="15.75" thickBot="1" x14ac:dyDescent="0.3">
      <c r="BA1224" s="109" t="s">
        <v>5146</v>
      </c>
      <c r="BB1224" s="183">
        <v>4139904</v>
      </c>
    </row>
    <row r="1225" spans="53:54" ht="15.75" thickBot="1" x14ac:dyDescent="0.3">
      <c r="BA1225" s="109" t="s">
        <v>5147</v>
      </c>
      <c r="BB1225" s="183">
        <v>4151101</v>
      </c>
    </row>
    <row r="1226" spans="53:54" ht="15.75" thickBot="1" x14ac:dyDescent="0.3">
      <c r="BA1226" s="109" t="s">
        <v>5148</v>
      </c>
      <c r="BB1226" s="183">
        <v>4151102</v>
      </c>
    </row>
    <row r="1227" spans="53:54" ht="15.75" thickBot="1" x14ac:dyDescent="0.3">
      <c r="BA1227" s="109" t="s">
        <v>5149</v>
      </c>
      <c r="BB1227" s="183">
        <v>4161001</v>
      </c>
    </row>
    <row r="1228" spans="53:54" ht="15.75" thickBot="1" x14ac:dyDescent="0.3">
      <c r="BA1228" s="109" t="s">
        <v>5150</v>
      </c>
      <c r="BB1228" s="183">
        <v>4162001</v>
      </c>
    </row>
    <row r="1229" spans="53:54" ht="15.75" thickBot="1" x14ac:dyDescent="0.3">
      <c r="BA1229" s="109" t="s">
        <v>5151</v>
      </c>
      <c r="BB1229" s="183">
        <v>4162002</v>
      </c>
    </row>
    <row r="1230" spans="53:54" ht="15.75" thickBot="1" x14ac:dyDescent="0.3">
      <c r="BA1230" s="109" t="s">
        <v>5152</v>
      </c>
      <c r="BB1230" s="183">
        <v>4170101</v>
      </c>
    </row>
    <row r="1231" spans="53:54" ht="15.75" thickBot="1" x14ac:dyDescent="0.3">
      <c r="BA1231" s="109" t="s">
        <v>5153</v>
      </c>
      <c r="BB1231" s="183">
        <v>4170102</v>
      </c>
    </row>
    <row r="1232" spans="53:54" ht="15.75" thickBot="1" x14ac:dyDescent="0.3">
      <c r="BA1232" s="109" t="s">
        <v>5154</v>
      </c>
      <c r="BB1232" s="183">
        <v>4170103</v>
      </c>
    </row>
    <row r="1233" spans="53:54" ht="15.75" thickBot="1" x14ac:dyDescent="0.3">
      <c r="BA1233" s="109" t="s">
        <v>5155</v>
      </c>
      <c r="BB1233" s="183">
        <v>4170104</v>
      </c>
    </row>
    <row r="1234" spans="53:54" ht="15.75" thickBot="1" x14ac:dyDescent="0.3">
      <c r="BA1234" s="109" t="s">
        <v>5156</v>
      </c>
      <c r="BB1234" s="183">
        <v>4170105</v>
      </c>
    </row>
    <row r="1235" spans="53:54" ht="15.75" thickBot="1" x14ac:dyDescent="0.3">
      <c r="BA1235" s="109" t="s">
        <v>5157</v>
      </c>
      <c r="BB1235" s="183">
        <v>4170106</v>
      </c>
    </row>
    <row r="1236" spans="53:54" ht="15.75" thickBot="1" x14ac:dyDescent="0.3">
      <c r="BA1236" s="109" t="s">
        <v>5158</v>
      </c>
      <c r="BB1236" s="183">
        <v>4170107</v>
      </c>
    </row>
    <row r="1237" spans="53:54" ht="15.75" thickBot="1" x14ac:dyDescent="0.3">
      <c r="BA1237" s="109" t="s">
        <v>5159</v>
      </c>
      <c r="BB1237" s="183">
        <v>4170201</v>
      </c>
    </row>
    <row r="1238" spans="53:54" ht="15.75" thickBot="1" x14ac:dyDescent="0.3">
      <c r="BA1238" s="109" t="s">
        <v>5160</v>
      </c>
      <c r="BB1238" s="183">
        <v>4170901</v>
      </c>
    </row>
    <row r="1239" spans="53:54" ht="15.75" thickBot="1" x14ac:dyDescent="0.3">
      <c r="BA1239" s="109" t="s">
        <v>5161</v>
      </c>
      <c r="BB1239" s="183">
        <v>4170902</v>
      </c>
    </row>
    <row r="1240" spans="53:54" ht="15.75" thickBot="1" x14ac:dyDescent="0.3">
      <c r="BA1240" s="109" t="s">
        <v>5162</v>
      </c>
      <c r="BB1240" s="183">
        <v>4170903</v>
      </c>
    </row>
    <row r="1241" spans="53:54" ht="15.75" thickBot="1" x14ac:dyDescent="0.3">
      <c r="BA1241" s="109" t="s">
        <v>5163</v>
      </c>
      <c r="BB1241" s="183">
        <v>4181101</v>
      </c>
    </row>
    <row r="1242" spans="53:54" ht="15.75" thickBot="1" x14ac:dyDescent="0.3">
      <c r="BA1242" s="109" t="s">
        <v>5164</v>
      </c>
      <c r="BB1242" s="183">
        <v>4181102</v>
      </c>
    </row>
    <row r="1243" spans="53:54" ht="15.75" thickBot="1" x14ac:dyDescent="0.3">
      <c r="BA1243" s="109" t="s">
        <v>5165</v>
      </c>
      <c r="BB1243" s="183">
        <v>4181103</v>
      </c>
    </row>
    <row r="1244" spans="53:54" ht="15.75" thickBot="1" x14ac:dyDescent="0.3">
      <c r="BA1244" s="109" t="s">
        <v>5166</v>
      </c>
      <c r="BB1244" s="183">
        <v>4181104</v>
      </c>
    </row>
    <row r="1245" spans="53:54" ht="15.75" thickBot="1" x14ac:dyDescent="0.3">
      <c r="BA1245" s="109" t="s">
        <v>5167</v>
      </c>
      <c r="BB1245" s="183">
        <v>4192101</v>
      </c>
    </row>
    <row r="1246" spans="53:54" ht="15.75" thickBot="1" x14ac:dyDescent="0.3">
      <c r="BA1246" s="109" t="s">
        <v>5168</v>
      </c>
      <c r="BB1246" s="183">
        <v>4192102</v>
      </c>
    </row>
    <row r="1247" spans="53:54" ht="15.75" thickBot="1" x14ac:dyDescent="0.3">
      <c r="BA1247" s="109" t="s">
        <v>5169</v>
      </c>
      <c r="BB1247" s="183">
        <v>4201101</v>
      </c>
    </row>
    <row r="1248" spans="53:54" ht="15.75" thickBot="1" x14ac:dyDescent="0.3">
      <c r="BA1248" s="109" t="s">
        <v>5170</v>
      </c>
      <c r="BB1248" s="183">
        <v>4201102</v>
      </c>
    </row>
    <row r="1249" spans="53:54" ht="15.75" thickBot="1" x14ac:dyDescent="0.3">
      <c r="BA1249" s="109" t="s">
        <v>5171</v>
      </c>
      <c r="BB1249" s="183">
        <v>4201103</v>
      </c>
    </row>
    <row r="1250" spans="53:54" ht="15.75" thickBot="1" x14ac:dyDescent="0.3">
      <c r="BA1250" s="109" t="s">
        <v>5172</v>
      </c>
      <c r="BB1250" s="183">
        <v>4201104</v>
      </c>
    </row>
    <row r="1251" spans="53:54" ht="15.75" thickBot="1" x14ac:dyDescent="0.3">
      <c r="BA1251" s="109" t="s">
        <v>5173</v>
      </c>
      <c r="BB1251" s="183">
        <v>4201201</v>
      </c>
    </row>
    <row r="1252" spans="53:54" ht="15.75" thickBot="1" x14ac:dyDescent="0.3">
      <c r="BA1252" s="109" t="s">
        <v>5174</v>
      </c>
      <c r="BB1252" s="183">
        <v>4201202</v>
      </c>
    </row>
    <row r="1253" spans="53:54" ht="15.75" thickBot="1" x14ac:dyDescent="0.3">
      <c r="BA1253" s="109" t="s">
        <v>5175</v>
      </c>
      <c r="BB1253" s="183">
        <v>4202201</v>
      </c>
    </row>
    <row r="1254" spans="53:54" ht="15.75" thickBot="1" x14ac:dyDescent="0.3">
      <c r="BA1254" s="109" t="s">
        <v>5176</v>
      </c>
      <c r="BB1254" s="183">
        <v>4202202</v>
      </c>
    </row>
    <row r="1255" spans="53:54" ht="15.75" thickBot="1" x14ac:dyDescent="0.3">
      <c r="BA1255" s="109" t="s">
        <v>5177</v>
      </c>
      <c r="BB1255" s="183">
        <v>4202901</v>
      </c>
    </row>
    <row r="1256" spans="53:54" ht="15.75" thickBot="1" x14ac:dyDescent="0.3">
      <c r="BA1256" s="109" t="s">
        <v>5178</v>
      </c>
      <c r="BB1256" s="183">
        <v>4202902</v>
      </c>
    </row>
    <row r="1257" spans="53:54" ht="15.75" thickBot="1" x14ac:dyDescent="0.3">
      <c r="BA1257" s="109" t="s">
        <v>5179</v>
      </c>
      <c r="BB1257" s="183">
        <v>4202903</v>
      </c>
    </row>
    <row r="1258" spans="53:54" ht="15.75" thickBot="1" x14ac:dyDescent="0.3">
      <c r="BA1258" s="109" t="s">
        <v>5180</v>
      </c>
      <c r="BB1258" s="183">
        <v>4202904</v>
      </c>
    </row>
    <row r="1259" spans="53:54" ht="15.75" thickBot="1" x14ac:dyDescent="0.3">
      <c r="BA1259" s="109" t="s">
        <v>5181</v>
      </c>
      <c r="BB1259" s="183">
        <v>4202905</v>
      </c>
    </row>
    <row r="1260" spans="53:54" ht="15.75" thickBot="1" x14ac:dyDescent="0.3">
      <c r="BA1260" s="109" t="s">
        <v>5182</v>
      </c>
      <c r="BB1260" s="183">
        <v>4202906</v>
      </c>
    </row>
    <row r="1261" spans="53:54" ht="15.75" thickBot="1" x14ac:dyDescent="0.3">
      <c r="BA1261" s="109" t="s">
        <v>5183</v>
      </c>
      <c r="BB1261" s="183">
        <v>4202907</v>
      </c>
    </row>
    <row r="1262" spans="53:54" ht="15.75" thickBot="1" x14ac:dyDescent="0.3">
      <c r="BA1262" s="109" t="s">
        <v>5184</v>
      </c>
      <c r="BB1262" s="183">
        <v>4221101</v>
      </c>
    </row>
    <row r="1263" spans="53:54" ht="15.75" thickBot="1" x14ac:dyDescent="0.3">
      <c r="BA1263" s="109" t="s">
        <v>5185</v>
      </c>
      <c r="BB1263" s="183">
        <v>4221102</v>
      </c>
    </row>
    <row r="1264" spans="53:54" ht="15.75" thickBot="1" x14ac:dyDescent="0.3">
      <c r="BA1264" s="109" t="s">
        <v>5186</v>
      </c>
      <c r="BB1264" s="183">
        <v>4221201</v>
      </c>
    </row>
    <row r="1265" spans="53:54" ht="15.75" thickBot="1" x14ac:dyDescent="0.3">
      <c r="BA1265" s="109" t="s">
        <v>5187</v>
      </c>
      <c r="BB1265" s="183">
        <v>4221901</v>
      </c>
    </row>
    <row r="1266" spans="53:54" ht="15.75" thickBot="1" x14ac:dyDescent="0.3">
      <c r="BA1266" s="109" t="s">
        <v>5188</v>
      </c>
      <c r="BB1266" s="183">
        <v>4221902</v>
      </c>
    </row>
    <row r="1267" spans="53:54" ht="15.75" thickBot="1" x14ac:dyDescent="0.3">
      <c r="BA1267" s="109" t="s">
        <v>5189</v>
      </c>
      <c r="BB1267" s="183">
        <v>4222101</v>
      </c>
    </row>
    <row r="1268" spans="53:54" ht="15.75" thickBot="1" x14ac:dyDescent="0.3">
      <c r="BA1268" s="109" t="s">
        <v>5190</v>
      </c>
      <c r="BB1268" s="183">
        <v>4231001</v>
      </c>
    </row>
    <row r="1269" spans="53:54" ht="15.75" thickBot="1" x14ac:dyDescent="0.3">
      <c r="BA1269" s="109" t="s">
        <v>5191</v>
      </c>
      <c r="BB1269" s="183">
        <v>4231002</v>
      </c>
    </row>
    <row r="1270" spans="53:54" ht="15.75" thickBot="1" x14ac:dyDescent="0.3">
      <c r="BA1270" s="109" t="s">
        <v>5192</v>
      </c>
      <c r="BB1270" s="183">
        <v>4239101</v>
      </c>
    </row>
    <row r="1271" spans="53:54" ht="15.75" thickBot="1" x14ac:dyDescent="0.3">
      <c r="BA1271" s="109" t="s">
        <v>5193</v>
      </c>
      <c r="BB1271" s="183">
        <v>4239102</v>
      </c>
    </row>
    <row r="1272" spans="53:54" ht="15.75" thickBot="1" x14ac:dyDescent="0.3">
      <c r="BA1272" s="109" t="s">
        <v>5194</v>
      </c>
      <c r="BB1272" s="183">
        <v>4239201</v>
      </c>
    </row>
    <row r="1273" spans="53:54" ht="15.75" thickBot="1" x14ac:dyDescent="0.3">
      <c r="BA1273" s="109" t="s">
        <v>5195</v>
      </c>
      <c r="BB1273" s="183">
        <v>4239301</v>
      </c>
    </row>
    <row r="1274" spans="53:54" ht="15.75" thickBot="1" x14ac:dyDescent="0.3">
      <c r="BA1274" s="109" t="s">
        <v>5196</v>
      </c>
      <c r="BB1274" s="183">
        <v>4239302</v>
      </c>
    </row>
    <row r="1275" spans="53:54" ht="15.75" thickBot="1" x14ac:dyDescent="0.3">
      <c r="BA1275" s="109" t="s">
        <v>5197</v>
      </c>
      <c r="BB1275" s="183">
        <v>4239303</v>
      </c>
    </row>
    <row r="1276" spans="53:54" ht="15.75" thickBot="1" x14ac:dyDescent="0.3">
      <c r="BA1276" s="109" t="s">
        <v>5198</v>
      </c>
      <c r="BB1276" s="183">
        <v>4239304</v>
      </c>
    </row>
    <row r="1277" spans="53:54" ht="15.75" thickBot="1" x14ac:dyDescent="0.3">
      <c r="BA1277" s="109" t="s">
        <v>5199</v>
      </c>
      <c r="BB1277" s="183">
        <v>4239305</v>
      </c>
    </row>
    <row r="1278" spans="53:54" ht="15.75" thickBot="1" x14ac:dyDescent="0.3">
      <c r="BA1278" s="109" t="s">
        <v>5200</v>
      </c>
      <c r="BB1278" s="183">
        <v>4239306</v>
      </c>
    </row>
    <row r="1279" spans="53:54" ht="15.75" thickBot="1" x14ac:dyDescent="0.3">
      <c r="BA1279" s="109" t="s">
        <v>5201</v>
      </c>
      <c r="BB1279" s="183">
        <v>4239501</v>
      </c>
    </row>
    <row r="1280" spans="53:54" ht="15.75" thickBot="1" x14ac:dyDescent="0.3">
      <c r="BA1280" s="109" t="s">
        <v>5202</v>
      </c>
      <c r="BB1280" s="183">
        <v>4239502</v>
      </c>
    </row>
    <row r="1281" spans="53:54" ht="15.75" thickBot="1" x14ac:dyDescent="0.3">
      <c r="BA1281" s="109" t="s">
        <v>5203</v>
      </c>
      <c r="BB1281" s="183">
        <v>4239503</v>
      </c>
    </row>
    <row r="1282" spans="53:54" ht="15.75" thickBot="1" x14ac:dyDescent="0.3">
      <c r="BA1282" s="109" t="s">
        <v>5204</v>
      </c>
      <c r="BB1282" s="183">
        <v>4239504</v>
      </c>
    </row>
    <row r="1283" spans="53:54" ht="15.75" thickBot="1" x14ac:dyDescent="0.3">
      <c r="BA1283" s="109" t="s">
        <v>5205</v>
      </c>
      <c r="BB1283" s="183">
        <v>4239901</v>
      </c>
    </row>
    <row r="1284" spans="53:54" ht="15.75" thickBot="1" x14ac:dyDescent="0.3">
      <c r="BA1284" s="109" t="s">
        <v>5206</v>
      </c>
      <c r="BB1284" s="183">
        <v>4242901</v>
      </c>
    </row>
    <row r="1285" spans="53:54" ht="15.75" thickBot="1" x14ac:dyDescent="0.3">
      <c r="BA1285" s="109" t="s">
        <v>5207</v>
      </c>
      <c r="BB1285" s="183">
        <v>4242902</v>
      </c>
    </row>
    <row r="1286" spans="53:54" ht="15.75" thickBot="1" x14ac:dyDescent="0.3">
      <c r="BA1286" s="109" t="s">
        <v>5208</v>
      </c>
      <c r="BB1286" s="183">
        <v>4259201</v>
      </c>
    </row>
    <row r="1287" spans="53:54" ht="15.75" thickBot="1" x14ac:dyDescent="0.3">
      <c r="BA1287" s="109" t="s">
        <v>5209</v>
      </c>
      <c r="BB1287" s="183">
        <v>4259202</v>
      </c>
    </row>
    <row r="1288" spans="53:54" ht="15.75" thickBot="1" x14ac:dyDescent="0.3">
      <c r="BA1288" s="109" t="s">
        <v>5210</v>
      </c>
      <c r="BB1288" s="183">
        <v>4259301</v>
      </c>
    </row>
    <row r="1289" spans="53:54" ht="15.75" thickBot="1" x14ac:dyDescent="0.3">
      <c r="BA1289" s="109" t="s">
        <v>5211</v>
      </c>
      <c r="BB1289" s="183">
        <v>4259302</v>
      </c>
    </row>
    <row r="1290" spans="53:54" ht="15.75" thickBot="1" x14ac:dyDescent="0.3">
      <c r="BA1290" s="109" t="s">
        <v>5212</v>
      </c>
      <c r="BB1290" s="183">
        <v>4259901</v>
      </c>
    </row>
    <row r="1291" spans="53:54" ht="15.75" thickBot="1" x14ac:dyDescent="0.3">
      <c r="BA1291" s="109" t="s">
        <v>5213</v>
      </c>
      <c r="BB1291" s="183">
        <v>4259902</v>
      </c>
    </row>
    <row r="1292" spans="53:54" ht="15.75" thickBot="1" x14ac:dyDescent="0.3">
      <c r="BA1292" s="109" t="s">
        <v>5214</v>
      </c>
      <c r="BB1292" s="183">
        <v>4259903</v>
      </c>
    </row>
    <row r="1293" spans="53:54" ht="15.75" thickBot="1" x14ac:dyDescent="0.3">
      <c r="BA1293" s="109" t="s">
        <v>5215</v>
      </c>
      <c r="BB1293" s="183">
        <v>4259904</v>
      </c>
    </row>
    <row r="1294" spans="53:54" ht="15.75" thickBot="1" x14ac:dyDescent="0.3">
      <c r="BA1294" s="109" t="s">
        <v>5216</v>
      </c>
      <c r="BB1294" s="183">
        <v>4259905</v>
      </c>
    </row>
    <row r="1295" spans="53:54" ht="15.75" thickBot="1" x14ac:dyDescent="0.3">
      <c r="BA1295" s="109" t="s">
        <v>5217</v>
      </c>
      <c r="BB1295" s="183">
        <v>4262001</v>
      </c>
    </row>
    <row r="1296" spans="53:54" ht="15.75" thickBot="1" x14ac:dyDescent="0.3">
      <c r="BA1296" s="109" t="s">
        <v>5218</v>
      </c>
      <c r="BB1296" s="183">
        <v>4272001</v>
      </c>
    </row>
    <row r="1297" spans="53:54" ht="15.75" thickBot="1" x14ac:dyDescent="0.3">
      <c r="BA1297" s="109" t="s">
        <v>5219</v>
      </c>
      <c r="BB1297" s="183">
        <v>4272002</v>
      </c>
    </row>
    <row r="1298" spans="53:54" ht="15.75" thickBot="1" x14ac:dyDescent="0.3">
      <c r="BA1298" s="109" t="s">
        <v>5220</v>
      </c>
      <c r="BB1298" s="183">
        <v>4273101</v>
      </c>
    </row>
    <row r="1299" spans="53:54" ht="15.75" thickBot="1" x14ac:dyDescent="0.3">
      <c r="BA1299" s="109" t="s">
        <v>5221</v>
      </c>
      <c r="BB1299" s="183">
        <v>4274001</v>
      </c>
    </row>
    <row r="1300" spans="53:54" ht="15.75" thickBot="1" x14ac:dyDescent="0.3">
      <c r="BA1300" s="109" t="s">
        <v>5222</v>
      </c>
      <c r="BB1300" s="183">
        <v>4275001</v>
      </c>
    </row>
    <row r="1301" spans="53:54" ht="15.75" thickBot="1" x14ac:dyDescent="0.3">
      <c r="BA1301" s="109" t="s">
        <v>5223</v>
      </c>
      <c r="BB1301" s="183">
        <v>4281101</v>
      </c>
    </row>
    <row r="1302" spans="53:54" ht="15.75" thickBot="1" x14ac:dyDescent="0.3">
      <c r="BA1302" s="109" t="s">
        <v>5224</v>
      </c>
      <c r="BB1302" s="183">
        <v>4281102</v>
      </c>
    </row>
    <row r="1303" spans="53:54" ht="15.75" thickBot="1" x14ac:dyDescent="0.3">
      <c r="BA1303" s="109" t="s">
        <v>5225</v>
      </c>
      <c r="BB1303" s="183">
        <v>4281501</v>
      </c>
    </row>
    <row r="1304" spans="53:54" ht="15.75" thickBot="1" x14ac:dyDescent="0.3">
      <c r="BA1304" s="109" t="s">
        <v>5226</v>
      </c>
      <c r="BB1304" s="183">
        <v>4281701</v>
      </c>
    </row>
    <row r="1305" spans="53:54" ht="15.75" thickBot="1" x14ac:dyDescent="0.3">
      <c r="BA1305" s="109" t="s">
        <v>5227</v>
      </c>
      <c r="BB1305" s="183">
        <v>4281801</v>
      </c>
    </row>
    <row r="1306" spans="53:54" ht="15.75" thickBot="1" x14ac:dyDescent="0.3">
      <c r="BA1306" s="109" t="s">
        <v>5228</v>
      </c>
      <c r="BB1306" s="183">
        <v>4282501</v>
      </c>
    </row>
    <row r="1307" spans="53:54" ht="15.75" thickBot="1" x14ac:dyDescent="0.3">
      <c r="BA1307" s="109" t="s">
        <v>5229</v>
      </c>
      <c r="BB1307" s="183">
        <v>4282502</v>
      </c>
    </row>
    <row r="1308" spans="53:54" ht="15.75" thickBot="1" x14ac:dyDescent="0.3">
      <c r="BA1308" s="109" t="s">
        <v>5230</v>
      </c>
      <c r="BB1308" s="183">
        <v>4282503</v>
      </c>
    </row>
    <row r="1309" spans="53:54" ht="15.75" thickBot="1" x14ac:dyDescent="0.3">
      <c r="BA1309" s="109" t="s">
        <v>5231</v>
      </c>
      <c r="BB1309" s="183">
        <v>4282504</v>
      </c>
    </row>
    <row r="1310" spans="53:54" ht="15.75" thickBot="1" x14ac:dyDescent="0.3">
      <c r="BA1310" s="109" t="s">
        <v>5232</v>
      </c>
      <c r="BB1310" s="183">
        <v>4282505</v>
      </c>
    </row>
    <row r="1311" spans="53:54" ht="15.75" thickBot="1" x14ac:dyDescent="0.3">
      <c r="BA1311" s="109" t="s">
        <v>5233</v>
      </c>
      <c r="BB1311" s="183">
        <v>4282601</v>
      </c>
    </row>
    <row r="1312" spans="53:54" ht="15.75" thickBot="1" x14ac:dyDescent="0.3">
      <c r="BA1312" s="109" t="s">
        <v>5234</v>
      </c>
      <c r="BB1312" s="183">
        <v>4282602</v>
      </c>
    </row>
    <row r="1313" spans="53:54" ht="15.75" thickBot="1" x14ac:dyDescent="0.3">
      <c r="BA1313" s="109" t="s">
        <v>5235</v>
      </c>
      <c r="BB1313" s="183">
        <v>4282603</v>
      </c>
    </row>
    <row r="1314" spans="53:54" ht="15.75" thickBot="1" x14ac:dyDescent="0.3">
      <c r="BA1314" s="109" t="s">
        <v>5236</v>
      </c>
      <c r="BB1314" s="183">
        <v>4282901</v>
      </c>
    </row>
    <row r="1315" spans="53:54" ht="15.75" thickBot="1" x14ac:dyDescent="0.3">
      <c r="BA1315" s="109" t="s">
        <v>5237</v>
      </c>
      <c r="BB1315" s="183">
        <v>4282902</v>
      </c>
    </row>
    <row r="1316" spans="53:54" ht="15.75" thickBot="1" x14ac:dyDescent="0.3">
      <c r="BA1316" s="109" t="s">
        <v>5238</v>
      </c>
      <c r="BB1316" s="183">
        <v>4282903</v>
      </c>
    </row>
    <row r="1317" spans="53:54" ht="15.75" thickBot="1" x14ac:dyDescent="0.3">
      <c r="BA1317" s="109" t="s">
        <v>5239</v>
      </c>
      <c r="BB1317" s="183">
        <v>4291001</v>
      </c>
    </row>
    <row r="1318" spans="53:54" ht="15.75" thickBot="1" x14ac:dyDescent="0.3">
      <c r="BA1318" s="109" t="s">
        <v>5240</v>
      </c>
      <c r="BB1318" s="183">
        <v>4291002</v>
      </c>
    </row>
    <row r="1319" spans="53:54" ht="15.75" thickBot="1" x14ac:dyDescent="0.3">
      <c r="BA1319" s="109" t="s">
        <v>5241</v>
      </c>
      <c r="BB1319" s="183">
        <v>4293001</v>
      </c>
    </row>
    <row r="1320" spans="53:54" ht="15.75" thickBot="1" x14ac:dyDescent="0.3">
      <c r="BA1320" s="109" t="s">
        <v>5242</v>
      </c>
      <c r="BB1320" s="183">
        <v>4293002</v>
      </c>
    </row>
    <row r="1321" spans="53:54" ht="15.75" thickBot="1" x14ac:dyDescent="0.3">
      <c r="BA1321" s="109" t="s">
        <v>5243</v>
      </c>
      <c r="BB1321" s="183">
        <v>4302001</v>
      </c>
    </row>
    <row r="1322" spans="53:54" ht="15.75" thickBot="1" x14ac:dyDescent="0.3">
      <c r="BA1322" s="109" t="s">
        <v>5244</v>
      </c>
      <c r="BB1322" s="183">
        <v>4302002</v>
      </c>
    </row>
    <row r="1323" spans="53:54" ht="15.75" thickBot="1" x14ac:dyDescent="0.3">
      <c r="BA1323" s="109" t="s">
        <v>5245</v>
      </c>
      <c r="BB1323" s="183">
        <v>4302003</v>
      </c>
    </row>
    <row r="1324" spans="53:54" ht="15.75" thickBot="1" x14ac:dyDescent="0.3">
      <c r="BA1324" s="109" t="s">
        <v>5246</v>
      </c>
      <c r="BB1324" s="183">
        <v>4302004</v>
      </c>
    </row>
    <row r="1325" spans="53:54" ht="15.75" thickBot="1" x14ac:dyDescent="0.3">
      <c r="BA1325" s="109" t="s">
        <v>5247</v>
      </c>
      <c r="BB1325" s="183">
        <v>4303001</v>
      </c>
    </row>
    <row r="1326" spans="53:54" ht="15.75" thickBot="1" x14ac:dyDescent="0.3">
      <c r="BA1326" s="109" t="s">
        <v>5248</v>
      </c>
      <c r="BB1326" s="183">
        <v>4303002</v>
      </c>
    </row>
    <row r="1327" spans="53:54" ht="15.75" thickBot="1" x14ac:dyDescent="0.3">
      <c r="BA1327" s="109" t="s">
        <v>5249</v>
      </c>
      <c r="BB1327" s="183">
        <v>4303003</v>
      </c>
    </row>
    <row r="1328" spans="53:54" ht="15.75" thickBot="1" x14ac:dyDescent="0.3">
      <c r="BA1328" s="109" t="s">
        <v>5250</v>
      </c>
      <c r="BB1328" s="183">
        <v>4303004</v>
      </c>
    </row>
    <row r="1329" spans="53:54" ht="15.75" thickBot="1" x14ac:dyDescent="0.3">
      <c r="BA1329" s="109" t="s">
        <v>5251</v>
      </c>
      <c r="BB1329" s="183">
        <v>4303005</v>
      </c>
    </row>
    <row r="1330" spans="53:54" ht="15.75" thickBot="1" x14ac:dyDescent="0.3">
      <c r="BA1330" s="109" t="s">
        <v>5252</v>
      </c>
      <c r="BB1330" s="183">
        <v>4303006</v>
      </c>
    </row>
    <row r="1331" spans="53:54" ht="15.75" thickBot="1" x14ac:dyDescent="0.3">
      <c r="BA1331" s="109" t="s">
        <v>5253</v>
      </c>
      <c r="BB1331" s="183">
        <v>4303007</v>
      </c>
    </row>
    <row r="1332" spans="53:54" ht="15.75" thickBot="1" x14ac:dyDescent="0.3">
      <c r="BA1332" s="109" t="s">
        <v>5254</v>
      </c>
      <c r="BB1332" s="183">
        <v>4309101</v>
      </c>
    </row>
    <row r="1333" spans="53:54" ht="15.75" thickBot="1" x14ac:dyDescent="0.3">
      <c r="BA1333" s="109" t="s">
        <v>5255</v>
      </c>
      <c r="BB1333" s="183">
        <v>4321001</v>
      </c>
    </row>
    <row r="1334" spans="53:54" ht="15.75" thickBot="1" x14ac:dyDescent="0.3">
      <c r="BA1334" s="109" t="s">
        <v>5256</v>
      </c>
      <c r="BB1334" s="183">
        <v>4329001</v>
      </c>
    </row>
    <row r="1335" spans="53:54" ht="15.75" thickBot="1" x14ac:dyDescent="0.3">
      <c r="BA1335" s="109" t="s">
        <v>5257</v>
      </c>
      <c r="BB1335" s="183">
        <v>4329002</v>
      </c>
    </row>
    <row r="1336" spans="53:54" ht="15.75" thickBot="1" x14ac:dyDescent="0.3">
      <c r="BA1336" s="109" t="s">
        <v>5258</v>
      </c>
      <c r="BB1336" s="183">
        <v>4331101</v>
      </c>
    </row>
    <row r="1337" spans="53:54" ht="15.75" thickBot="1" x14ac:dyDescent="0.3">
      <c r="BA1337" s="109" t="s">
        <v>5259</v>
      </c>
      <c r="BB1337" s="183">
        <v>4331201</v>
      </c>
    </row>
    <row r="1338" spans="53:54" ht="15.75" thickBot="1" x14ac:dyDescent="0.3">
      <c r="BA1338" s="109" t="s">
        <v>5260</v>
      </c>
      <c r="BB1338" s="183">
        <v>4331501</v>
      </c>
    </row>
    <row r="1339" spans="53:54" ht="15.75" thickBot="1" x14ac:dyDescent="0.3">
      <c r="BA1339" s="109" t="s">
        <v>5261</v>
      </c>
      <c r="BB1339" s="183">
        <v>4332001</v>
      </c>
    </row>
    <row r="1340" spans="53:54" ht="15.75" thickBot="1" x14ac:dyDescent="0.3">
      <c r="BA1340" s="109" t="s">
        <v>5262</v>
      </c>
      <c r="BB1340" s="183">
        <v>4351401</v>
      </c>
    </row>
    <row r="1341" spans="53:54" ht="15.75" thickBot="1" x14ac:dyDescent="0.3">
      <c r="BA1341" s="109" t="s">
        <v>5263</v>
      </c>
      <c r="BB1341" s="183">
        <v>4352001</v>
      </c>
    </row>
    <row r="1342" spans="53:54" ht="15.75" thickBot="1" x14ac:dyDescent="0.3">
      <c r="BA1342" s="109" t="s">
        <v>5264</v>
      </c>
      <c r="BB1342" s="183">
        <v>4352002</v>
      </c>
    </row>
    <row r="1343" spans="53:54" ht="15.75" thickBot="1" x14ac:dyDescent="0.3">
      <c r="BA1343" s="109" t="s">
        <v>5265</v>
      </c>
      <c r="BB1343" s="183">
        <v>4370001</v>
      </c>
    </row>
    <row r="1344" spans="53:54" ht="15.75" thickBot="1" x14ac:dyDescent="0.3">
      <c r="BA1344" s="109" t="s">
        <v>5266</v>
      </c>
      <c r="BB1344" s="183">
        <v>4381201</v>
      </c>
    </row>
    <row r="1345" spans="53:54" ht="15.75" thickBot="1" x14ac:dyDescent="0.3">
      <c r="BA1345" s="109" t="s">
        <v>5267</v>
      </c>
      <c r="BB1345" s="183">
        <v>4382101</v>
      </c>
    </row>
    <row r="1346" spans="53:54" ht="15.75" thickBot="1" x14ac:dyDescent="0.3">
      <c r="BA1346" s="109" t="s">
        <v>5268</v>
      </c>
      <c r="BB1346" s="183">
        <v>4411101</v>
      </c>
    </row>
    <row r="1347" spans="53:54" ht="15.75" thickBot="1" x14ac:dyDescent="0.3">
      <c r="BA1347" s="109" t="s">
        <v>5269</v>
      </c>
      <c r="BB1347" s="183">
        <v>4429001</v>
      </c>
    </row>
    <row r="1348" spans="53:54" ht="15.75" thickBot="1" x14ac:dyDescent="0.3">
      <c r="BA1348" s="109" t="s">
        <v>5270</v>
      </c>
      <c r="BB1348" s="183">
        <v>4432101</v>
      </c>
    </row>
    <row r="1349" spans="53:54" ht="15.75" thickBot="1" x14ac:dyDescent="0.3">
      <c r="BA1349" s="109" t="s">
        <v>5271</v>
      </c>
      <c r="BB1349" s="183">
        <v>4452001</v>
      </c>
    </row>
    <row r="1350" spans="53:54" ht="15.75" thickBot="1" x14ac:dyDescent="0.3">
      <c r="BA1350" s="109" t="s">
        <v>5272</v>
      </c>
      <c r="BB1350" s="183">
        <v>4461001</v>
      </c>
    </row>
    <row r="1351" spans="53:54" ht="15.75" thickBot="1" x14ac:dyDescent="0.3">
      <c r="BA1351" s="109" t="s">
        <v>5273</v>
      </c>
      <c r="BB1351" s="183">
        <v>4466301</v>
      </c>
    </row>
    <row r="1352" spans="53:54" ht="15.75" thickBot="1" x14ac:dyDescent="0.3">
      <c r="BA1352" s="109" t="s">
        <v>5274</v>
      </c>
      <c r="BB1352" s="183">
        <v>4466401</v>
      </c>
    </row>
    <row r="1353" spans="53:54" ht="15.75" thickBot="1" x14ac:dyDescent="0.3">
      <c r="BA1353" s="109" t="s">
        <v>5275</v>
      </c>
      <c r="BB1353" s="183">
        <v>4466901</v>
      </c>
    </row>
    <row r="1354" spans="53:54" ht="15.75" thickBot="1" x14ac:dyDescent="0.3">
      <c r="BA1354" s="109" t="s">
        <v>5276</v>
      </c>
      <c r="BB1354" s="183">
        <v>4475201</v>
      </c>
    </row>
    <row r="1355" spans="53:54" ht="15.75" thickBot="1" x14ac:dyDescent="0.3">
      <c r="BA1355" s="109" t="s">
        <v>5277</v>
      </c>
      <c r="BB1355" s="183">
        <v>4475901</v>
      </c>
    </row>
    <row r="1356" spans="53:54" ht="15.75" thickBot="1" x14ac:dyDescent="0.3">
      <c r="BA1356" s="109" t="s">
        <v>5278</v>
      </c>
      <c r="BB1356" s="183">
        <v>4491101</v>
      </c>
    </row>
    <row r="1357" spans="53:54" ht="15.75" thickBot="1" x14ac:dyDescent="0.3">
      <c r="BA1357" s="109" t="s">
        <v>5279</v>
      </c>
      <c r="BB1357" s="183">
        <v>4491201</v>
      </c>
    </row>
    <row r="1358" spans="53:54" ht="15.75" thickBot="1" x14ac:dyDescent="0.3">
      <c r="BA1358" s="109" t="s">
        <v>5280</v>
      </c>
      <c r="BB1358" s="183">
        <v>4492101</v>
      </c>
    </row>
    <row r="1359" spans="53:54" ht="15.75" thickBot="1" x14ac:dyDescent="0.3">
      <c r="BA1359" s="109" t="s">
        <v>5281</v>
      </c>
      <c r="BB1359" s="183">
        <v>4492102</v>
      </c>
    </row>
    <row r="1360" spans="53:54" ht="15.75" thickBot="1" x14ac:dyDescent="0.3">
      <c r="BA1360" s="109" t="s">
        <v>3909</v>
      </c>
      <c r="BB1360" s="183">
        <v>4492103</v>
      </c>
    </row>
    <row r="1361" spans="53:54" ht="15.75" thickBot="1" x14ac:dyDescent="0.3">
      <c r="BA1361" s="109" t="s">
        <v>5282</v>
      </c>
      <c r="BB1361" s="183">
        <v>4492104</v>
      </c>
    </row>
    <row r="1362" spans="53:54" ht="15.75" thickBot="1" x14ac:dyDescent="0.3">
      <c r="BA1362" s="109" t="s">
        <v>5283</v>
      </c>
      <c r="BB1362" s="183">
        <v>4492201</v>
      </c>
    </row>
    <row r="1363" spans="53:54" ht="15.75" thickBot="1" x14ac:dyDescent="0.3">
      <c r="BA1363" s="109" t="s">
        <v>5284</v>
      </c>
      <c r="BB1363" s="183">
        <v>4492301</v>
      </c>
    </row>
    <row r="1364" spans="53:54" ht="15.75" thickBot="1" x14ac:dyDescent="0.3">
      <c r="BA1364" s="109" t="s">
        <v>5285</v>
      </c>
      <c r="BB1364" s="183">
        <v>4501101</v>
      </c>
    </row>
    <row r="1365" spans="53:54" ht="15.75" thickBot="1" x14ac:dyDescent="0.3">
      <c r="BA1365" s="109" t="s">
        <v>5286</v>
      </c>
      <c r="BB1365" s="183">
        <v>4501102</v>
      </c>
    </row>
    <row r="1366" spans="53:54" ht="15.75" thickBot="1" x14ac:dyDescent="0.3">
      <c r="BA1366" s="109" t="s">
        <v>5287</v>
      </c>
      <c r="BB1366" s="183">
        <v>4501201</v>
      </c>
    </row>
    <row r="1367" spans="53:54" ht="15.75" thickBot="1" x14ac:dyDescent="0.3">
      <c r="BA1367" s="109" t="s">
        <v>5288</v>
      </c>
      <c r="BB1367" s="183">
        <v>4502101</v>
      </c>
    </row>
    <row r="1368" spans="53:54" ht="15.75" thickBot="1" x14ac:dyDescent="0.3">
      <c r="BA1368" s="109" t="s">
        <v>5289</v>
      </c>
      <c r="BB1368" s="183">
        <v>4502201</v>
      </c>
    </row>
    <row r="1369" spans="53:54" ht="15.75" thickBot="1" x14ac:dyDescent="0.3">
      <c r="BA1369" s="109" t="s">
        <v>5290</v>
      </c>
      <c r="BB1369" s="183">
        <v>4511101</v>
      </c>
    </row>
    <row r="1370" spans="53:54" ht="15.75" thickBot="1" x14ac:dyDescent="0.3">
      <c r="BA1370" s="109" t="s">
        <v>5291</v>
      </c>
      <c r="BB1370" s="183">
        <v>4511201</v>
      </c>
    </row>
    <row r="1371" spans="53:54" ht="15.75" thickBot="1" x14ac:dyDescent="0.3">
      <c r="BA1371" s="109" t="s">
        <v>5292</v>
      </c>
      <c r="BB1371" s="183">
        <v>4511202</v>
      </c>
    </row>
    <row r="1372" spans="53:54" ht="15.75" thickBot="1" x14ac:dyDescent="0.3">
      <c r="BA1372" s="109" t="s">
        <v>5293</v>
      </c>
      <c r="BB1372" s="183">
        <v>4511203</v>
      </c>
    </row>
    <row r="1373" spans="53:54" ht="15.75" thickBot="1" x14ac:dyDescent="0.3">
      <c r="BA1373" s="109" t="s">
        <v>5294</v>
      </c>
      <c r="BB1373" s="183">
        <v>4512101</v>
      </c>
    </row>
    <row r="1374" spans="53:54" ht="15.75" thickBot="1" x14ac:dyDescent="0.3">
      <c r="BA1374" s="109" t="s">
        <v>5295</v>
      </c>
      <c r="BB1374" s="183">
        <v>4512201</v>
      </c>
    </row>
    <row r="1375" spans="53:54" ht="15.75" thickBot="1" x14ac:dyDescent="0.3">
      <c r="BA1375" s="109" t="s">
        <v>5296</v>
      </c>
      <c r="BB1375" s="183">
        <v>4512202</v>
      </c>
    </row>
    <row r="1376" spans="53:54" ht="15.75" thickBot="1" x14ac:dyDescent="0.3">
      <c r="BA1376" s="109" t="s">
        <v>5297</v>
      </c>
      <c r="BB1376" s="183">
        <v>4512203</v>
      </c>
    </row>
    <row r="1377" spans="53:54" ht="15.75" thickBot="1" x14ac:dyDescent="0.3">
      <c r="BA1377" s="109" t="s">
        <v>5298</v>
      </c>
      <c r="BB1377" s="183">
        <v>4522101</v>
      </c>
    </row>
    <row r="1378" spans="53:54" ht="15.75" thickBot="1" x14ac:dyDescent="0.3">
      <c r="BA1378" s="109" t="s">
        <v>5299</v>
      </c>
      <c r="BB1378" s="183">
        <v>4522102</v>
      </c>
    </row>
    <row r="1379" spans="53:54" ht="15.75" thickBot="1" x14ac:dyDescent="0.3">
      <c r="BA1379" s="109" t="s">
        <v>5300</v>
      </c>
      <c r="BB1379" s="183">
        <v>4522901</v>
      </c>
    </row>
    <row r="1380" spans="53:54" ht="15.75" thickBot="1" x14ac:dyDescent="0.3">
      <c r="BA1380" s="109" t="s">
        <v>5301</v>
      </c>
      <c r="BB1380" s="183">
        <v>4522902</v>
      </c>
    </row>
    <row r="1381" spans="53:54" ht="15.75" thickBot="1" x14ac:dyDescent="0.3">
      <c r="BA1381" s="109" t="s">
        <v>5302</v>
      </c>
      <c r="BB1381" s="183">
        <v>4531001</v>
      </c>
    </row>
    <row r="1382" spans="53:54" ht="15.75" thickBot="1" x14ac:dyDescent="0.3">
      <c r="BA1382" s="109" t="s">
        <v>5303</v>
      </c>
      <c r="BB1382" s="183">
        <v>4531002</v>
      </c>
    </row>
    <row r="1383" spans="53:54" ht="15.75" thickBot="1" x14ac:dyDescent="0.3">
      <c r="BA1383" s="109" t="s">
        <v>5304</v>
      </c>
      <c r="BB1383" s="183">
        <v>4532001</v>
      </c>
    </row>
    <row r="1384" spans="53:54" ht="15.75" thickBot="1" x14ac:dyDescent="0.3">
      <c r="BA1384" s="109" t="s">
        <v>5305</v>
      </c>
      <c r="BB1384" s="183">
        <v>4639101</v>
      </c>
    </row>
    <row r="1385" spans="53:54" ht="15.75" thickBot="1" x14ac:dyDescent="0.3">
      <c r="BA1385" s="109" t="s">
        <v>5306</v>
      </c>
      <c r="BB1385" s="183">
        <v>4742001</v>
      </c>
    </row>
    <row r="1386" spans="53:54" ht="15.75" thickBot="1" x14ac:dyDescent="0.3">
      <c r="BA1386" s="109" t="s">
        <v>3910</v>
      </c>
      <c r="BB1386" s="183">
        <v>4801001</v>
      </c>
    </row>
    <row r="1387" spans="53:54" ht="15.75" thickBot="1" x14ac:dyDescent="0.3">
      <c r="BA1387" s="109" t="s">
        <v>5307</v>
      </c>
      <c r="BB1387" s="183">
        <v>4802001</v>
      </c>
    </row>
    <row r="1388" spans="53:54" ht="15.75" thickBot="1" x14ac:dyDescent="0.3">
      <c r="BA1388" s="109" t="s">
        <v>5308</v>
      </c>
      <c r="BB1388" s="183">
        <v>4812901</v>
      </c>
    </row>
    <row r="1389" spans="53:54" ht="15.75" thickBot="1" x14ac:dyDescent="0.3">
      <c r="BA1389" s="109" t="s">
        <v>5309</v>
      </c>
      <c r="BB1389" s="183">
        <v>4812902</v>
      </c>
    </row>
    <row r="1390" spans="53:54" ht="15.75" thickBot="1" x14ac:dyDescent="0.3">
      <c r="BA1390" s="109" t="s">
        <v>5310</v>
      </c>
      <c r="BB1390" s="183">
        <v>4829201</v>
      </c>
    </row>
    <row r="1391" spans="53:54" ht="15.75" thickBot="1" x14ac:dyDescent="0.3">
      <c r="BA1391" s="109" t="s">
        <v>5311</v>
      </c>
      <c r="BB1391" s="183">
        <v>4852301</v>
      </c>
    </row>
    <row r="1392" spans="53:54" ht="15.75" thickBot="1" x14ac:dyDescent="0.3">
      <c r="BA1392" s="109" t="s">
        <v>5312</v>
      </c>
      <c r="BB1392" s="183">
        <v>4869901</v>
      </c>
    </row>
    <row r="1393" spans="53:54" ht="15.75" thickBot="1" x14ac:dyDescent="0.3">
      <c r="BA1393" s="109" t="s">
        <v>5313</v>
      </c>
      <c r="BB1393" s="183">
        <v>4960301</v>
      </c>
    </row>
    <row r="1394" spans="53:54" ht="15.75" thickBot="1" x14ac:dyDescent="0.3">
      <c r="BA1394" s="109" t="s">
        <v>5314</v>
      </c>
      <c r="BB1394" s="183">
        <v>511802</v>
      </c>
    </row>
    <row r="1395" spans="53:54" ht="15.75" thickBot="1" x14ac:dyDescent="0.3">
      <c r="BA1395" s="109" t="s">
        <v>5315</v>
      </c>
      <c r="BB1395" s="183">
        <v>514004</v>
      </c>
    </row>
    <row r="1396" spans="53:54" ht="15.75" thickBot="1" x14ac:dyDescent="0.3">
      <c r="BA1396" s="109" t="s">
        <v>5316</v>
      </c>
      <c r="BB1396" s="183">
        <v>5101001</v>
      </c>
    </row>
    <row r="1397" spans="53:54" ht="15.75" thickBot="1" x14ac:dyDescent="0.3">
      <c r="BA1397" s="109" t="s">
        <v>5317</v>
      </c>
      <c r="BB1397" s="183">
        <v>5102001</v>
      </c>
    </row>
    <row r="1398" spans="53:54" ht="15.75" thickBot="1" x14ac:dyDescent="0.3">
      <c r="BA1398" s="109" t="s">
        <v>5318</v>
      </c>
      <c r="BB1398" s="183">
        <v>5103001</v>
      </c>
    </row>
    <row r="1399" spans="53:54" ht="15.75" thickBot="1" x14ac:dyDescent="0.3">
      <c r="BA1399" s="109" t="s">
        <v>5319</v>
      </c>
      <c r="BB1399" s="183">
        <v>5111001</v>
      </c>
    </row>
    <row r="1400" spans="53:54" ht="15.75" thickBot="1" x14ac:dyDescent="0.3">
      <c r="BA1400" s="109" t="s">
        <v>5320</v>
      </c>
      <c r="BB1400" s="183">
        <v>5112001</v>
      </c>
    </row>
    <row r="1401" spans="53:54" ht="15.75" thickBot="1" x14ac:dyDescent="0.3">
      <c r="BA1401" s="109" t="s">
        <v>5321</v>
      </c>
      <c r="BB1401" s="183">
        <v>5120001</v>
      </c>
    </row>
    <row r="1402" spans="53:54" ht="15.75" thickBot="1" x14ac:dyDescent="0.3">
      <c r="BA1402" s="109" t="s">
        <v>5322</v>
      </c>
      <c r="BB1402" s="183">
        <v>5131001</v>
      </c>
    </row>
    <row r="1403" spans="53:54" ht="15.75" thickBot="1" x14ac:dyDescent="0.3">
      <c r="BA1403" s="109" t="s">
        <v>5323</v>
      </c>
      <c r="BB1403" s="183">
        <v>5132001</v>
      </c>
    </row>
    <row r="1404" spans="53:54" ht="15.75" thickBot="1" x14ac:dyDescent="0.3">
      <c r="BA1404" s="109" t="s">
        <v>5324</v>
      </c>
      <c r="BB1404" s="183">
        <v>5133101</v>
      </c>
    </row>
    <row r="1405" spans="53:54" ht="15.75" thickBot="1" x14ac:dyDescent="0.3">
      <c r="BA1405" s="109" t="s">
        <v>5325</v>
      </c>
      <c r="BB1405" s="183">
        <v>5133902</v>
      </c>
    </row>
    <row r="1406" spans="53:54" ht="15.75" thickBot="1" x14ac:dyDescent="0.3">
      <c r="BA1406" s="109" t="s">
        <v>5326</v>
      </c>
      <c r="BB1406" s="183">
        <v>5141101</v>
      </c>
    </row>
    <row r="1407" spans="53:54" ht="15.75" thickBot="1" x14ac:dyDescent="0.3">
      <c r="BA1407" s="109" t="s">
        <v>5327</v>
      </c>
      <c r="BB1407" s="183">
        <v>5141201</v>
      </c>
    </row>
    <row r="1408" spans="53:54" ht="15.75" thickBot="1" x14ac:dyDescent="0.3">
      <c r="BA1408" s="109" t="s">
        <v>5328</v>
      </c>
      <c r="BB1408" s="183">
        <v>5141301</v>
      </c>
    </row>
    <row r="1409" spans="53:54" ht="15.75" thickBot="1" x14ac:dyDescent="0.3">
      <c r="BA1409" s="109" t="s">
        <v>5329</v>
      </c>
      <c r="BB1409" s="183">
        <v>5141401</v>
      </c>
    </row>
    <row r="1410" spans="53:54" ht="15.75" thickBot="1" x14ac:dyDescent="0.3">
      <c r="BA1410" s="109" t="s">
        <v>5330</v>
      </c>
      <c r="BB1410" s="183">
        <v>5141501</v>
      </c>
    </row>
    <row r="1411" spans="53:54" ht="15.75" thickBot="1" x14ac:dyDescent="0.3">
      <c r="BA1411" s="109" t="s">
        <v>5331</v>
      </c>
      <c r="BB1411" s="183">
        <v>5142101</v>
      </c>
    </row>
    <row r="1412" spans="53:54" ht="15.75" thickBot="1" x14ac:dyDescent="0.3">
      <c r="BA1412" s="109" t="s">
        <v>5332</v>
      </c>
      <c r="BB1412" s="183">
        <v>5142201</v>
      </c>
    </row>
    <row r="1413" spans="53:54" ht="15.75" thickBot="1" x14ac:dyDescent="0.3">
      <c r="BA1413" s="109" t="s">
        <v>5333</v>
      </c>
      <c r="BB1413" s="183">
        <v>5143101</v>
      </c>
    </row>
    <row r="1414" spans="53:54" ht="15.75" thickBot="1" x14ac:dyDescent="0.3">
      <c r="BA1414" s="109" t="s">
        <v>5334</v>
      </c>
      <c r="BB1414" s="183">
        <v>5143201</v>
      </c>
    </row>
    <row r="1415" spans="53:54" ht="15.75" thickBot="1" x14ac:dyDescent="0.3">
      <c r="BA1415" s="109" t="s">
        <v>5335</v>
      </c>
      <c r="BB1415" s="183">
        <v>5149002</v>
      </c>
    </row>
    <row r="1416" spans="53:54" ht="15.75" thickBot="1" x14ac:dyDescent="0.3">
      <c r="BA1416" s="109" t="s">
        <v>5336</v>
      </c>
      <c r="BB1416" s="183">
        <v>5172001</v>
      </c>
    </row>
    <row r="1417" spans="53:54" ht="15.75" thickBot="1" x14ac:dyDescent="0.3">
      <c r="BA1417" s="109" t="s">
        <v>5337</v>
      </c>
      <c r="BB1417" s="183">
        <v>5201001</v>
      </c>
    </row>
    <row r="1418" spans="53:54" ht="15.75" thickBot="1" x14ac:dyDescent="0.3">
      <c r="BA1418" s="109" t="s">
        <v>5338</v>
      </c>
      <c r="BB1418" s="183">
        <v>5203001</v>
      </c>
    </row>
    <row r="1419" spans="53:54" ht="15.75" thickBot="1" x14ac:dyDescent="0.3">
      <c r="BA1419" s="109" t="s">
        <v>5339</v>
      </c>
      <c r="BB1419" s="183">
        <v>5232101</v>
      </c>
    </row>
    <row r="1420" spans="53:54" ht="15.75" thickBot="1" x14ac:dyDescent="0.3">
      <c r="BA1420" s="109" t="s">
        <v>5340</v>
      </c>
      <c r="BB1420" s="183">
        <v>5232202</v>
      </c>
    </row>
    <row r="1421" spans="53:54" ht="15.75" thickBot="1" x14ac:dyDescent="0.3">
      <c r="BA1421" s="109" t="s">
        <v>5341</v>
      </c>
      <c r="BB1421" s="183">
        <v>5233001</v>
      </c>
    </row>
    <row r="1422" spans="53:54" ht="15.75" thickBot="1" x14ac:dyDescent="0.3">
      <c r="BA1422" s="109" t="s">
        <v>5342</v>
      </c>
      <c r="BB1422" s="183">
        <v>5241103</v>
      </c>
    </row>
    <row r="1423" spans="53:54" ht="15.75" thickBot="1" x14ac:dyDescent="0.3">
      <c r="BA1423" s="109" t="s">
        <v>5343</v>
      </c>
      <c r="BB1423" s="183">
        <v>5241301</v>
      </c>
    </row>
    <row r="1424" spans="53:54" ht="15.75" thickBot="1" x14ac:dyDescent="0.3">
      <c r="BA1424" s="109" t="s">
        <v>5344</v>
      </c>
      <c r="BB1424" s="183">
        <v>5241401</v>
      </c>
    </row>
    <row r="1425" spans="53:54" ht="15.75" thickBot="1" x14ac:dyDescent="0.3">
      <c r="BA1425" s="109" t="s">
        <v>5345</v>
      </c>
      <c r="BB1425" s="183">
        <v>5242101</v>
      </c>
    </row>
    <row r="1426" spans="53:54" ht="15.75" thickBot="1" x14ac:dyDescent="0.3">
      <c r="BA1426" s="109" t="s">
        <v>5346</v>
      </c>
      <c r="BB1426" s="183">
        <v>5242904</v>
      </c>
    </row>
    <row r="1427" spans="53:54" ht="15.75" thickBot="1" x14ac:dyDescent="0.3">
      <c r="BA1427" s="109" t="s">
        <v>5347</v>
      </c>
      <c r="BB1427" s="183">
        <v>5261003</v>
      </c>
    </row>
    <row r="1428" spans="53:54" ht="15.75" thickBot="1" x14ac:dyDescent="0.3">
      <c r="BA1428" s="109" t="s">
        <v>5348</v>
      </c>
      <c r="BB1428" s="183">
        <v>5269401</v>
      </c>
    </row>
    <row r="1429" spans="53:54" ht="15.75" thickBot="1" x14ac:dyDescent="0.3">
      <c r="BA1429" s="109" t="s">
        <v>5349</v>
      </c>
      <c r="BB1429" s="183">
        <v>5269502</v>
      </c>
    </row>
    <row r="1430" spans="53:54" ht="15.75" thickBot="1" x14ac:dyDescent="0.3">
      <c r="BA1430" s="109" t="s">
        <v>5350</v>
      </c>
      <c r="BB1430" s="183">
        <v>5269601</v>
      </c>
    </row>
    <row r="1431" spans="53:54" ht="15.75" thickBot="1" x14ac:dyDescent="0.3">
      <c r="BA1431" s="109" t="s">
        <v>5351</v>
      </c>
      <c r="BB1431" s="183">
        <v>5269903</v>
      </c>
    </row>
    <row r="1432" spans="53:54" ht="15.75" thickBot="1" x14ac:dyDescent="0.3">
      <c r="BA1432" s="109" t="s">
        <v>5352</v>
      </c>
      <c r="BB1432" s="183">
        <v>5271001</v>
      </c>
    </row>
    <row r="1433" spans="53:54" ht="15.75" thickBot="1" x14ac:dyDescent="0.3">
      <c r="BA1433" s="109" t="s">
        <v>5353</v>
      </c>
      <c r="BB1433" s="183">
        <v>5272902</v>
      </c>
    </row>
    <row r="1434" spans="53:54" ht="15.75" thickBot="1" x14ac:dyDescent="0.3">
      <c r="BA1434" s="109" t="s">
        <v>5354</v>
      </c>
      <c r="BB1434" s="183">
        <v>5273101</v>
      </c>
    </row>
    <row r="1435" spans="53:54" ht="15.75" thickBot="1" x14ac:dyDescent="0.3">
      <c r="BA1435" s="109" t="s">
        <v>5355</v>
      </c>
      <c r="BB1435" s="183">
        <v>5273201</v>
      </c>
    </row>
    <row r="1436" spans="53:54" ht="15.75" thickBot="1" x14ac:dyDescent="0.3">
      <c r="BA1436" s="109" t="s">
        <v>5356</v>
      </c>
      <c r="BB1436" s="183">
        <v>5289103</v>
      </c>
    </row>
    <row r="1437" spans="53:54" ht="15.75" thickBot="1" x14ac:dyDescent="0.3">
      <c r="BA1437" s="109" t="s">
        <v>5357</v>
      </c>
      <c r="BB1437" s="183">
        <v>5289203</v>
      </c>
    </row>
    <row r="1438" spans="53:54" ht="15.75" thickBot="1" x14ac:dyDescent="0.3">
      <c r="BA1438" s="109" t="s">
        <v>5358</v>
      </c>
      <c r="BB1438" s="183">
        <v>5289901</v>
      </c>
    </row>
    <row r="1439" spans="53:54" ht="15.75" thickBot="1" x14ac:dyDescent="0.3">
      <c r="BA1439" s="109" t="s">
        <v>5359</v>
      </c>
      <c r="BB1439" s="183">
        <v>5291102</v>
      </c>
    </row>
    <row r="1440" spans="53:54" ht="15.75" thickBot="1" x14ac:dyDescent="0.3">
      <c r="BA1440" s="109" t="s">
        <v>5360</v>
      </c>
      <c r="BB1440" s="183">
        <v>5291201</v>
      </c>
    </row>
    <row r="1441" spans="53:54" ht="15.75" thickBot="1" x14ac:dyDescent="0.3">
      <c r="BA1441" s="109" t="s">
        <v>5361</v>
      </c>
      <c r="BB1441" s="183">
        <v>5291301</v>
      </c>
    </row>
    <row r="1442" spans="53:54" ht="15.75" thickBot="1" x14ac:dyDescent="0.3">
      <c r="BA1442" s="109" t="s">
        <v>5362</v>
      </c>
      <c r="BB1442" s="183">
        <v>5291501</v>
      </c>
    </row>
    <row r="1443" spans="53:54" ht="15.75" thickBot="1" x14ac:dyDescent="0.3">
      <c r="BA1443" s="109" t="s">
        <v>5363</v>
      </c>
      <c r="BB1443" s="183">
        <v>5291901</v>
      </c>
    </row>
    <row r="1444" spans="53:54" ht="15.75" thickBot="1" x14ac:dyDescent="0.3">
      <c r="BA1444" s="109" t="s">
        <v>5364</v>
      </c>
      <c r="BB1444" s="183">
        <v>5292201</v>
      </c>
    </row>
    <row r="1445" spans="53:54" ht="15.75" thickBot="1" x14ac:dyDescent="0.3">
      <c r="BA1445" s="109" t="s">
        <v>5365</v>
      </c>
      <c r="BB1445" s="183">
        <v>5292301</v>
      </c>
    </row>
    <row r="1446" spans="53:54" ht="15.75" thickBot="1" x14ac:dyDescent="0.3">
      <c r="BA1446" s="109" t="s">
        <v>5366</v>
      </c>
      <c r="BB1446" s="183">
        <v>5292401</v>
      </c>
    </row>
    <row r="1447" spans="53:54" ht="15.75" thickBot="1" x14ac:dyDescent="0.3">
      <c r="BA1447" s="109" t="s">
        <v>5367</v>
      </c>
      <c r="BB1447" s="183">
        <v>5292701</v>
      </c>
    </row>
    <row r="1448" spans="53:54" ht="15.75" thickBot="1" x14ac:dyDescent="0.3">
      <c r="BA1448" s="109" t="s">
        <v>5368</v>
      </c>
      <c r="BB1448" s="183">
        <v>5331101</v>
      </c>
    </row>
    <row r="1449" spans="53:54" ht="15.75" thickBot="1" x14ac:dyDescent="0.3">
      <c r="BA1449" s="109" t="s">
        <v>5369</v>
      </c>
      <c r="BB1449" s="183">
        <v>5371001</v>
      </c>
    </row>
    <row r="1450" spans="53:54" ht="15.75" thickBot="1" x14ac:dyDescent="0.3">
      <c r="BA1450" s="109" t="s">
        <v>5370</v>
      </c>
      <c r="BB1450" s="183">
        <v>5451101</v>
      </c>
    </row>
    <row r="1451" spans="53:54" ht="15.75" thickBot="1" x14ac:dyDescent="0.3">
      <c r="BA1451" s="109" t="s">
        <v>5371</v>
      </c>
      <c r="BB1451" s="183">
        <v>5451201</v>
      </c>
    </row>
    <row r="1452" spans="53:54" ht="15.75" thickBot="1" x14ac:dyDescent="0.3">
      <c r="BA1452" s="109" t="s">
        <v>5372</v>
      </c>
      <c r="BB1452" s="183">
        <v>5452102</v>
      </c>
    </row>
    <row r="1453" spans="53:54" ht="15.75" thickBot="1" x14ac:dyDescent="0.3">
      <c r="BA1453" s="109" t="s">
        <v>5373</v>
      </c>
      <c r="BB1453" s="183">
        <v>5452201</v>
      </c>
    </row>
    <row r="1454" spans="53:54" ht="15.75" thickBot="1" x14ac:dyDescent="0.3">
      <c r="BA1454" s="109" t="s">
        <v>5374</v>
      </c>
      <c r="BB1454" s="183">
        <v>5453002</v>
      </c>
    </row>
    <row r="1455" spans="53:54" ht="15.75" thickBot="1" x14ac:dyDescent="0.3">
      <c r="BA1455" s="109" t="s">
        <v>5375</v>
      </c>
      <c r="BB1455" s="183">
        <v>5454101</v>
      </c>
    </row>
    <row r="1456" spans="53:54" ht="15.75" thickBot="1" x14ac:dyDescent="0.3">
      <c r="BA1456" s="109" t="s">
        <v>5376</v>
      </c>
      <c r="BB1456" s="183">
        <v>5454302</v>
      </c>
    </row>
    <row r="1457" spans="53:54" ht="15.75" thickBot="1" x14ac:dyDescent="0.3">
      <c r="BA1457" s="109" t="s">
        <v>5377</v>
      </c>
      <c r="BB1457" s="183">
        <v>5454902</v>
      </c>
    </row>
    <row r="1458" spans="53:54" ht="15.75" thickBot="1" x14ac:dyDescent="0.3">
      <c r="BA1458" s="109" t="s">
        <v>5378</v>
      </c>
      <c r="BB1458" s="183">
        <v>5455101</v>
      </c>
    </row>
    <row r="1459" spans="53:54" ht="15.75" thickBot="1" x14ac:dyDescent="0.3">
      <c r="BA1459" s="109" t="s">
        <v>5379</v>
      </c>
      <c r="BB1459" s="183">
        <v>5455901</v>
      </c>
    </row>
    <row r="1460" spans="53:54" ht="15.75" thickBot="1" x14ac:dyDescent="0.3">
      <c r="BA1460" s="109" t="s">
        <v>5380</v>
      </c>
      <c r="BB1460" s="183">
        <v>5511303</v>
      </c>
    </row>
    <row r="1461" spans="53:54" ht="15.75" thickBot="1" x14ac:dyDescent="0.3">
      <c r="BA1461" s="109" t="s">
        <v>5381</v>
      </c>
      <c r="BB1461" s="183">
        <v>5517004</v>
      </c>
    </row>
    <row r="1462" spans="53:54" ht="15.75" thickBot="1" x14ac:dyDescent="0.3">
      <c r="BA1462" s="109" t="s">
        <v>5382</v>
      </c>
      <c r="BB1462" s="183">
        <v>5519001</v>
      </c>
    </row>
    <row r="1463" spans="53:54" ht="15.75" thickBot="1" x14ac:dyDescent="0.3">
      <c r="BA1463" s="109" t="s">
        <v>5383</v>
      </c>
      <c r="BB1463" s="183">
        <v>5523904</v>
      </c>
    </row>
    <row r="1464" spans="53:54" ht="15.75" thickBot="1" x14ac:dyDescent="0.3">
      <c r="BA1464" s="109" t="s">
        <v>5384</v>
      </c>
      <c r="BB1464" s="183">
        <v>5605001</v>
      </c>
    </row>
    <row r="1465" spans="53:54" ht="15.75" thickBot="1" x14ac:dyDescent="0.3">
      <c r="BA1465" s="109" t="s">
        <v>5385</v>
      </c>
      <c r="BB1465" s="183">
        <v>5631001</v>
      </c>
    </row>
    <row r="1466" spans="53:54" ht="15.75" thickBot="1" x14ac:dyDescent="0.3">
      <c r="BA1466" s="109" t="s">
        <v>5386</v>
      </c>
      <c r="BB1466" s="183">
        <v>5632001</v>
      </c>
    </row>
    <row r="1467" spans="53:54" ht="15.75" thickBot="1" x14ac:dyDescent="0.3">
      <c r="BA1467" s="109" t="s">
        <v>5387</v>
      </c>
      <c r="BB1467" s="183">
        <v>5633201</v>
      </c>
    </row>
    <row r="1468" spans="53:54" ht="15.75" thickBot="1" x14ac:dyDescent="0.3">
      <c r="BA1468" s="109" t="s">
        <v>5388</v>
      </c>
      <c r="BB1468" s="183">
        <v>5633301</v>
      </c>
    </row>
    <row r="1469" spans="53:54" ht="15.75" thickBot="1" x14ac:dyDescent="0.3">
      <c r="BA1469" s="109" t="s">
        <v>5389</v>
      </c>
      <c r="BB1469" s="183">
        <v>5701001</v>
      </c>
    </row>
    <row r="1470" spans="53:54" ht="15.75" thickBot="1" x14ac:dyDescent="0.3">
      <c r="BA1470" s="109" t="s">
        <v>5390</v>
      </c>
      <c r="BB1470" s="183">
        <v>5712201</v>
      </c>
    </row>
    <row r="1471" spans="53:54" ht="15.75" thickBot="1" x14ac:dyDescent="0.3">
      <c r="BA1471" s="109" t="s">
        <v>5391</v>
      </c>
      <c r="BB1471" s="183">
        <v>5742101</v>
      </c>
    </row>
    <row r="1472" spans="53:54" ht="15.75" thickBot="1" x14ac:dyDescent="0.3">
      <c r="BA1472" s="109" t="s">
        <v>5392</v>
      </c>
      <c r="BB1472" s="183">
        <v>5742201</v>
      </c>
    </row>
    <row r="1473" spans="53:54" ht="15.75" thickBot="1" x14ac:dyDescent="0.3">
      <c r="BA1473" s="109" t="s">
        <v>5393</v>
      </c>
      <c r="BB1473" s="183">
        <v>5749203</v>
      </c>
    </row>
    <row r="1474" spans="53:54" ht="15.75" thickBot="1" x14ac:dyDescent="0.3">
      <c r="BA1474" s="109" t="s">
        <v>5394</v>
      </c>
      <c r="BB1474" s="183">
        <v>5749303</v>
      </c>
    </row>
    <row r="1475" spans="53:54" ht="15.75" thickBot="1" x14ac:dyDescent="0.3">
      <c r="BA1475" s="109" t="s">
        <v>5395</v>
      </c>
      <c r="BB1475" s="183">
        <v>5752201</v>
      </c>
    </row>
    <row r="1476" spans="53:54" ht="15.75" thickBot="1" x14ac:dyDescent="0.3">
      <c r="BA1476" s="109" t="s">
        <v>5396</v>
      </c>
      <c r="BB1476" s="183">
        <v>5752301</v>
      </c>
    </row>
    <row r="1477" spans="53:54" ht="15.75" thickBot="1" x14ac:dyDescent="0.3">
      <c r="BA1477" s="109" t="s">
        <v>5397</v>
      </c>
      <c r="BB1477" s="183">
        <v>5752401</v>
      </c>
    </row>
    <row r="1478" spans="53:54" ht="15.75" thickBot="1" x14ac:dyDescent="0.3">
      <c r="BA1478" s="109" t="s">
        <v>5398</v>
      </c>
      <c r="BB1478" s="183">
        <v>5851101</v>
      </c>
    </row>
    <row r="1479" spans="53:54" ht="15.75" thickBot="1" x14ac:dyDescent="0.3">
      <c r="BA1479" s="109" t="s">
        <v>5399</v>
      </c>
      <c r="BB1479" s="183">
        <v>5851501</v>
      </c>
    </row>
    <row r="1480" spans="53:54" ht="15.75" thickBot="1" x14ac:dyDescent="0.3">
      <c r="BA1480" s="109" t="s">
        <v>5400</v>
      </c>
      <c r="BB1480" s="183">
        <v>5923201</v>
      </c>
    </row>
    <row r="1481" spans="53:54" ht="15.75" thickBot="1" x14ac:dyDescent="0.3">
      <c r="BA1481" s="109" t="s">
        <v>5401</v>
      </c>
      <c r="BB1481" s="183">
        <v>5924101</v>
      </c>
    </row>
    <row r="1482" spans="53:54" ht="15.75" thickBot="1" x14ac:dyDescent="0.3">
      <c r="BA1482" s="109" t="s">
        <v>5402</v>
      </c>
      <c r="BB1482" s="183">
        <v>5930901</v>
      </c>
    </row>
    <row r="1483" spans="53:54" ht="15.75" thickBot="1" x14ac:dyDescent="0.3">
      <c r="BA1483" s="109" t="s">
        <v>5403</v>
      </c>
      <c r="BB1483" s="183">
        <v>5012901</v>
      </c>
    </row>
    <row r="1484" spans="53:54" ht="15.75" thickBot="1" x14ac:dyDescent="0.3">
      <c r="BA1484" s="109" t="s">
        <v>5404</v>
      </c>
      <c r="BB1484" s="183">
        <v>5016101</v>
      </c>
    </row>
    <row r="1485" spans="53:54" ht="15.75" thickBot="1" x14ac:dyDescent="0.3">
      <c r="BA1485" s="109" t="s">
        <v>5405</v>
      </c>
      <c r="BB1485" s="183">
        <v>5051001</v>
      </c>
    </row>
    <row r="1486" spans="53:54" ht="15.75" thickBot="1" x14ac:dyDescent="0.3">
      <c r="BA1486" s="109" t="s">
        <v>5406</v>
      </c>
      <c r="BB1486" s="183">
        <v>5051002</v>
      </c>
    </row>
    <row r="1487" spans="53:54" ht="15.75" thickBot="1" x14ac:dyDescent="0.3">
      <c r="BA1487" s="109" t="s">
        <v>5407</v>
      </c>
      <c r="BB1487" s="183">
        <v>5051003</v>
      </c>
    </row>
    <row r="1488" spans="53:54" ht="15.75" thickBot="1" x14ac:dyDescent="0.3">
      <c r="BA1488" s="109" t="s">
        <v>5408</v>
      </c>
      <c r="BB1488" s="183">
        <v>5051004</v>
      </c>
    </row>
    <row r="1489" spans="53:54" ht="15.75" thickBot="1" x14ac:dyDescent="0.3">
      <c r="BA1489" s="109" t="s">
        <v>5409</v>
      </c>
      <c r="BB1489" s="183">
        <v>5052001</v>
      </c>
    </row>
    <row r="1490" spans="53:54" ht="15.75" thickBot="1" x14ac:dyDescent="0.3">
      <c r="BA1490" s="109" t="s">
        <v>5410</v>
      </c>
      <c r="BB1490" s="183">
        <v>5052002</v>
      </c>
    </row>
    <row r="1491" spans="53:54" ht="15.75" thickBot="1" x14ac:dyDescent="0.3">
      <c r="BA1491" s="109" t="s">
        <v>5411</v>
      </c>
      <c r="BB1491" s="183">
        <v>5052003</v>
      </c>
    </row>
    <row r="1492" spans="53:54" ht="15.75" thickBot="1" x14ac:dyDescent="0.3">
      <c r="BA1492" s="109" t="s">
        <v>5412</v>
      </c>
      <c r="BB1492" s="183">
        <v>5061001</v>
      </c>
    </row>
    <row r="1493" spans="53:54" ht="15.75" thickBot="1" x14ac:dyDescent="0.3">
      <c r="BA1493" s="109" t="s">
        <v>5413</v>
      </c>
      <c r="BB1493" s="183">
        <v>5061002</v>
      </c>
    </row>
    <row r="1494" spans="53:54" ht="15.75" thickBot="1" x14ac:dyDescent="0.3">
      <c r="BA1494" s="109" t="s">
        <v>5414</v>
      </c>
      <c r="BB1494" s="183">
        <v>5061003</v>
      </c>
    </row>
    <row r="1495" spans="53:54" ht="15.75" thickBot="1" x14ac:dyDescent="0.3">
      <c r="BA1495" s="109" t="s">
        <v>5415</v>
      </c>
      <c r="BB1495" s="183">
        <v>5062001</v>
      </c>
    </row>
    <row r="1496" spans="53:54" ht="15.75" thickBot="1" x14ac:dyDescent="0.3">
      <c r="BA1496" s="109" t="s">
        <v>5416</v>
      </c>
      <c r="BB1496" s="183">
        <v>5062002</v>
      </c>
    </row>
    <row r="1497" spans="53:54" ht="15.75" thickBot="1" x14ac:dyDescent="0.3">
      <c r="BA1497" s="109" t="s">
        <v>5417</v>
      </c>
      <c r="BB1497" s="183">
        <v>5062003</v>
      </c>
    </row>
    <row r="1498" spans="53:54" ht="15.75" thickBot="1" x14ac:dyDescent="0.3">
      <c r="BA1498" s="109" t="s">
        <v>5418</v>
      </c>
      <c r="BB1498" s="183">
        <v>5071001</v>
      </c>
    </row>
    <row r="1499" spans="53:54" ht="15.75" thickBot="1" x14ac:dyDescent="0.3">
      <c r="BA1499" s="109" t="s">
        <v>5419</v>
      </c>
      <c r="BB1499" s="183">
        <v>5071002</v>
      </c>
    </row>
    <row r="1500" spans="53:54" ht="15.75" thickBot="1" x14ac:dyDescent="0.3">
      <c r="BA1500" s="109" t="s">
        <v>5420</v>
      </c>
      <c r="BB1500" s="183">
        <v>5072101</v>
      </c>
    </row>
    <row r="1501" spans="53:54" ht="15.75" thickBot="1" x14ac:dyDescent="0.3">
      <c r="BA1501" s="109" t="s">
        <v>5421</v>
      </c>
      <c r="BB1501" s="183">
        <v>5072102</v>
      </c>
    </row>
    <row r="1502" spans="53:54" ht="15.75" thickBot="1" x14ac:dyDescent="0.3">
      <c r="BA1502" s="109" t="s">
        <v>5422</v>
      </c>
      <c r="BB1502" s="183">
        <v>5072201</v>
      </c>
    </row>
    <row r="1503" spans="53:54" ht="15.75" thickBot="1" x14ac:dyDescent="0.3">
      <c r="BA1503" s="109" t="s">
        <v>5423</v>
      </c>
      <c r="BB1503" s="183">
        <v>5072202</v>
      </c>
    </row>
    <row r="1504" spans="53:54" ht="15.75" thickBot="1" x14ac:dyDescent="0.3">
      <c r="BA1504" s="109" t="s">
        <v>5424</v>
      </c>
      <c r="BB1504" s="183">
        <v>5072203</v>
      </c>
    </row>
    <row r="1505" spans="53:54" ht="15.75" thickBot="1" x14ac:dyDescent="0.3">
      <c r="BA1505" s="109" t="s">
        <v>5425</v>
      </c>
      <c r="BB1505" s="183">
        <v>5072301</v>
      </c>
    </row>
    <row r="1506" spans="53:54" ht="15.75" thickBot="1" x14ac:dyDescent="0.3">
      <c r="BA1506" s="109" t="s">
        <v>5426</v>
      </c>
      <c r="BB1506" s="183">
        <v>5072901</v>
      </c>
    </row>
    <row r="1507" spans="53:54" ht="15.75" thickBot="1" x14ac:dyDescent="0.3">
      <c r="BA1507" s="109" t="s">
        <v>5427</v>
      </c>
      <c r="BB1507" s="183">
        <v>5081101</v>
      </c>
    </row>
    <row r="1508" spans="53:54" ht="15.75" thickBot="1" x14ac:dyDescent="0.3">
      <c r="BA1508" s="109" t="s">
        <v>5428</v>
      </c>
      <c r="BB1508" s="183">
        <v>5081102</v>
      </c>
    </row>
    <row r="1509" spans="53:54" ht="15.75" thickBot="1" x14ac:dyDescent="0.3">
      <c r="BA1509" s="109" t="s">
        <v>5429</v>
      </c>
      <c r="BB1509" s="183">
        <v>5081103</v>
      </c>
    </row>
    <row r="1510" spans="53:54" ht="15.75" thickBot="1" x14ac:dyDescent="0.3">
      <c r="BA1510" s="109" t="s">
        <v>5430</v>
      </c>
      <c r="BB1510" s="183">
        <v>5081104</v>
      </c>
    </row>
    <row r="1511" spans="53:54" ht="15.75" thickBot="1" x14ac:dyDescent="0.3">
      <c r="BA1511" s="109" t="s">
        <v>5431</v>
      </c>
      <c r="BB1511" s="183">
        <v>5081105</v>
      </c>
    </row>
    <row r="1512" spans="53:54" ht="15.75" thickBot="1" x14ac:dyDescent="0.3">
      <c r="BA1512" s="109" t="s">
        <v>5432</v>
      </c>
      <c r="BB1512" s="183">
        <v>5081201</v>
      </c>
    </row>
    <row r="1513" spans="53:54" ht="15.75" thickBot="1" x14ac:dyDescent="0.3">
      <c r="BA1513" s="109" t="s">
        <v>5433</v>
      </c>
      <c r="BB1513" s="183">
        <v>5081202</v>
      </c>
    </row>
    <row r="1514" spans="53:54" ht="15.75" thickBot="1" x14ac:dyDescent="0.3">
      <c r="BA1514" s="109" t="s">
        <v>5434</v>
      </c>
      <c r="BB1514" s="183">
        <v>5081203</v>
      </c>
    </row>
    <row r="1515" spans="53:54" ht="15.75" thickBot="1" x14ac:dyDescent="0.3">
      <c r="BA1515" s="109" t="s">
        <v>5435</v>
      </c>
      <c r="BB1515" s="183">
        <v>5081204</v>
      </c>
    </row>
    <row r="1516" spans="53:54" ht="15.75" thickBot="1" x14ac:dyDescent="0.3">
      <c r="BA1516" s="109" t="s">
        <v>5436</v>
      </c>
      <c r="BB1516" s="183">
        <v>5081205</v>
      </c>
    </row>
    <row r="1517" spans="53:54" ht="15.75" thickBot="1" x14ac:dyDescent="0.3">
      <c r="BA1517" s="109" t="s">
        <v>5437</v>
      </c>
      <c r="BB1517" s="183">
        <v>5081206</v>
      </c>
    </row>
    <row r="1518" spans="53:54" ht="15.75" thickBot="1" x14ac:dyDescent="0.3">
      <c r="BA1518" s="109" t="s">
        <v>5438</v>
      </c>
      <c r="BB1518" s="183">
        <v>5081207</v>
      </c>
    </row>
    <row r="1519" spans="53:54" ht="15.75" thickBot="1" x14ac:dyDescent="0.3">
      <c r="BA1519" s="109" t="s">
        <v>5439</v>
      </c>
      <c r="BB1519" s="183">
        <v>5082001</v>
      </c>
    </row>
    <row r="1520" spans="53:54" ht="15.75" thickBot="1" x14ac:dyDescent="0.3">
      <c r="BA1520" s="109" t="s">
        <v>5440</v>
      </c>
      <c r="BB1520" s="183">
        <v>5089101</v>
      </c>
    </row>
    <row r="1521" spans="53:54" ht="15.75" thickBot="1" x14ac:dyDescent="0.3">
      <c r="BA1521" s="109" t="s">
        <v>5441</v>
      </c>
      <c r="BB1521" s="183">
        <v>5089102</v>
      </c>
    </row>
    <row r="1522" spans="53:54" ht="15.75" thickBot="1" x14ac:dyDescent="0.3">
      <c r="BA1522" s="109" t="s">
        <v>5442</v>
      </c>
      <c r="BB1522" s="183">
        <v>5089103</v>
      </c>
    </row>
    <row r="1523" spans="53:54" ht="15.75" thickBot="1" x14ac:dyDescent="0.3">
      <c r="BA1523" s="109" t="s">
        <v>5443</v>
      </c>
      <c r="BB1523" s="183">
        <v>5089201</v>
      </c>
    </row>
    <row r="1524" spans="53:54" ht="15.75" thickBot="1" x14ac:dyDescent="0.3">
      <c r="BA1524" s="109" t="s">
        <v>5444</v>
      </c>
      <c r="BB1524" s="183">
        <v>5089901</v>
      </c>
    </row>
    <row r="1525" spans="53:54" ht="15.75" thickBot="1" x14ac:dyDescent="0.3">
      <c r="BA1525" s="109" t="s">
        <v>5445</v>
      </c>
      <c r="BB1525" s="183">
        <v>5089902</v>
      </c>
    </row>
    <row r="1526" spans="53:54" ht="15.75" thickBot="1" x14ac:dyDescent="0.3">
      <c r="BA1526" s="109" t="s">
        <v>5446</v>
      </c>
      <c r="BB1526" s="183">
        <v>5091001</v>
      </c>
    </row>
    <row r="1527" spans="53:54" ht="15.75" thickBot="1" x14ac:dyDescent="0.3">
      <c r="BA1527" s="109" t="s">
        <v>5447</v>
      </c>
      <c r="BB1527" s="183">
        <v>5091002</v>
      </c>
    </row>
    <row r="1528" spans="53:54" ht="15.75" thickBot="1" x14ac:dyDescent="0.3">
      <c r="BA1528" s="109" t="s">
        <v>5448</v>
      </c>
      <c r="BB1528" s="183">
        <v>5091003</v>
      </c>
    </row>
    <row r="1529" spans="53:54" ht="15.75" thickBot="1" x14ac:dyDescent="0.3">
      <c r="BA1529" s="109" t="s">
        <v>5449</v>
      </c>
      <c r="BB1529" s="183">
        <v>5091004</v>
      </c>
    </row>
    <row r="1530" spans="53:54" ht="15.75" thickBot="1" x14ac:dyDescent="0.3">
      <c r="BA1530" s="109" t="s">
        <v>5450</v>
      </c>
      <c r="BB1530" s="183">
        <v>5091005</v>
      </c>
    </row>
    <row r="1531" spans="53:54" ht="15.75" thickBot="1" x14ac:dyDescent="0.3">
      <c r="BA1531" s="109" t="s">
        <v>5451</v>
      </c>
      <c r="BB1531" s="183">
        <v>5099001</v>
      </c>
    </row>
    <row r="1532" spans="53:54" ht="15.75" thickBot="1" x14ac:dyDescent="0.3">
      <c r="BA1532" s="109" t="s">
        <v>5452</v>
      </c>
      <c r="BB1532" s="183">
        <v>5099002</v>
      </c>
    </row>
    <row r="1533" spans="53:54" ht="15.75" thickBot="1" x14ac:dyDescent="0.3">
      <c r="BA1533" s="109" t="s">
        <v>5453</v>
      </c>
      <c r="BB1533" s="183">
        <v>5131201</v>
      </c>
    </row>
    <row r="1534" spans="53:54" ht="15.75" thickBot="1" x14ac:dyDescent="0.3">
      <c r="BA1534" s="109" t="s">
        <v>5454</v>
      </c>
      <c r="BB1534" s="183">
        <v>5161001</v>
      </c>
    </row>
    <row r="1535" spans="53:54" ht="15.75" thickBot="1" x14ac:dyDescent="0.3">
      <c r="BA1535" s="109" t="s">
        <v>5455</v>
      </c>
      <c r="BB1535" s="183">
        <v>5163001</v>
      </c>
    </row>
    <row r="1536" spans="53:54" ht="15.75" thickBot="1" x14ac:dyDescent="0.3">
      <c r="BA1536" s="109" t="s">
        <v>5456</v>
      </c>
      <c r="BB1536" s="183">
        <v>5163002</v>
      </c>
    </row>
    <row r="1537" spans="53:54" ht="15.75" thickBot="1" x14ac:dyDescent="0.3">
      <c r="BA1537" s="109" t="s">
        <v>5457</v>
      </c>
      <c r="BB1537" s="183">
        <v>5163003</v>
      </c>
    </row>
    <row r="1538" spans="53:54" ht="15.75" thickBot="1" x14ac:dyDescent="0.3">
      <c r="BA1538" s="109" t="s">
        <v>5458</v>
      </c>
      <c r="BB1538" s="183">
        <v>5191001</v>
      </c>
    </row>
    <row r="1539" spans="53:54" ht="15.75" thickBot="1" x14ac:dyDescent="0.3">
      <c r="BA1539" s="109" t="s">
        <v>5459</v>
      </c>
      <c r="BB1539" s="183">
        <v>5192101</v>
      </c>
    </row>
    <row r="1540" spans="53:54" ht="15.75" thickBot="1" x14ac:dyDescent="0.3">
      <c r="BA1540" s="109" t="s">
        <v>5460</v>
      </c>
      <c r="BB1540" s="183">
        <v>5192102</v>
      </c>
    </row>
    <row r="1541" spans="53:54" ht="15.75" thickBot="1" x14ac:dyDescent="0.3">
      <c r="BA1541" s="109" t="s">
        <v>5461</v>
      </c>
      <c r="BB1541" s="183">
        <v>5192103</v>
      </c>
    </row>
    <row r="1542" spans="53:54" ht="15.75" thickBot="1" x14ac:dyDescent="0.3">
      <c r="BA1542" s="109" t="s">
        <v>5462</v>
      </c>
      <c r="BB1542" s="183">
        <v>5192104</v>
      </c>
    </row>
    <row r="1543" spans="53:54" ht="15.75" thickBot="1" x14ac:dyDescent="0.3">
      <c r="BA1543" s="109" t="s">
        <v>5463</v>
      </c>
      <c r="BB1543" s="183">
        <v>5192105</v>
      </c>
    </row>
    <row r="1544" spans="53:54" ht="15.75" thickBot="1" x14ac:dyDescent="0.3">
      <c r="BA1544" s="109" t="s">
        <v>5464</v>
      </c>
      <c r="BB1544" s="183">
        <v>5201101</v>
      </c>
    </row>
    <row r="1545" spans="53:54" ht="15.75" thickBot="1" x14ac:dyDescent="0.3">
      <c r="BA1545" s="109" t="s">
        <v>5465</v>
      </c>
      <c r="BB1545" s="183">
        <v>5201102</v>
      </c>
    </row>
    <row r="1546" spans="53:54" ht="15.75" thickBot="1" x14ac:dyDescent="0.3">
      <c r="BA1546" s="109" t="s">
        <v>5466</v>
      </c>
      <c r="BB1546" s="183">
        <v>5201103</v>
      </c>
    </row>
    <row r="1547" spans="53:54" ht="15.75" thickBot="1" x14ac:dyDescent="0.3">
      <c r="BA1547" s="109" t="s">
        <v>5467</v>
      </c>
      <c r="BB1547" s="183">
        <v>5201301</v>
      </c>
    </row>
    <row r="1548" spans="53:54" ht="15.75" thickBot="1" x14ac:dyDescent="0.3">
      <c r="BA1548" s="109" t="s">
        <v>5468</v>
      </c>
      <c r="BB1548" s="183">
        <v>5201302</v>
      </c>
    </row>
    <row r="1549" spans="53:54" ht="15.75" thickBot="1" x14ac:dyDescent="0.3">
      <c r="BA1549" s="109" t="s">
        <v>5469</v>
      </c>
      <c r="BB1549" s="183">
        <v>5201401</v>
      </c>
    </row>
    <row r="1550" spans="53:54" ht="15.75" thickBot="1" x14ac:dyDescent="0.3">
      <c r="BA1550" s="109" t="s">
        <v>5470</v>
      </c>
      <c r="BB1550" s="183">
        <v>5201402</v>
      </c>
    </row>
    <row r="1551" spans="53:54" ht="15.75" thickBot="1" x14ac:dyDescent="0.3">
      <c r="BA1551" s="109" t="s">
        <v>5471</v>
      </c>
      <c r="BB1551" s="183">
        <v>5202101</v>
      </c>
    </row>
    <row r="1552" spans="53:54" ht="15.75" thickBot="1" x14ac:dyDescent="0.3">
      <c r="BA1552" s="109" t="s">
        <v>5472</v>
      </c>
      <c r="BB1552" s="183">
        <v>5202102</v>
      </c>
    </row>
    <row r="1553" spans="53:54" ht="15.75" thickBot="1" x14ac:dyDescent="0.3">
      <c r="BA1553" s="109" t="s">
        <v>5473</v>
      </c>
      <c r="BB1553" s="183">
        <v>5202901</v>
      </c>
    </row>
    <row r="1554" spans="53:54" ht="15.75" thickBot="1" x14ac:dyDescent="0.3">
      <c r="BA1554" s="109" t="s">
        <v>5474</v>
      </c>
      <c r="BB1554" s="183">
        <v>5202902</v>
      </c>
    </row>
    <row r="1555" spans="53:54" ht="15.75" thickBot="1" x14ac:dyDescent="0.3">
      <c r="BA1555" s="109" t="s">
        <v>5475</v>
      </c>
      <c r="BB1555" s="183">
        <v>5231001</v>
      </c>
    </row>
    <row r="1556" spans="53:54" ht="15.75" thickBot="1" x14ac:dyDescent="0.3">
      <c r="BA1556" s="109" t="s">
        <v>5476</v>
      </c>
      <c r="BB1556" s="183">
        <v>5231002</v>
      </c>
    </row>
    <row r="1557" spans="53:54" ht="15.75" thickBot="1" x14ac:dyDescent="0.3">
      <c r="BA1557" s="109" t="s">
        <v>5477</v>
      </c>
      <c r="BB1557" s="183">
        <v>5239401</v>
      </c>
    </row>
    <row r="1558" spans="53:54" ht="15.75" thickBot="1" x14ac:dyDescent="0.3">
      <c r="BA1558" s="109" t="s">
        <v>5478</v>
      </c>
      <c r="BB1558" s="183">
        <v>5239501</v>
      </c>
    </row>
    <row r="1559" spans="53:54" ht="15.75" thickBot="1" x14ac:dyDescent="0.3">
      <c r="BA1559" s="109" t="s">
        <v>5479</v>
      </c>
      <c r="BB1559" s="183">
        <v>5239601</v>
      </c>
    </row>
    <row r="1560" spans="53:54" ht="15.75" thickBot="1" x14ac:dyDescent="0.3">
      <c r="BA1560" s="109" t="s">
        <v>5480</v>
      </c>
      <c r="BB1560" s="183">
        <v>5239901</v>
      </c>
    </row>
    <row r="1561" spans="53:54" ht="15.75" thickBot="1" x14ac:dyDescent="0.3">
      <c r="BA1561" s="109" t="s">
        <v>5481</v>
      </c>
      <c r="BB1561" s="183">
        <v>5239902</v>
      </c>
    </row>
    <row r="1562" spans="53:54" ht="15.75" thickBot="1" x14ac:dyDescent="0.3">
      <c r="BA1562" s="109" t="s">
        <v>5482</v>
      </c>
      <c r="BB1562" s="183">
        <v>5241001</v>
      </c>
    </row>
    <row r="1563" spans="53:54" ht="15.75" thickBot="1" x14ac:dyDescent="0.3">
      <c r="BA1563" s="109" t="s">
        <v>5483</v>
      </c>
      <c r="BB1563" s="183">
        <v>5241002</v>
      </c>
    </row>
    <row r="1564" spans="53:54" ht="15.75" thickBot="1" x14ac:dyDescent="0.3">
      <c r="BA1564" s="109" t="s">
        <v>5484</v>
      </c>
      <c r="BB1564" s="183">
        <v>5241003</v>
      </c>
    </row>
    <row r="1565" spans="53:54" ht="15.75" thickBot="1" x14ac:dyDescent="0.3">
      <c r="BA1565" s="109" t="s">
        <v>5485</v>
      </c>
      <c r="BB1565" s="183">
        <v>5241004</v>
      </c>
    </row>
    <row r="1566" spans="53:54" ht="15.75" thickBot="1" x14ac:dyDescent="0.3">
      <c r="BA1566" s="109" t="s">
        <v>5486</v>
      </c>
      <c r="BB1566" s="183">
        <v>5241005</v>
      </c>
    </row>
    <row r="1567" spans="53:54" ht="15.75" thickBot="1" x14ac:dyDescent="0.3">
      <c r="BA1567" s="109" t="s">
        <v>5487</v>
      </c>
      <c r="BB1567" s="183">
        <v>5241006</v>
      </c>
    </row>
    <row r="1568" spans="53:54" ht="15.75" thickBot="1" x14ac:dyDescent="0.3">
      <c r="BA1568" s="109" t="s">
        <v>5488</v>
      </c>
      <c r="BB1568" s="183">
        <v>5242901</v>
      </c>
    </row>
    <row r="1569" spans="53:54" ht="15.75" thickBot="1" x14ac:dyDescent="0.3">
      <c r="BA1569" s="109" t="s">
        <v>5489</v>
      </c>
      <c r="BB1569" s="183">
        <v>5242902</v>
      </c>
    </row>
    <row r="1570" spans="53:54" ht="15.75" thickBot="1" x14ac:dyDescent="0.3">
      <c r="BA1570" s="109" t="s">
        <v>5490</v>
      </c>
      <c r="BB1570" s="183">
        <v>5242903</v>
      </c>
    </row>
    <row r="1571" spans="53:54" ht="15.75" thickBot="1" x14ac:dyDescent="0.3">
      <c r="BA1571" s="109" t="s">
        <v>5491</v>
      </c>
      <c r="BB1571" s="183">
        <v>5243101</v>
      </c>
    </row>
    <row r="1572" spans="53:54" ht="15.75" thickBot="1" x14ac:dyDescent="0.3">
      <c r="BA1572" s="109" t="s">
        <v>5492</v>
      </c>
      <c r="BB1572" s="183">
        <v>5243102</v>
      </c>
    </row>
    <row r="1573" spans="53:54" ht="15.75" thickBot="1" x14ac:dyDescent="0.3">
      <c r="BA1573" s="109" t="s">
        <v>5493</v>
      </c>
      <c r="BB1573" s="183">
        <v>5243201</v>
      </c>
    </row>
    <row r="1574" spans="53:54" ht="15.75" thickBot="1" x14ac:dyDescent="0.3">
      <c r="BA1574" s="109" t="s">
        <v>5494</v>
      </c>
      <c r="BB1574" s="183">
        <v>5251101</v>
      </c>
    </row>
    <row r="1575" spans="53:54" ht="15.75" thickBot="1" x14ac:dyDescent="0.3">
      <c r="BA1575" s="109" t="s">
        <v>5495</v>
      </c>
      <c r="BB1575" s="183">
        <v>5251201</v>
      </c>
    </row>
    <row r="1576" spans="53:54" ht="15.75" thickBot="1" x14ac:dyDescent="0.3">
      <c r="BA1576" s="109" t="s">
        <v>5496</v>
      </c>
      <c r="BB1576" s="183">
        <v>5251301</v>
      </c>
    </row>
    <row r="1577" spans="53:54" ht="15.75" thickBot="1" x14ac:dyDescent="0.3">
      <c r="BA1577" s="109" t="s">
        <v>5497</v>
      </c>
      <c r="BB1577" s="183">
        <v>5251302</v>
      </c>
    </row>
    <row r="1578" spans="53:54" ht="15.75" thickBot="1" x14ac:dyDescent="0.3">
      <c r="BA1578" s="109" t="s">
        <v>5498</v>
      </c>
      <c r="BB1578" s="183">
        <v>5251303</v>
      </c>
    </row>
    <row r="1579" spans="53:54" ht="15.75" thickBot="1" x14ac:dyDescent="0.3">
      <c r="BA1579" s="109" t="s">
        <v>5499</v>
      </c>
      <c r="BB1579" s="183">
        <v>5252001</v>
      </c>
    </row>
    <row r="1580" spans="53:54" ht="15.75" thickBot="1" x14ac:dyDescent="0.3">
      <c r="BA1580" s="109" t="s">
        <v>5500</v>
      </c>
      <c r="BB1580" s="183">
        <v>5252002</v>
      </c>
    </row>
    <row r="1581" spans="53:54" ht="15.75" thickBot="1" x14ac:dyDescent="0.3">
      <c r="BA1581" s="109" t="s">
        <v>5501</v>
      </c>
      <c r="BB1581" s="183">
        <v>5252003</v>
      </c>
    </row>
    <row r="1582" spans="53:54" ht="15.75" thickBot="1" x14ac:dyDescent="0.3">
      <c r="BA1582" s="109" t="s">
        <v>5502</v>
      </c>
      <c r="BB1582" s="183">
        <v>5259101</v>
      </c>
    </row>
    <row r="1583" spans="53:54" ht="15.75" thickBot="1" x14ac:dyDescent="0.3">
      <c r="BA1583" s="109" t="s">
        <v>5503</v>
      </c>
      <c r="BB1583" s="183">
        <v>5259201</v>
      </c>
    </row>
    <row r="1584" spans="53:54" ht="15.75" thickBot="1" x14ac:dyDescent="0.3">
      <c r="BA1584" s="109" t="s">
        <v>5504</v>
      </c>
      <c r="BB1584" s="183">
        <v>5259901</v>
      </c>
    </row>
    <row r="1585" spans="53:54" ht="15.75" thickBot="1" x14ac:dyDescent="0.3">
      <c r="BA1585" s="109" t="s">
        <v>5505</v>
      </c>
      <c r="BB1585" s="183">
        <v>5266001</v>
      </c>
    </row>
    <row r="1586" spans="53:54" ht="15.75" thickBot="1" x14ac:dyDescent="0.3">
      <c r="BA1586" s="109" t="s">
        <v>5506</v>
      </c>
      <c r="BB1586" s="183">
        <v>5281101</v>
      </c>
    </row>
    <row r="1587" spans="53:54" ht="15.75" thickBot="1" x14ac:dyDescent="0.3">
      <c r="BA1587" s="109" t="s">
        <v>5507</v>
      </c>
      <c r="BB1587" s="183">
        <v>5281201</v>
      </c>
    </row>
    <row r="1588" spans="53:54" ht="15.75" thickBot="1" x14ac:dyDescent="0.3">
      <c r="BA1588" s="109" t="s">
        <v>5508</v>
      </c>
      <c r="BB1588" s="183">
        <v>5281301</v>
      </c>
    </row>
    <row r="1589" spans="53:54" ht="15.75" thickBot="1" x14ac:dyDescent="0.3">
      <c r="BA1589" s="109" t="s">
        <v>5509</v>
      </c>
      <c r="BB1589" s="183">
        <v>5281401</v>
      </c>
    </row>
    <row r="1590" spans="53:54" ht="15.75" thickBot="1" x14ac:dyDescent="0.3">
      <c r="BA1590" s="109" t="s">
        <v>5510</v>
      </c>
      <c r="BB1590" s="183">
        <v>5281601</v>
      </c>
    </row>
    <row r="1591" spans="53:54" ht="15.75" thickBot="1" x14ac:dyDescent="0.3">
      <c r="BA1591" s="109" t="s">
        <v>5511</v>
      </c>
      <c r="BB1591" s="183">
        <v>5281602</v>
      </c>
    </row>
    <row r="1592" spans="53:54" ht="15.75" thickBot="1" x14ac:dyDescent="0.3">
      <c r="BA1592" s="109" t="s">
        <v>5512</v>
      </c>
      <c r="BB1592" s="183">
        <v>5281901</v>
      </c>
    </row>
    <row r="1593" spans="53:54" ht="15.75" thickBot="1" x14ac:dyDescent="0.3">
      <c r="BA1593" s="109" t="s">
        <v>5513</v>
      </c>
      <c r="BB1593" s="183">
        <v>5281902</v>
      </c>
    </row>
    <row r="1594" spans="53:54" ht="15.75" thickBot="1" x14ac:dyDescent="0.3">
      <c r="BA1594" s="109" t="s">
        <v>5514</v>
      </c>
      <c r="BB1594" s="183">
        <v>5281903</v>
      </c>
    </row>
    <row r="1595" spans="53:54" ht="15.75" thickBot="1" x14ac:dyDescent="0.3">
      <c r="BA1595" s="109" t="s">
        <v>5515</v>
      </c>
      <c r="BB1595" s="183">
        <v>5281904</v>
      </c>
    </row>
    <row r="1596" spans="53:54" ht="15.75" thickBot="1" x14ac:dyDescent="0.3">
      <c r="BA1596" s="109" t="s">
        <v>5516</v>
      </c>
      <c r="BB1596" s="183">
        <v>5282201</v>
      </c>
    </row>
    <row r="1597" spans="53:54" ht="15.75" thickBot="1" x14ac:dyDescent="0.3">
      <c r="BA1597" s="109" t="s">
        <v>5517</v>
      </c>
      <c r="BB1597" s="183">
        <v>5282301</v>
      </c>
    </row>
    <row r="1598" spans="53:54" ht="15.75" thickBot="1" x14ac:dyDescent="0.3">
      <c r="BA1598" s="109" t="s">
        <v>5518</v>
      </c>
      <c r="BB1598" s="183">
        <v>5282401</v>
      </c>
    </row>
    <row r="1599" spans="53:54" ht="15.75" thickBot="1" x14ac:dyDescent="0.3">
      <c r="BA1599" s="109" t="s">
        <v>5519</v>
      </c>
      <c r="BB1599" s="183">
        <v>5282402</v>
      </c>
    </row>
    <row r="1600" spans="53:54" ht="15.75" thickBot="1" x14ac:dyDescent="0.3">
      <c r="BA1600" s="109" t="s">
        <v>5520</v>
      </c>
      <c r="BB1600" s="183">
        <v>5301101</v>
      </c>
    </row>
    <row r="1601" spans="53:54" ht="15.75" thickBot="1" x14ac:dyDescent="0.3">
      <c r="BA1601" s="109" t="s">
        <v>5521</v>
      </c>
      <c r="BB1601" s="183">
        <v>5301102</v>
      </c>
    </row>
    <row r="1602" spans="53:54" ht="15.75" thickBot="1" x14ac:dyDescent="0.3">
      <c r="BA1602" s="109" t="s">
        <v>5522</v>
      </c>
      <c r="BB1602" s="183">
        <v>5301103</v>
      </c>
    </row>
    <row r="1603" spans="53:54" ht="15.75" thickBot="1" x14ac:dyDescent="0.3">
      <c r="BA1603" s="109" t="s">
        <v>5523</v>
      </c>
      <c r="BB1603" s="183">
        <v>5301201</v>
      </c>
    </row>
    <row r="1604" spans="53:54" ht="15.75" thickBot="1" x14ac:dyDescent="0.3">
      <c r="BA1604" s="109" t="s">
        <v>5524</v>
      </c>
      <c r="BB1604" s="183">
        <v>5301202</v>
      </c>
    </row>
    <row r="1605" spans="53:54" ht="15.75" thickBot="1" x14ac:dyDescent="0.3">
      <c r="BA1605" s="109" t="s">
        <v>5525</v>
      </c>
      <c r="BB1605" s="183">
        <v>5304001</v>
      </c>
    </row>
    <row r="1606" spans="53:54" ht="15.75" thickBot="1" x14ac:dyDescent="0.3">
      <c r="BA1606" s="109" t="s">
        <v>5526</v>
      </c>
      <c r="BB1606" s="183">
        <v>5331201</v>
      </c>
    </row>
    <row r="1607" spans="53:54" ht="15.75" thickBot="1" x14ac:dyDescent="0.3">
      <c r="BA1607" s="109" t="s">
        <v>5527</v>
      </c>
      <c r="BB1607" s="183">
        <v>5331301</v>
      </c>
    </row>
    <row r="1608" spans="53:54" ht="15.75" thickBot="1" x14ac:dyDescent="0.3">
      <c r="BA1608" s="109" t="s">
        <v>5528</v>
      </c>
      <c r="BB1608" s="183">
        <v>5331401</v>
      </c>
    </row>
    <row r="1609" spans="53:54" ht="15.75" thickBot="1" x14ac:dyDescent="0.3">
      <c r="BA1609" s="109" t="s">
        <v>5529</v>
      </c>
      <c r="BB1609" s="183">
        <v>5332001</v>
      </c>
    </row>
    <row r="1610" spans="53:54" ht="15.75" thickBot="1" x14ac:dyDescent="0.3">
      <c r="BA1610" s="109" t="s">
        <v>5530</v>
      </c>
      <c r="BB1610" s="183">
        <v>5351101</v>
      </c>
    </row>
    <row r="1611" spans="53:54" ht="15.75" thickBot="1" x14ac:dyDescent="0.3">
      <c r="BA1611" s="109" t="s">
        <v>5531</v>
      </c>
      <c r="BB1611" s="183">
        <v>5351102</v>
      </c>
    </row>
    <row r="1612" spans="53:54" ht="15.75" thickBot="1" x14ac:dyDescent="0.3">
      <c r="BA1612" s="109" t="s">
        <v>5532</v>
      </c>
      <c r="BB1612" s="183">
        <v>5351103</v>
      </c>
    </row>
    <row r="1613" spans="53:54" ht="15.75" thickBot="1" x14ac:dyDescent="0.3">
      <c r="BA1613" s="109" t="s">
        <v>5533</v>
      </c>
      <c r="BB1613" s="183">
        <v>5351201</v>
      </c>
    </row>
    <row r="1614" spans="53:54" ht="15.75" thickBot="1" x14ac:dyDescent="0.3">
      <c r="BA1614" s="109" t="s">
        <v>5534</v>
      </c>
      <c r="BB1614" s="183">
        <v>5351301</v>
      </c>
    </row>
    <row r="1615" spans="53:54" ht="15.75" thickBot="1" x14ac:dyDescent="0.3">
      <c r="BA1615" s="109" t="s">
        <v>5535</v>
      </c>
      <c r="BB1615" s="183">
        <v>5382201</v>
      </c>
    </row>
    <row r="1616" spans="53:54" ht="15.75" thickBot="1" x14ac:dyDescent="0.3">
      <c r="BA1616" s="109" t="s">
        <v>5536</v>
      </c>
      <c r="BB1616" s="183">
        <v>5383001</v>
      </c>
    </row>
    <row r="1617" spans="53:54" ht="15.75" thickBot="1" x14ac:dyDescent="0.3">
      <c r="BA1617" s="109" t="s">
        <v>5537</v>
      </c>
      <c r="BB1617" s="183">
        <v>5390001</v>
      </c>
    </row>
    <row r="1618" spans="53:54" ht="15.75" thickBot="1" x14ac:dyDescent="0.3">
      <c r="BA1618" s="109" t="s">
        <v>5538</v>
      </c>
      <c r="BB1618" s="183">
        <v>5411101</v>
      </c>
    </row>
    <row r="1619" spans="53:54" ht="15.75" thickBot="1" x14ac:dyDescent="0.3">
      <c r="BA1619" s="109" t="s">
        <v>5539</v>
      </c>
      <c r="BB1619" s="183">
        <v>5411201</v>
      </c>
    </row>
    <row r="1620" spans="53:54" ht="15.75" thickBot="1" x14ac:dyDescent="0.3">
      <c r="BA1620" s="109" t="s">
        <v>5540</v>
      </c>
      <c r="BB1620" s="183">
        <v>5411202</v>
      </c>
    </row>
    <row r="1621" spans="53:54" ht="15.75" thickBot="1" x14ac:dyDescent="0.3">
      <c r="BA1621" s="109" t="s">
        <v>5541</v>
      </c>
      <c r="BB1621" s="183">
        <v>5421001</v>
      </c>
    </row>
    <row r="1622" spans="53:54" ht="15.75" thickBot="1" x14ac:dyDescent="0.3">
      <c r="BA1622" s="109" t="s">
        <v>5542</v>
      </c>
      <c r="BB1622" s="183">
        <v>5421002</v>
      </c>
    </row>
    <row r="1623" spans="53:54" ht="15.75" thickBot="1" x14ac:dyDescent="0.3">
      <c r="BA1623" s="109" t="s">
        <v>5543</v>
      </c>
      <c r="BB1623" s="183">
        <v>5422001</v>
      </c>
    </row>
    <row r="1624" spans="53:54" ht="15.75" thickBot="1" x14ac:dyDescent="0.3">
      <c r="BA1624" s="109" t="s">
        <v>5544</v>
      </c>
      <c r="BB1624" s="183">
        <v>5429001</v>
      </c>
    </row>
    <row r="1625" spans="53:54" ht="15.75" thickBot="1" x14ac:dyDescent="0.3">
      <c r="BA1625" s="109" t="s">
        <v>5545</v>
      </c>
      <c r="BB1625" s="183">
        <v>5431101</v>
      </c>
    </row>
    <row r="1626" spans="53:54" ht="15.75" thickBot="1" x14ac:dyDescent="0.3">
      <c r="BA1626" s="109" t="s">
        <v>5546</v>
      </c>
      <c r="BB1626" s="183">
        <v>5431201</v>
      </c>
    </row>
    <row r="1627" spans="53:54" ht="15.75" thickBot="1" x14ac:dyDescent="0.3">
      <c r="BA1627" s="109" t="s">
        <v>5547</v>
      </c>
      <c r="BB1627" s="183">
        <v>5431202</v>
      </c>
    </row>
    <row r="1628" spans="53:54" ht="15.75" thickBot="1" x14ac:dyDescent="0.3">
      <c r="BA1628" s="109" t="s">
        <v>5548</v>
      </c>
      <c r="BB1628" s="183">
        <v>5431203</v>
      </c>
    </row>
    <row r="1629" spans="53:54" ht="15.75" thickBot="1" x14ac:dyDescent="0.3">
      <c r="BA1629" s="109" t="s">
        <v>5549</v>
      </c>
      <c r="BB1629" s="183">
        <v>5432201</v>
      </c>
    </row>
    <row r="1630" spans="53:54" ht="15.75" thickBot="1" x14ac:dyDescent="0.3">
      <c r="BA1630" s="109" t="s">
        <v>5550</v>
      </c>
      <c r="BB1630" s="183">
        <v>5432901</v>
      </c>
    </row>
    <row r="1631" spans="53:54" ht="15.75" thickBot="1" x14ac:dyDescent="0.3">
      <c r="BA1631" s="109" t="s">
        <v>5551</v>
      </c>
      <c r="BB1631" s="183">
        <v>5433001</v>
      </c>
    </row>
    <row r="1632" spans="53:54" ht="15.75" thickBot="1" x14ac:dyDescent="0.3">
      <c r="BA1632" s="109" t="s">
        <v>5552</v>
      </c>
      <c r="BB1632" s="183">
        <v>5433002</v>
      </c>
    </row>
    <row r="1633" spans="53:54" ht="15.75" thickBot="1" x14ac:dyDescent="0.3">
      <c r="BA1633" s="109" t="s">
        <v>5553</v>
      </c>
      <c r="BB1633" s="183">
        <v>5433003</v>
      </c>
    </row>
    <row r="1634" spans="53:54" ht="15.75" thickBot="1" x14ac:dyDescent="0.3">
      <c r="BA1634" s="109" t="s">
        <v>5554</v>
      </c>
      <c r="BB1634" s="183">
        <v>5433004</v>
      </c>
    </row>
    <row r="1635" spans="53:54" ht="15.75" thickBot="1" x14ac:dyDescent="0.3">
      <c r="BA1635" s="109" t="s">
        <v>5555</v>
      </c>
      <c r="BB1635" s="183">
        <v>5439001</v>
      </c>
    </row>
    <row r="1636" spans="53:54" ht="15.75" thickBot="1" x14ac:dyDescent="0.3">
      <c r="BA1636" s="109" t="s">
        <v>5556</v>
      </c>
      <c r="BB1636" s="183">
        <v>5439002</v>
      </c>
    </row>
    <row r="1637" spans="53:54" ht="15.75" thickBot="1" x14ac:dyDescent="0.3">
      <c r="BA1637" s="109" t="s">
        <v>5557</v>
      </c>
      <c r="BB1637" s="183">
        <v>5439003</v>
      </c>
    </row>
    <row r="1638" spans="53:54" ht="15.75" thickBot="1" x14ac:dyDescent="0.3">
      <c r="BA1638" s="109" t="s">
        <v>5558</v>
      </c>
      <c r="BB1638" s="183">
        <v>5439004</v>
      </c>
    </row>
    <row r="1639" spans="53:54" ht="15.75" thickBot="1" x14ac:dyDescent="0.3">
      <c r="BA1639" s="109" t="s">
        <v>5559</v>
      </c>
      <c r="BB1639" s="183">
        <v>5461001</v>
      </c>
    </row>
    <row r="1640" spans="53:54" ht="15.75" thickBot="1" x14ac:dyDescent="0.3">
      <c r="BA1640" s="109" t="s">
        <v>5560</v>
      </c>
      <c r="BB1640" s="183">
        <v>5493001</v>
      </c>
    </row>
    <row r="1641" spans="53:54" ht="15.75" thickBot="1" x14ac:dyDescent="0.3">
      <c r="BA1641" s="109" t="s">
        <v>5561</v>
      </c>
      <c r="BB1641" s="183">
        <v>5521001</v>
      </c>
    </row>
    <row r="1642" spans="53:54" ht="15.75" thickBot="1" x14ac:dyDescent="0.3">
      <c r="BA1642" s="109" t="s">
        <v>5562</v>
      </c>
      <c r="BB1642" s="183">
        <v>5522201</v>
      </c>
    </row>
    <row r="1643" spans="53:54" ht="15.75" thickBot="1" x14ac:dyDescent="0.3">
      <c r="BA1643" s="109" t="s">
        <v>5563</v>
      </c>
      <c r="BB1643" s="183">
        <v>5522301</v>
      </c>
    </row>
    <row r="1644" spans="53:54" ht="15.75" thickBot="1" x14ac:dyDescent="0.3">
      <c r="BA1644" s="109" t="s">
        <v>5564</v>
      </c>
      <c r="BB1644" s="183">
        <v>5522401</v>
      </c>
    </row>
    <row r="1645" spans="53:54" ht="15.75" thickBot="1" x14ac:dyDescent="0.3">
      <c r="BA1645" s="109" t="s">
        <v>5565</v>
      </c>
      <c r="BB1645" s="183">
        <v>5681001</v>
      </c>
    </row>
    <row r="1646" spans="53:54" ht="15.75" thickBot="1" x14ac:dyDescent="0.3">
      <c r="BA1646" s="109" t="s">
        <v>5566</v>
      </c>
      <c r="BB1646" s="183">
        <v>5711001</v>
      </c>
    </row>
    <row r="1647" spans="53:54" ht="15.75" thickBot="1" x14ac:dyDescent="0.3">
      <c r="BA1647" s="109" t="s">
        <v>5567</v>
      </c>
      <c r="BB1647" s="183">
        <v>5712001</v>
      </c>
    </row>
    <row r="1648" spans="53:54" ht="15.75" thickBot="1" x14ac:dyDescent="0.3">
      <c r="BA1648" s="109" t="s">
        <v>5568</v>
      </c>
      <c r="BB1648" s="183">
        <v>5712002</v>
      </c>
    </row>
    <row r="1649" spans="53:54" ht="15.75" thickBot="1" x14ac:dyDescent="0.3">
      <c r="BA1649" s="109" t="s">
        <v>5569</v>
      </c>
      <c r="BB1649" s="183">
        <v>5712003</v>
      </c>
    </row>
    <row r="1650" spans="53:54" ht="15.75" thickBot="1" x14ac:dyDescent="0.3">
      <c r="BA1650" s="109" t="s">
        <v>5570</v>
      </c>
      <c r="BB1650" s="183">
        <v>5801001</v>
      </c>
    </row>
    <row r="1651" spans="53:54" ht="15.75" thickBot="1" x14ac:dyDescent="0.3">
      <c r="BA1651" s="109" t="s">
        <v>5571</v>
      </c>
      <c r="BB1651" s="183">
        <v>5803001</v>
      </c>
    </row>
    <row r="1652" spans="53:54" ht="15.75" thickBot="1" x14ac:dyDescent="0.3">
      <c r="BA1652" s="109" t="s">
        <v>5572</v>
      </c>
      <c r="BB1652" s="183">
        <v>5812901</v>
      </c>
    </row>
    <row r="1653" spans="53:54" ht="15.75" thickBot="1" x14ac:dyDescent="0.3">
      <c r="BA1653" s="109" t="s">
        <v>5573</v>
      </c>
      <c r="BB1653" s="183">
        <v>5812902</v>
      </c>
    </row>
    <row r="1654" spans="53:54" ht="15.75" thickBot="1" x14ac:dyDescent="0.3">
      <c r="BA1654" s="109" t="s">
        <v>5574</v>
      </c>
      <c r="BB1654" s="183">
        <v>5813001</v>
      </c>
    </row>
    <row r="1655" spans="53:54" ht="15.75" thickBot="1" x14ac:dyDescent="0.3">
      <c r="BA1655" s="109" t="s">
        <v>5575</v>
      </c>
      <c r="BB1655" s="183">
        <v>5842201</v>
      </c>
    </row>
    <row r="1656" spans="53:54" ht="15.75" thickBot="1" x14ac:dyDescent="0.3">
      <c r="BA1656" s="109" t="s">
        <v>5576</v>
      </c>
      <c r="BB1656" s="183">
        <v>5842202</v>
      </c>
    </row>
    <row r="1657" spans="53:54" ht="15.75" thickBot="1" x14ac:dyDescent="0.3">
      <c r="BA1657" s="109" t="s">
        <v>5577</v>
      </c>
      <c r="BB1657" s="183">
        <v>5842203</v>
      </c>
    </row>
    <row r="1658" spans="53:54" ht="15.75" thickBot="1" x14ac:dyDescent="0.3">
      <c r="BA1658" s="109" t="s">
        <v>5578</v>
      </c>
      <c r="BB1658" s="183">
        <v>5842301</v>
      </c>
    </row>
    <row r="1659" spans="53:54" ht="15.75" thickBot="1" x14ac:dyDescent="0.3">
      <c r="BA1659" s="109" t="s">
        <v>5579</v>
      </c>
      <c r="BB1659" s="183">
        <v>5842302</v>
      </c>
    </row>
    <row r="1660" spans="53:54" ht="15.75" thickBot="1" x14ac:dyDescent="0.3">
      <c r="BA1660" s="109" t="s">
        <v>5580</v>
      </c>
      <c r="BB1660" s="183">
        <v>5842303</v>
      </c>
    </row>
    <row r="1661" spans="53:54" ht="15.75" thickBot="1" x14ac:dyDescent="0.3">
      <c r="BA1661" s="109" t="s">
        <v>5581</v>
      </c>
      <c r="BB1661" s="183">
        <v>5842304</v>
      </c>
    </row>
    <row r="1662" spans="53:54" ht="15.75" thickBot="1" x14ac:dyDescent="0.3">
      <c r="BA1662" s="109" t="s">
        <v>5582</v>
      </c>
      <c r="BB1662" s="183">
        <v>5842401</v>
      </c>
    </row>
    <row r="1663" spans="53:54" ht="15.75" thickBot="1" x14ac:dyDescent="0.3">
      <c r="BA1663" s="109" t="s">
        <v>5583</v>
      </c>
      <c r="BB1663" s="183">
        <v>5842402</v>
      </c>
    </row>
    <row r="1664" spans="53:54" ht="15.75" thickBot="1" x14ac:dyDescent="0.3">
      <c r="BA1664" s="109" t="s">
        <v>5584</v>
      </c>
      <c r="BB1664" s="183">
        <v>5842403</v>
      </c>
    </row>
    <row r="1665" spans="53:54" ht="15.75" thickBot="1" x14ac:dyDescent="0.3">
      <c r="BA1665" s="109" t="s">
        <v>5585</v>
      </c>
      <c r="BB1665" s="183">
        <v>5842404</v>
      </c>
    </row>
    <row r="1666" spans="53:54" ht="15.75" thickBot="1" x14ac:dyDescent="0.3">
      <c r="BA1666" s="109" t="s">
        <v>5586</v>
      </c>
      <c r="BB1666" s="183">
        <v>5861001</v>
      </c>
    </row>
    <row r="1667" spans="53:54" ht="15.75" thickBot="1" x14ac:dyDescent="0.3">
      <c r="BA1667" s="109" t="s">
        <v>5587</v>
      </c>
      <c r="BB1667" s="183">
        <v>5869201</v>
      </c>
    </row>
    <row r="1668" spans="53:54" ht="15.75" thickBot="1" x14ac:dyDescent="0.3">
      <c r="BA1668" s="109" t="s">
        <v>5588</v>
      </c>
      <c r="BB1668" s="183">
        <v>5900501</v>
      </c>
    </row>
    <row r="1669" spans="53:54" ht="15.75" thickBot="1" x14ac:dyDescent="0.3">
      <c r="BA1669" s="109" t="s">
        <v>5589</v>
      </c>
      <c r="BB1669" s="183">
        <v>5910201</v>
      </c>
    </row>
    <row r="1670" spans="53:54" ht="15.75" thickBot="1" x14ac:dyDescent="0.3">
      <c r="BA1670" s="109" t="s">
        <v>5590</v>
      </c>
      <c r="BB1670" s="183">
        <v>5931201</v>
      </c>
    </row>
    <row r="1671" spans="53:54" ht="15.75" thickBot="1" x14ac:dyDescent="0.3">
      <c r="BA1671" s="109" t="s">
        <v>3911</v>
      </c>
      <c r="BB1671" s="183">
        <v>5960901</v>
      </c>
    </row>
  </sheetData>
  <sortState xmlns:xlrd2="http://schemas.microsoft.com/office/spreadsheetml/2017/richdata2" ref="AX2:AY504">
    <sortCondition ref="AX1:AX504"/>
  </sortState>
  <mergeCells count="12">
    <mergeCell ref="BE19:BG19"/>
    <mergeCell ref="BF6:BG6"/>
    <mergeCell ref="BF8:BG8"/>
    <mergeCell ref="BF9:BG9"/>
    <mergeCell ref="BF11:BG11"/>
    <mergeCell ref="BF15:BG15"/>
    <mergeCell ref="BF17:BG17"/>
    <mergeCell ref="A1:D1"/>
    <mergeCell ref="BF3:BG3"/>
    <mergeCell ref="BE1:BG1"/>
    <mergeCell ref="BF4:BG4"/>
    <mergeCell ref="BF5:BG5"/>
  </mergeCells>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D6AC9D-F9B2-4400-ACE1-5CAB6FDA0A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 ACTUALIZACIÓN DATOS</vt:lpstr>
      <vt:lpstr>INSTRUCTIVO ACTUALIZACION DATOS</vt:lpstr>
      <vt:lpstr>FORMATO DEDUCCIONES</vt:lpstr>
      <vt:lpstr>INSTRUCTIVO DEDUCCIONES</vt:lpstr>
      <vt:lpstr>Validador- Datos</vt:lpstr>
      <vt:lpstr>'FORMATO ACTUALIZACIÓN DATOS'!Área_de_impresión</vt:lpstr>
      <vt:lpstr>'FORMATO DEDUCCIONES'!Área_de_impresión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Windows;Henry Alexander Moyan Montenegro</dc:creator>
  <cp:lastModifiedBy>LILIAM MARCELLA GIOVANNETTI CORTES</cp:lastModifiedBy>
  <cp:lastPrinted>2026-03-25T05:05:20Z</cp:lastPrinted>
  <dcterms:created xsi:type="dcterms:W3CDTF">2014-07-15T17:10:48Z</dcterms:created>
  <dcterms:modified xsi:type="dcterms:W3CDTF">2026-07-01T17:12:53Z</dcterms:modified>
</cp:coreProperties>
</file>